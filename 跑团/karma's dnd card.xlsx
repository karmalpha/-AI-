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tabRatio="500" activeTab="1"/>
  </bookViews>
  <sheets>
    <sheet name="角色" sheetId="1" r:id="rId1"/>
    <sheet name="主要情况" sheetId="2" r:id="rId2"/>
    <sheet name="背包" sheetId="3" r:id="rId3"/>
    <sheet name="施法" sheetId="4" r:id="rId4"/>
    <sheet name="法术大全" sheetId="5" r:id="rId5"/>
    <sheet name="图表" sheetId="6" r:id="rId6"/>
    <sheet name="BUY点计算器&amp;武器调整栏" sheetId="7" r:id="rId7"/>
    <sheet name="更新日志" sheetId="8" r:id="rId8"/>
  </sheets>
  <definedNames>
    <definedName name="_xlnm._FilterDatabase" localSheetId="4" hidden="1">法术大全!$A$1:$AA$512</definedName>
    <definedName name="七彩喷射">法术大全!$M$62</definedName>
    <definedName name="万事通">图表!$CE$4</definedName>
    <definedName name="万箭齐发">法术大全!$M$342</definedName>
    <definedName name="不动物件">法术大全!$M$160</definedName>
    <definedName name="不屈">图表!$CQ$7</definedName>
    <definedName name="不屈勇武">图表!$CU$13</definedName>
    <definedName name="不死生物召唤术_召唤不死灵魄">法术大全!$M$266</definedName>
    <definedName name="不灭明焰">法术大全!$M$138</definedName>
    <definedName name="不谐低语">法术大全!$M$72</definedName>
    <definedName name="丘陵矮人属性值加成">图表!$BQ$48</definedName>
    <definedName name="丝绳_50尺">图表!$AC$83</definedName>
    <definedName name="中甲">图表!$U$48:$U$52</definedName>
    <definedName name="中甲大师">图表!$CY$25</definedName>
    <definedName name="中甲运用">图表!$CY$27</definedName>
    <definedName name="乌斯伽部族成员工具熟练项">图表!$BK$69</definedName>
    <definedName name="乌斯伽部族成员技能熟练项">图表!$BK$67</definedName>
    <definedName name="乌斯伽部族成员牵绊">图表!$BK$52:$BK$57</definedName>
    <definedName name="乌斯伽部族成员特点">图表!$BK$36:$BK$43</definedName>
    <definedName name="乌斯伽部族成员理想">图表!$BK$45:$BK$50</definedName>
    <definedName name="乌斯伽部族成员缺点">图表!$BK$59:$BK$64</definedName>
    <definedName name="乌斯伽部族成员背景装备">图表!$BK$73</definedName>
    <definedName name="乌斯伽部族成员额外语言">图表!$BK$71</definedName>
    <definedName name="书">图表!$AC$22</definedName>
    <definedName name="书法工具">图表!$AC$102</definedName>
    <definedName name="云雾术">法术大全!$M$82</definedName>
    <definedName name="亚比达奇凋死术">法术大全!$M$467</definedName>
    <definedName name="亡者丧钟">法术大全!$M$43</definedName>
    <definedName name="交友术">法术大全!$M$12</definedName>
    <definedName name="人类">图表!$BS$35:$BY$35</definedName>
    <definedName name="人类定身术">法术大全!$M$159</definedName>
    <definedName name="人类属性值加成">图表!$BQ$35</definedName>
    <definedName name="以太化">法术大全!$M$445</definedName>
    <definedName name="仪式施法者">图表!$CY$32</definedName>
    <definedName name="任意门">法术大全!$M$293</definedName>
    <definedName name="休憩曲">图表!$CE$5</definedName>
    <definedName name="众星冠冕">法术大全!$M$441</definedName>
    <definedName name="传讯术">法术大全!$M$23</definedName>
    <definedName name="传送术">法术大全!$M$462</definedName>
    <definedName name="传送法阵">法术大全!$M$383</definedName>
    <definedName name="伪装术">法术大全!$M$376</definedName>
    <definedName name="低身之机敏">图表!$CY$57</definedName>
    <definedName name="侍僧工具熟练项">图表!$AH$69</definedName>
    <definedName name="侍僧技能熟练项">图表!$AH$67</definedName>
    <definedName name="侍僧牵绊">图表!$AH$52:$AH$57</definedName>
    <definedName name="侍僧特殊选项">图表!$AH$75</definedName>
    <definedName name="侍僧特点">图表!$AH$36:$AH$43</definedName>
    <definedName name="侍僧理想">图表!$AH$45:$AH$50</definedName>
    <definedName name="侍僧缺点">图表!$AH$59:$AH$64</definedName>
    <definedName name="侍僧背景装备">图表!$AH$73</definedName>
    <definedName name="侍僧额外语言">图表!$AH$71</definedName>
    <definedName name="侏儒">图表!$BS$46:$BV$46</definedName>
    <definedName name="侦测善恶">法术大全!$M$68</definedName>
    <definedName name="侦测思想">法术大全!$M$143</definedName>
    <definedName name="侦测毒性和疾病">法术大全!$M$70</definedName>
    <definedName name="侦测魔法">法术大全!$M$69</definedName>
    <definedName name="便携式攻城锤">图表!$AC$79</definedName>
    <definedName name="信仰守卫">法术大全!$M$306</definedName>
    <definedName name="修复术">法术大全!$M$22</definedName>
    <definedName name="修补工具">图表!$AC$114</definedName>
    <definedName name="借鉴才学">法术大全!$M$205</definedName>
    <definedName name="假寐术">法术大全!$M$216</definedName>
    <definedName name="假死术">法术大全!$M$229</definedName>
    <definedName name="假象术">法术大全!$M$367</definedName>
    <definedName name="健壮">图表!$CY$41</definedName>
    <definedName name="偷袭">图表!$CK$3</definedName>
    <definedName name="储法物品">图表!$CO$10</definedName>
    <definedName name="催眠图纹">法术大全!$M$237</definedName>
    <definedName name="元素召唤术_召唤元素灵魄">法术大全!$M$329</definedName>
    <definedName name="元素导师">图表!$CY$11</definedName>
    <definedName name="元素武器">法术大全!$M$225</definedName>
    <definedName name="元素灾祸">法术大全!$M$296</definedName>
    <definedName name="元素裔">图表!$BS$49:$BV$49</definedName>
    <definedName name="元素裔属性值加成">图表!$BQ$77</definedName>
    <definedName name="先发激励">图表!$CE$11</definedName>
    <definedName name="光亮术">法术大全!$M$18</definedName>
    <definedName name="光墙术">法术大全!$M$388</definedName>
    <definedName name="光耀祷言">法术大全!$M$46</definedName>
    <definedName name="克敌先机">法术大全!$M$44</definedName>
    <definedName name="克隆术">法术大全!$M$471</definedName>
    <definedName name="公会商人工具熟练项">图表!$AP$69</definedName>
    <definedName name="公会商人技能熟练项">图表!$AP$67</definedName>
    <definedName name="公会商人牵绊">图表!$AP$52:$AP$57</definedName>
    <definedName name="公会商人特殊选项">图表!$AP$75</definedName>
    <definedName name="公会商人特点">图表!$AP$36:$AP$43</definedName>
    <definedName name="公会商人理想">图表!$AP$45:$AP$50</definedName>
    <definedName name="公会商人缺点">图表!$AP$59:$AP$64</definedName>
    <definedName name="公会商人背景装备">图表!$AP$73</definedName>
    <definedName name="公会商人额外语言">图表!$AP$71</definedName>
    <definedName name="公会工匠工具熟练项">图表!$AO$69</definedName>
    <definedName name="公会工匠技能熟练项">图表!$AO$67</definedName>
    <definedName name="公会工匠牵绊">图表!$AO$52:$AO$57</definedName>
    <definedName name="公会工匠特殊选项">图表!$AO$75</definedName>
    <definedName name="公会工匠特点">图表!$AO$36:$AO$43</definedName>
    <definedName name="公会工匠理想">图表!$AO$45:$AO$50</definedName>
    <definedName name="公会工匠缺点">图表!$AO$59:$AO$64</definedName>
    <definedName name="公会工匠背景装备">图表!$AO$73</definedName>
    <definedName name="公会工匠额外语言">图表!$AO$71</definedName>
    <definedName name="典礼术">法术大全!$M$58</definedName>
    <definedName name="兽之联结">法术大全!$M$53</definedName>
    <definedName name="兽人">图表!$BS$42:$CB$42</definedName>
    <definedName name="兽人属性值加成">图表!$BQ$62</definedName>
    <definedName name="兽人式狂怒">图表!$CY$54</definedName>
    <definedName name="兽皮化兽者属性值加成">图表!$BQ$93</definedName>
    <definedName name="再生术">法术大全!$M$456</definedName>
    <definedName name="写入空中">法术大全!$M$188</definedName>
    <definedName name="冰刃">法术大全!$M$93</definedName>
    <definedName name="冰墙术">法术大全!$M$435</definedName>
    <definedName name="冰风暴">法术大全!$M$309</definedName>
    <definedName name="冲锋手">图表!$CY$5</definedName>
    <definedName name="冷冻射线">法术大全!$M$31</definedName>
    <definedName name="冻寒之触">法术大全!$M$5</definedName>
    <definedName name="净化之触">图表!$BY$13</definedName>
    <definedName name="净化灵光">法术大全!$M$283</definedName>
    <definedName name="净化食粮">法术大全!$M$103</definedName>
    <definedName name="凶蛮打手">图表!$CY$33</definedName>
    <definedName name="凶蛮重击">图表!$CU$10</definedName>
    <definedName name="创造半位面">法术大全!$M$474</definedName>
    <definedName name="创造篝火">法术大全!$M$7</definedName>
    <definedName name="创造造妖">法术大全!$M$399</definedName>
    <definedName name="制图工具">图表!$AC$104</definedName>
    <definedName name="制毒工具">图表!$AC$135</definedName>
    <definedName name="削弱芒刺">法术大全!$M$34</definedName>
    <definedName name="剑刃护壁">法术大全!$M$393</definedName>
    <definedName name="剑刃爆发">法术大全!$M$39</definedName>
    <definedName name="剑刃防护">法术大全!$M$3</definedName>
    <definedName name="劈砍者">图表!$CY$71</definedName>
    <definedName name="力场墙">法术大全!$M$387</definedName>
    <definedName name="加速术">法术大全!$M$235</definedName>
    <definedName name="动作如潮">图表!$CQ$4</definedName>
    <definedName name="动力短行">法术大全!$M$206</definedName>
    <definedName name="动植物定位术">法术大全!$M$165</definedName>
    <definedName name="动物交谈">法术大全!$M$112</definedName>
    <definedName name="动物信使">法术大全!$M$128</definedName>
    <definedName name="动物形态">法术大全!$M$468</definedName>
    <definedName name="励志演讲">法术大全!$M$279</definedName>
    <definedName name="劳洛希姆心灵长枪">法术大全!$M$330</definedName>
    <definedName name="勇气灵光">图表!$BY$11</definedName>
    <definedName name="匕首之云">法术大全!$M$137</definedName>
    <definedName name="化兽为友">法术大全!$M$49</definedName>
    <definedName name="化兽者">图表!$BS$65:$BV$65</definedName>
    <definedName name="化外之民工具熟练项">图表!$AT$69</definedName>
    <definedName name="化外之民技能熟练项">图表!$AT$67</definedName>
    <definedName name="化外之民牵绊">图表!$AT$52:$AT$57</definedName>
    <definedName name="化外之民特殊选项">图表!$AT$75</definedName>
    <definedName name="化外之民特点">图表!$AT$36:$AT$43</definedName>
    <definedName name="化外之民理想">图表!$AT$45:$AT$50</definedName>
    <definedName name="化外之民缺点">图表!$AT$59:$AT$64</definedName>
    <definedName name="化外之民背景装备">图表!$AT$73</definedName>
    <definedName name="化外之民额外语言">图表!$AT$71</definedName>
    <definedName name="医疗包">图表!$AC$48</definedName>
    <definedName name="医疗师">图表!$CY$14</definedName>
    <definedName name="医疗术">法术大全!$M$412</definedName>
    <definedName name="十字军披风">法术大全!$M$222</definedName>
    <definedName name="半人马">图表!$BS$51:$CB$51</definedName>
    <definedName name="半人马属性值加成">图表!$BQ$79</definedName>
    <definedName name="半兽人">图表!$BS$43:$BT$43</definedName>
    <definedName name="半兽人属性值加成">图表!$BQ$63</definedName>
    <definedName name="半精灵">图表!$BS$38:$BV$38</definedName>
    <definedName name="半精灵变体_剑湾属性值加成">图表!$BQ$47</definedName>
    <definedName name="半精灵属性值加成">图表!$BQ$46</definedName>
    <definedName name="半羊人">图表!$BS$69</definedName>
    <definedName name="半羊人属性值加成">图表!$BQ$101</definedName>
    <definedName name="半身人">图表!$BS$36:$BX$36</definedName>
    <definedName name="卓姆吉瞬间召唤">法术大全!$M$402</definedName>
    <definedName name="卓尔精灵属性值加成">图表!$BQ$42</definedName>
    <definedName name="卜筮术">法术大全!$M$130</definedName>
    <definedName name="印记斩">法术大全!$M$135</definedName>
    <definedName name="原初守护">法术大全!$M$425</definedName>
    <definedName name="原初意识">图表!$CS$7</definedName>
    <definedName name="原初斗士">图表!$CU$14</definedName>
    <definedName name="原初蛮击">法术大全!$M$29</definedName>
    <definedName name="原初道途">图表!$CU$6</definedName>
    <definedName name="原力法阵">法术大全!$M$336</definedName>
    <definedName name="厨师工具">图表!$AC$106</definedName>
    <definedName name="双人帐篷">图表!$AC$94</definedName>
    <definedName name="双持客">图表!$CY$8</definedName>
    <definedName name="反制善恶">法术大全!$M$350</definedName>
    <definedName name="反迷惑">图表!$CE$9</definedName>
    <definedName name="反重力">法术大全!$M$458</definedName>
    <definedName name="反魔法力场">法术大全!$M$469</definedName>
    <definedName name="变体人类属性值加成">图表!$BQ$36</definedName>
    <definedName name="变巨_缩小术">法术大全!$M$148</definedName>
    <definedName name="变形术">法术大全!$M$316</definedName>
    <definedName name="变身术">法术大全!$M$127</definedName>
    <definedName name="口粮_1日份">图表!$AC$80</definedName>
    <definedName name="召唤元素生物">法术大全!$M$341</definedName>
    <definedName name="召唤动物">法术大全!$M$218</definedName>
    <definedName name="召唤坐骑">法术大全!$M$150</definedName>
    <definedName name="召唤天界生物">法术大全!$M$440</definedName>
    <definedName name="召唤林地之精">法术大全!$M$290</definedName>
    <definedName name="召唤次级元素生物">法术大全!$M$289</definedName>
    <definedName name="召唤次级恶魔">法术大全!$M$264</definedName>
    <definedName name="召唤箭雨">法术大全!$M$219</definedName>
    <definedName name="召唤精类生物">法术大全!$M$397</definedName>
    <definedName name="召唤高等坐骑">法术大全!$M$299</definedName>
    <definedName name="召唤高等恶魔">法术大全!$M$325</definedName>
    <definedName name="召雷术">法术大全!$M$215</definedName>
    <definedName name="可靠才能">图表!$CK$9</definedName>
    <definedName name="史尼洛雪球群">法术大全!$M$189</definedName>
    <definedName name="吉姆的发光硬币">法术大全!$M$202</definedName>
    <definedName name="吉姆的魔法飞弹">法术大全!$M$123</definedName>
    <definedName name="吉斯人">图表!$BS$57:$BT$57</definedName>
    <definedName name="吉斯泽莱人属性值加成">图表!$BQ$85</definedName>
    <definedName name="吉斯洋基人属性值加成">图表!$BQ$84</definedName>
    <definedName name="吟游诗人">图表!$CD$2:$CD$11</definedName>
    <definedName name="吟游诗人专精">图表!$CE$7</definedName>
    <definedName name="吟游诗人学院">图表!$CE$6</definedName>
    <definedName name="吟游诗人护甲熟练">图表!$I$32</definedName>
    <definedName name="吟游诗人施法">图表!$CE$2</definedName>
    <definedName name="吟游诗人武器熟练">图表!$G$32</definedName>
    <definedName name="听声辨位">图表!$CK$10</definedName>
    <definedName name="启蒙术">法术大全!$M$333</definedName>
    <definedName name="吸收元素">法术大全!$M$47</definedName>
    <definedName name="吸血鬼之触">法术大全!$M$271</definedName>
    <definedName name="吹矢_50">图表!$AC$5</definedName>
    <definedName name="命令术">法术大全!$M$63</definedName>
    <definedName name="命运宠儿">法术大全!$M$154</definedName>
    <definedName name="哈达之欲">法术大全!$M$236</definedName>
    <definedName name="哈达之臂">法术大全!$M$51</definedName>
    <definedName name="哨兵">图表!$CY$34</definedName>
    <definedName name="哨子">图表!$AC$88</definedName>
    <definedName name="唤起死灵">法术大全!$M$400</definedName>
    <definedName name="商用天平">图表!$AC$85</definedName>
    <definedName name="回气">图表!$CQ$3</definedName>
    <definedName name="回生术">法术大全!$M$254</definedName>
    <definedName name="回返真言">法术大全!$M$438</definedName>
    <definedName name="回避侦测">法术大全!$M$248</definedName>
    <definedName name="困惑术">法术大全!$M$288</definedName>
    <definedName name="图腾">图表!$AC$40</definedName>
    <definedName name="圆滑心智">图表!$CK$11</definedName>
    <definedName name="土石喷发">法术大全!$M$227</definedName>
    <definedName name="圣居">法术大全!$M$358</definedName>
    <definedName name="圣武士">图表!$BX$2:$BX$13</definedName>
    <definedName name="圣武士战斗风格">图表!$BY$4</definedName>
    <definedName name="圣武士护甲熟练">图表!$I$40</definedName>
    <definedName name="圣武士施法">图表!$BY$5</definedName>
    <definedName name="圣武士武器熟练">图表!$G$40</definedName>
    <definedName name="圣武士额外攻击">图表!$BY$9</definedName>
    <definedName name="圣水_扁瓶">图表!$AC$52</definedName>
    <definedName name="圣洁灵光">法术大全!$M$479</definedName>
    <definedName name="圣火术">法术大全!$M$33</definedName>
    <definedName name="圣物匣">图表!$AC$51</definedName>
    <definedName name="圣疗">图表!$BY$3</definedName>
    <definedName name="圣言术">法术大全!$M$443</definedName>
    <definedName name="地之骨">法术大全!$M$394</definedName>
    <definedName name="地动术">法术大全!$M$421</definedName>
    <definedName name="地图或卷轴匣">图表!$AC$28</definedName>
    <definedName name="地城套装">图表!$AC$139</definedName>
    <definedName name="地城探索者">图表!$CY$9</definedName>
    <definedName name="地底侏儒_魔邓肯属性值加成">图表!$BQ$72</definedName>
    <definedName name="地狱呼唤">法术大全!$M$362</definedName>
    <definedName name="地精">图表!$BS$47:$BU$47</definedName>
    <definedName name="地精属性值加成">图表!$BQ$74</definedName>
    <definedName name="地缚">法术大全!$M$146</definedName>
    <definedName name="地震术">法术大全!$M$476</definedName>
    <definedName name="地颤">法术大全!$M$74</definedName>
    <definedName name="坚固堡垒">法术大全!$M$484</definedName>
    <definedName name="坚韧狂暴">图表!$CU$11</definedName>
    <definedName name="城市守卫工具熟练项">图表!$AZ$69</definedName>
    <definedName name="城市守卫技能熟练项">图表!$AZ$67</definedName>
    <definedName name="城市守卫牵绊">图表!$AZ$52:$AZ$57</definedName>
    <definedName name="城市守卫特点">图表!$AZ$36:$AZ$43</definedName>
    <definedName name="城市守卫理想">图表!$AZ$45:$AZ$50</definedName>
    <definedName name="城市守卫缺点">图表!$AZ$59:$AZ$64</definedName>
    <definedName name="城市守卫背景装备">图表!$AZ$73</definedName>
    <definedName name="城市守卫额外语言">图表!$AZ$71</definedName>
    <definedName name="城市猎人工具熟练项">图表!$BJ$69</definedName>
    <definedName name="城市猎人技能熟练项">图表!$BJ$67</definedName>
    <definedName name="城市猎人牵绊">图表!$BJ$52:$BJ$57</definedName>
    <definedName name="城市猎人特点">图表!$BJ$36:$BJ$43</definedName>
    <definedName name="城市猎人理想">图表!$BJ$45:$BJ$50</definedName>
    <definedName name="城市猎人缺点">图表!$BJ$59:$BJ$64</definedName>
    <definedName name="城市猎人背景装备">图表!$BJ$73</definedName>
    <definedName name="城市猎人额外语言">图表!$BJ$71</definedName>
    <definedName name="基础毒药_小瓶">图表!$AC$73</definedName>
    <definedName name="堕落阿斯莫属性值加成">图表!$BQ$69</definedName>
    <definedName name="塑土">法术大全!$M$26</definedName>
    <definedName name="塑石术">法术大全!$M$320</definedName>
    <definedName name="塔莎心灵鞭">法术大全!$M$195</definedName>
    <definedName name="塔莎狂笑术">法术大全!$M$114</definedName>
    <definedName name="塔莎腐蚀酿">法术大全!$M$113</definedName>
    <definedName name="塔莎超凡形态">法术大全!$M$431</definedName>
    <definedName name="墨水_1盎司瓶">图表!$AC$55</definedName>
    <definedName name="墨水笔">图表!$AC$56</definedName>
    <definedName name="士兵工具熟练项">图表!$AX$69</definedName>
    <definedName name="士兵技能熟练项">图表!$AX$67</definedName>
    <definedName name="士兵牵绊">图表!$AX$52:$AX$57</definedName>
    <definedName name="士兵特殊选项">图表!$AX$75</definedName>
    <definedName name="士兵特点">图表!$AX$36:$AX$43</definedName>
    <definedName name="士兵理想">图表!$AX$45:$AX$50</definedName>
    <definedName name="士兵缺点">图表!$AX$59:$AX$64</definedName>
    <definedName name="士兵背景装备">图表!$AX$73</definedName>
    <definedName name="士兵额外语言">图表!$AX$71</definedName>
    <definedName name="壶或罐">图表!$AC$57</definedName>
    <definedName name="复仇风暴">法术大全!$M$506</definedName>
    <definedName name="复生术">法术大全!$M$457</definedName>
    <definedName name="大使套装">图表!$AC$138</definedName>
    <definedName name="大厨">图表!$CY$60</definedName>
    <definedName name="大地精属性值加成">图表!$BQ$75</definedName>
    <definedName name="大德鲁伊">图表!$CW$8</definedName>
    <definedName name="大步奔行">法术大全!$M$98</definedName>
    <definedName name="大漩涡">法术大全!$M$365</definedName>
    <definedName name="大铁锤">图表!$AC$47</definedName>
    <definedName name="天狗">图表!$BS$66:$CB$66</definedName>
    <definedName name="天狗属性值加成">图表!$BQ$97</definedName>
    <definedName name="天界生物召唤术_召唤天界灵魄">法术大全!$M$379</definedName>
    <definedName name="天罚阿斯莫属性值加成">图表!$BQ$68</definedName>
    <definedName name="天语通">图表!$CI$15</definedName>
    <definedName name="奇才">图表!$CY$55</definedName>
    <definedName name="奇术">法术大全!$M$40</definedName>
    <definedName name="奇械之魂">图表!$CO$13</definedName>
    <definedName name="奇械学徒">图表!$CY$59</definedName>
    <definedName name="奇械师">图表!$CN$2:$CN$13</definedName>
    <definedName name="奇械师专业">图表!$CO$5</definedName>
    <definedName name="奇械师护甲熟练">图表!$I$38</definedName>
    <definedName name="奇械师施法">图表!$CO$3</definedName>
    <definedName name="奇械师武器熟练">图表!$G$38</definedName>
    <definedName name="契约魔法">图表!$CM$3</definedName>
    <definedName name="奥图迷舞">法术大全!$M$423</definedName>
    <definedName name="奥术传承">图表!$CA$4</definedName>
    <definedName name="奥术回想">图表!$CA$3</definedName>
    <definedName name="妖火">法术大全!$M$78</definedName>
    <definedName name="嫌恶_关怀术">法术大全!$M$470</definedName>
    <definedName name="学者套装">图表!$AC$143</definedName>
    <definedName name="守卫刻文">法术大全!$M$234</definedName>
    <definedName name="守护之链">法术大全!$M$196</definedName>
    <definedName name="守护之风">法术大全!$M$197</definedName>
    <definedName name="守护灵光">图表!$BY$10</definedName>
    <definedName name="守护阿斯莫属性值加成">图表!$BQ$67</definedName>
    <definedName name="安定心神">法术大全!$M$136</definedName>
    <definedName name="完全变形术">法术大全!$M$509</definedName>
    <definedName name="完全复生术">法术大全!$M$510</definedName>
    <definedName name="宗派">图表!$CI$6</definedName>
    <definedName name="家族代理人工具熟练项">图表!$BM$69</definedName>
    <definedName name="家族代理人技能熟练项">图表!$BM$67</definedName>
    <definedName name="家族代理人牵绊">图表!$BM$52:$BM$57</definedName>
    <definedName name="家族代理人特点">图表!$BM$36:$BM$43</definedName>
    <definedName name="家族代理人理想">图表!$BM$45:$BM$50</definedName>
    <definedName name="家族代理人缺点">图表!$BM$59:$BM$64</definedName>
    <definedName name="家族代理人背景装备">图表!$BM$73</definedName>
    <definedName name="家族代理人额外语言">图表!$BM$71</definedName>
    <definedName name="宿敌">图表!$CS$2</definedName>
    <definedName name="密探工具熟练项">图表!$AK$69</definedName>
    <definedName name="密探技能熟练项">图表!$AK$67</definedName>
    <definedName name="密探牵绊">图表!$AK$52:$AK$57</definedName>
    <definedName name="密探特殊选项">图表!$AK$75</definedName>
    <definedName name="密探特点">图表!$AK$36:$AK$43</definedName>
    <definedName name="密探理想">图表!$AK$45:$AK$50</definedName>
    <definedName name="密探缺点">图表!$AK$59:$AK$64</definedName>
    <definedName name="密探背景装备">图表!$AK$73</definedName>
    <definedName name="密探额外语言">图表!$AK$71</definedName>
    <definedName name="寒冰赋权">法术大全!$M$415</definedName>
    <definedName name="寒冰锥">法术大全!$M$340</definedName>
    <definedName name="寻找陷阱">法术大全!$M$151</definedName>
    <definedName name="寻路术">法术大全!$M$405</definedName>
    <definedName name="封蜡">图表!$AC$86</definedName>
    <definedName name="小包">图表!$AC$77</definedName>
    <definedName name="小瓶">图表!$AC$97</definedName>
    <definedName name="尘土恶魔">法术大全!$M$145</definedName>
    <definedName name="属性值提升">图表!$CY$1</definedName>
    <definedName name="屠灭众敌">图表!$CS$13</definedName>
    <definedName name="山地矮人属性值加成">图表!$BQ$49</definedName>
    <definedName name="岩侏儒属性值加成">图表!$BQ$71</definedName>
    <definedName name="岩钉">图表!$AC$72</definedName>
    <definedName name="崩坏现实">法术大全!$M$487</definedName>
    <definedName name="工具专精">图表!$CO$7</definedName>
    <definedName name="巧舌如簧">法术大全!$M$201</definedName>
    <definedName name="巧言术">法术大全!$M$270</definedName>
    <definedName name="巨武器大师">图表!$CY$13</definedName>
    <definedName name="巨虫术">法术大全!$M$302</definedName>
    <definedName name="巫师杀手">图表!$CY$22</definedName>
    <definedName name="巫术箭">法术大全!$M$119</definedName>
    <definedName name="希望信标">法术大全!$M$211</definedName>
    <definedName name="平民英雄工具熟练项">图表!$AN$69</definedName>
    <definedName name="平民英雄技能熟练项">图表!$AN$67</definedName>
    <definedName name="平民英雄牵绊">图表!$AN$52:$AN$57</definedName>
    <definedName name="平民英雄特殊选项">图表!$AN$75</definedName>
    <definedName name="平民英雄特点">图表!$AN$36:$AN$43</definedName>
    <definedName name="平民英雄理想">图表!$AN$45:$AN$50</definedName>
    <definedName name="平民英雄缺点">图表!$AN$59:$AN$64</definedName>
    <definedName name="平民英雄背景装备">图表!$AN$73</definedName>
    <definedName name="平民英雄额外语言">图表!$AN$71</definedName>
    <definedName name="幸运">图表!$CY$21</definedName>
    <definedName name="幸运一击">图表!$CK$13</definedName>
    <definedName name="幻影巨龙">法术大全!$M$480</definedName>
    <definedName name="幻景">法术大全!$M$308</definedName>
    <definedName name="幻身灵">图表!$BS$48:$CB$48</definedName>
    <definedName name="幻身灵属性值加成">图表!$BQ$76</definedName>
    <definedName name="幽影刃">法术大全!$M$185</definedName>
    <definedName name="庇护术">法术大全!$M$105</definedName>
    <definedName name="延迟爆裂火球">法术大全!$M$442</definedName>
    <definedName name="异怪召唤术_召唤异怪灵魄">法术大全!$M$323</definedName>
    <definedName name="异界之门">法术大全!$M$494</definedName>
    <definedName name="异界传送">法术大全!$M$452</definedName>
    <definedName name="异界宗主">图表!$CM$2</definedName>
    <definedName name="异界探知">法术大全!$M$343</definedName>
    <definedName name="异界誓盟">法术大全!$M$424</definedName>
    <definedName name="异界誓缚">法术大全!$M$371</definedName>
    <definedName name="引力裂沟">法术大全!$M$304</definedName>
    <definedName name="引导神力">图表!$CG$4</definedName>
    <definedName name="弗莱格索斯之焰">图表!$CY$52</definedName>
    <definedName name="弩矢_20">图表!$AC$6</definedName>
    <definedName name="弩矢匣">图表!$AC$27</definedName>
    <definedName name="弱智术">法术大全!$M$477</definedName>
    <definedName name="弹射">法术大全!$M$56</definedName>
    <definedName name="强令对决">法术大全!$M$64</definedName>
    <definedName name="强健身心">图表!$CY$31</definedName>
    <definedName name="强化属性">法术大全!$M$147</definedName>
    <definedName name="强弩专家">图表!$CY$6</definedName>
    <definedName name="强迫术">法术大全!$M$287</definedName>
    <definedName name="强酸_小瓶">图表!$AC$2</definedName>
    <definedName name="形体变化">法术大全!$M$505</definedName>
    <definedName name="影灵_魔邓肯属性值加成">图表!$BQ$45</definedName>
    <definedName name="影界触碰">图表!$CY$69</definedName>
    <definedName name="律令医疗">法术大全!$M$500</definedName>
    <definedName name="律令死亡">法术大全!$M$501</definedName>
    <definedName name="律令痛苦">法术大全!$M$453</definedName>
    <definedName name="律令震慑">法术大全!$M$486</definedName>
    <definedName name="御风而行">法术大全!$M$437</definedName>
    <definedName name="德鲁伊">图表!$CV$2:$CV$8</definedName>
    <definedName name="德鲁伊不朽身">图表!$CW$6</definedName>
    <definedName name="德鲁伊伎俩">法术大全!$M$9</definedName>
    <definedName name="德鲁伊护甲熟练">图表!$I$34</definedName>
    <definedName name="德鲁伊施法">图表!$CW$3</definedName>
    <definedName name="德鲁伊林地">法术大全!$M$403</definedName>
    <definedName name="德鲁伊武器熟练">图表!$G$34</definedName>
    <definedName name="德鲁伊结社">图表!$CW$5</definedName>
    <definedName name="德鲁伊语">图表!$CW$2</definedName>
    <definedName name="徽章">图表!$AC$50</definedName>
    <definedName name="心如止水">图表!$CI$13</definedName>
    <definedName name="心灵之楔">法术大全!$M$24</definedName>
    <definedName name="心灵尖刺">法术大全!$M$171</definedName>
    <definedName name="心灵尖啸">法术大全!$M$503</definedName>
    <definedName name="心灵屏障">法术大全!$M$485</definedName>
    <definedName name="心灵感应">法术大全!$M$489</definedName>
    <definedName name="心灵遥控">法术大全!$M$382</definedName>
    <definedName name="心电感应">图表!$CY$73</definedName>
    <definedName name="快速交友">法术大全!$M$277</definedName>
    <definedName name="快速移动">图表!$CU$8</definedName>
    <definedName name="念动力">图表!$CY$72</definedName>
    <definedName name="怪影杀手">法术大全!$M$511</definedName>
    <definedName name="怪物定身术">法术大全!$M$359</definedName>
    <definedName name="恐惧术">法术大全!$M$228</definedName>
    <definedName name="恶言相加">法术大全!$M$45</definedName>
    <definedName name="恶魔体质">图表!$CY$53</definedName>
    <definedName name="惊惧斩">法术大全!$M$319</definedName>
    <definedName name="慷慨吉运">图表!$CY$44</definedName>
    <definedName name="战地施法者">图表!$CY$42</definedName>
    <definedName name="战士">图表!$CP$2:$CP$7</definedName>
    <definedName name="战士战斗风格">图表!$CQ$2</definedName>
    <definedName name="战士护甲熟练">图表!$I$39</definedName>
    <definedName name="战士武器熟练">图表!$G$39</definedName>
    <definedName name="战士额外攻击">图表!$CQ$6</definedName>
    <definedName name="战技专家">图表!$CY$24</definedName>
    <definedName name="战斗学徒">图表!$CY$64</definedName>
    <definedName name="扁瓶或大杯">图表!$AC$44</definedName>
    <definedName name="托梦术">法术大全!$M$352</definedName>
    <definedName name="扩大重力">法术大全!$M$101</definedName>
    <definedName name="扬琴">图表!$AC$126</definedName>
    <definedName name="扭曲价值">法术大全!$M$122</definedName>
    <definedName name="技艺专家">图表!$CY$70</definedName>
    <definedName name="投影术">法术大全!$M$455</definedName>
    <definedName name="投石索弹丸_20">图表!$AC$7</definedName>
    <definedName name="抗毒剂_小瓶">图表!$AC$8</definedName>
    <definedName name="护盾术">法术大全!$M$107</definedName>
    <definedName name="护符">图表!$AC$49</definedName>
    <definedName name="拂晓">法术大全!$M$348</definedName>
    <definedName name="拉瑞心灵联结">法术大全!$M$373</definedName>
    <definedName name="招牌法术">图表!$CA$6</definedName>
    <definedName name="拟像术">法术大全!$M$460</definedName>
    <definedName name="拨挡飞弹">图表!$CI$7</definedName>
    <definedName name="持久狂暴">图表!$CU$12</definedName>
    <definedName name="指使术">法术大全!$M$356</definedName>
    <definedName name="授予技能">法术大全!$M$377</definedName>
    <definedName name="排箫">图表!$AC$131</definedName>
    <definedName name="探知">法术大全!$M$375</definedName>
    <definedName name="探索套装">图表!$AC$141</definedName>
    <definedName name="控火">法术大全!$M$6</definedName>
    <definedName name="提升抗性">法术大全!$M$32</definedName>
    <definedName name="提夫林">图表!$BS$44:$BU$44</definedName>
    <definedName name="提夫林亚种_魔邓肯属性值加成">图表!$BQ$66</definedName>
    <definedName name="提夫林变体_剑湾属性值加成">图表!$BQ$65</definedName>
    <definedName name="提夫林属性值加成">图表!$BQ$64</definedName>
    <definedName name="提琴">图表!$AC$133</definedName>
    <definedName name="援助术">法术大全!$M$126</definedName>
    <definedName name="摄心目光">法术大全!$M$404</definedName>
    <definedName name="摧毁不死生物">图表!$CG$5</definedName>
    <definedName name="撬棍">图表!$AC$38</definedName>
    <definedName name="操控天气">法术大全!$M$472</definedName>
    <definedName name="操控水体">法术大全!$M$291</definedName>
    <definedName name="操控风力">法术大全!$M$345</definedName>
    <definedName name="操水">法术大全!$M$35</definedName>
    <definedName name="操纵死尸">法术大全!$M$209</definedName>
    <definedName name="擒抱者">图表!$CY$12</definedName>
    <definedName name="擒抱藤">法术大全!$M$303</definedName>
    <definedName name="攀爬工具">图表!$AC$32</definedName>
    <definedName name="支配人类">法术大全!$M$351</definedName>
    <definedName name="支配怪物">法术大全!$M$475</definedName>
    <definedName name="支配野兽">法术大全!$M$295</definedName>
    <definedName name="放大镜">图表!$AC$63</definedName>
    <definedName name="放逐斩">法术大全!$M$334</definedName>
    <definedName name="放逐术">法术大全!$M$284</definedName>
    <definedName name="敌群环绕">法术大全!$M$226</definedName>
    <definedName name="敏锐心灵">图表!$CY$18</definedName>
    <definedName name="教团骑士工具熟练项">图表!$BH$69</definedName>
    <definedName name="教团骑士技能熟练项">图表!$BH$67</definedName>
    <definedName name="教团骑士牵绊">图表!$BH$52:$BH$57</definedName>
    <definedName name="教团骑士特点">图表!$BH$36:$BH$43</definedName>
    <definedName name="教团骑士理想">图表!$BH$45:$BH$50</definedName>
    <definedName name="教团骑士缺点">图表!$BH$59:$BH$64</definedName>
    <definedName name="教团骑士背景装备">图表!$BH$73</definedName>
    <definedName name="教团骑士额外语言">图表!$BH$71</definedName>
    <definedName name="散射术">法术大全!$M$427</definedName>
    <definedName name="敦实半身人属性值加成">图表!$BQ$38</definedName>
    <definedName name="敲击术">法术大全!$M$162</definedName>
    <definedName name="整副三龙牌">图表!$AC$122</definedName>
    <definedName name="整副纸牌">图表!$AC$121</definedName>
    <definedName name="整副骰子">图表!$AC$119</definedName>
    <definedName name="整套龙棋">图表!$AC$120</definedName>
    <definedName name="文书伪造工具">图表!$AC$118</definedName>
    <definedName name="斑猫人">图表!$BS$54:$CB$54</definedName>
    <definedName name="斑猫人属性值加成">图表!$BQ$81</definedName>
    <definedName name="斗殴高手">图表!$CY$40</definedName>
    <definedName name="旅行者服装">图表!$AC$36</definedName>
    <definedName name="旋风">法术大全!$M$465</definedName>
    <definedName name="无声幻影">法术大全!$M$109</definedName>
    <definedName name="无敌术">法术大全!$M$496</definedName>
    <definedName name="无甲">图表!$U$57:$U$59</definedName>
    <definedName name="无甲移动">图表!$CI$5</definedName>
    <definedName name="无踪步">图表!$CS$11</definedName>
    <definedName name="时光蹂躏">法术大全!$M$507</definedName>
    <definedName name="时流刹转">法术大全!$M$384</definedName>
    <definedName name="时间停止">法术大全!$M$508</definedName>
    <definedName name="易容工具">图表!$AC$117</definedName>
    <definedName name="易容术">法术大全!$M$71</definedName>
    <definedName name="星界投影">法术大全!$M$491</definedName>
    <definedName name="昼明术">法术大全!$M$223</definedName>
    <definedName name="普通服装">图表!$AC$33</definedName>
    <definedName name="智者工具熟练项">图表!$AU$69</definedName>
    <definedName name="智者技能熟练项">图表!$AU$67</definedName>
    <definedName name="智者牵绊">图表!$AU$52:$AU$57</definedName>
    <definedName name="智者特殊选项">图表!$AU$75</definedName>
    <definedName name="智者特点">图表!$AU$36:$AU$43</definedName>
    <definedName name="智者理想">图表!$AU$45:$AU$50</definedName>
    <definedName name="智者缺点">图表!$AU$59:$AU$64</definedName>
    <definedName name="智者背景装备">图表!$AU$73</definedName>
    <definedName name="智者额外语言">图表!$AU$71</definedName>
    <definedName name="智能堡垒">法术大全!$M$238</definedName>
    <definedName name="暗影衍体召唤术_召唤暗影灵魄">法术大全!$M$265</definedName>
    <definedName name="暗示术">法术大全!$M$193</definedName>
    <definedName name="暗黑星辰">法术大全!$M$473</definedName>
    <definedName name="暴风球">法术大全!$M$322</definedName>
    <definedName name="曳光弹">法术大全!$M$86</definedName>
    <definedName name="月华之光">法术大全!$M$174</definedName>
    <definedName name="望远镜">图表!$AC$93</definedName>
    <definedName name="朝臣工具熟练项">图表!$BD$69</definedName>
    <definedName name="朝臣技能熟练项">图表!$BD$67</definedName>
    <definedName name="朝臣牵绊">图表!$BD$52:$BD$57</definedName>
    <definedName name="朝臣特点">图表!$BD$36:$BD$43</definedName>
    <definedName name="朝臣理想">图表!$BD$45:$BD$50</definedName>
    <definedName name="朝臣缺点">图表!$BD$59:$BD$64</definedName>
    <definedName name="朝臣背景装备">图表!$BD$73</definedName>
    <definedName name="朝臣额外语言">图表!$BD$71</definedName>
    <definedName name="朦胧术">法术大全!$M$134</definedName>
    <definedName name="木制法杖">图表!$AC$41</definedName>
    <definedName name="木匠工具">图表!$AC$103</definedName>
    <definedName name="木桶">图表!$AC$16</definedName>
    <definedName name="木箱">图表!$AC$31</definedName>
    <definedName name="木精灵属性值加成">图表!$BQ$41</definedName>
    <definedName name="木精灵魔法">图表!$CY$58</definedName>
    <definedName name="木遁术">法术大全!$M$433</definedName>
    <definedName name="木雕工具">图表!$AC$116</definedName>
    <definedName name="术士">图表!$CB$2:$CB$6</definedName>
    <definedName name="术士护甲熟练">图表!$I$31</definedName>
    <definedName name="术士施法">图表!$CC$2</definedName>
    <definedName name="术士武器熟练">图表!$G$31</definedName>
    <definedName name="术法复苏">图表!$CC$6</definedName>
    <definedName name="术法起源">图表!$CC$3</definedName>
    <definedName name="机关人">图表!$BS$41:$CB$41</definedName>
    <definedName name="机关人属性值加成">图表!$BQ$61</definedName>
    <definedName name="权杖">图表!$AC$11</definedName>
    <definedName name="李欧蒙小屋">法术大全!$M$239</definedName>
    <definedName name="李欧蒙秘藏箱">法术大全!$M$310</definedName>
    <definedName name="材料包">图表!$AC$37</definedName>
    <definedName name="构装体召唤术_召唤构装灵魄">法术大全!$M$324</definedName>
    <definedName name="析米克杂种">图表!$BS$61:$CB$61</definedName>
    <definedName name="析米克混生体属性值加成">图表!$BQ$89</definedName>
    <definedName name="枪手">图表!$CY$65</definedName>
    <definedName name="枯萎术">法术大全!$M$285</definedName>
    <definedName name="树肤术">法术大全!$M$131</definedName>
    <definedName name="树跃术">法术大全!$M$386</definedName>
    <definedName name="梭螺鱼人">图表!$BS$58:$CB$58</definedName>
    <definedName name="梭螺鱼人属性值加成">图表!$BQ$86</definedName>
    <definedName name="棘墙术">法术大全!$M$436</definedName>
    <definedName name="棘雹术">法术大全!$M$87</definedName>
    <definedName name="森林侏儒属性值加成">图表!$BQ$70</definedName>
    <definedName name="植物交谈">法术大全!$M$259</definedName>
    <definedName name="植物滋长">法术大全!$M$250</definedName>
    <definedName name="槲寄生枝条">图表!$AC$39</definedName>
    <definedName name="橡棍术">法术大全!$M$36</definedName>
    <definedName name="次级复原术">法术大全!$M$163</definedName>
    <definedName name="次级幻影">法术大全!$M$25</definedName>
    <definedName name="欧提路克冰封法球">法术大全!$M$422</definedName>
    <definedName name="欧提路克弹力法球">法术大全!$M$314</definedName>
    <definedName name="歌利亚">图表!$BS$59:$CB$59</definedName>
    <definedName name="歌利亚属性值加成">图表!$BQ$87</definedName>
    <definedName name="武僧">图表!$CH$2:$CH$19</definedName>
    <definedName name="武僧不朽身">图表!$CI$17</definedName>
    <definedName name="武僧反射闪避">图表!$CI$12</definedName>
    <definedName name="武僧护甲熟练">图表!$I$35</definedName>
    <definedName name="武僧无甲防御">图表!$CI$2</definedName>
    <definedName name="武僧武器熟练">图表!$G$35</definedName>
    <definedName name="武僧额外攻击">图表!$CI$9</definedName>
    <definedName name="武器大师">图表!$CY$43</definedName>
    <definedName name="武术范型">图表!$CQ$5</definedName>
    <definedName name="武艺">图表!$CI$3</definedName>
    <definedName name="死云术">法术大全!$M$337</definedName>
    <definedName name="死亡一指">法术大全!$M$446</definedName>
    <definedName name="死亡法阵">法术大全!$M$396</definedName>
    <definedName name="死者交谈">法术大全!$M$258</definedName>
    <definedName name="死者复活">法术大全!$M$372</definedName>
    <definedName name="毒师">图表!$CY$68</definedName>
    <definedName name="毒气喷溅">法术大全!$M$27</definedName>
    <definedName name="毕格比之手">法术大全!$M$335</definedName>
    <definedName name="毛毯">图表!$AC$20</definedName>
    <definedName name="氏族工匠工具熟练项">图表!$BB$69</definedName>
    <definedName name="氏族工匠技能熟练项">图表!$BB$67</definedName>
    <definedName name="氏族工匠牵绊">图表!$BB$52:$BB$57</definedName>
    <definedName name="氏族工匠特点">图表!$BB$36:$BB$43</definedName>
    <definedName name="氏族工匠理想">图表!$BB$45:$BB$50</definedName>
    <definedName name="氏族工匠缺点">图表!$BB$59:$BB$64</definedName>
    <definedName name="氏族工匠背景装备">图表!$BB$73</definedName>
    <definedName name="氏族工匠额外语言">图表!$BB$71</definedName>
    <definedName name="气">图表!$CI$4</definedName>
    <definedName name="气化形体">法术大全!$M$233</definedName>
    <definedName name="水中呼吸">法术大全!$M$274</definedName>
    <definedName name="水墙术">法术大全!$M$273</definedName>
    <definedName name="水手工具熟练项">图表!$AV$69</definedName>
    <definedName name="水手技能熟练项">图表!$AV$67</definedName>
    <definedName name="水手牵绊">图表!$AV$52:$AV$57</definedName>
    <definedName name="水手特殊选项">图表!$AV$75</definedName>
    <definedName name="水手特点">图表!$AV$36:$AV$43</definedName>
    <definedName name="水手理想">图表!$AV$45:$AV$50</definedName>
    <definedName name="水手缺点">图表!$AV$59:$AV$64</definedName>
    <definedName name="水手背景装备">图表!$AV$73</definedName>
    <definedName name="水手额外语言">图表!$AV$71</definedName>
    <definedName name="水晶">图表!$AC$9</definedName>
    <definedName name="水桶">图表!$AC$24</definedName>
    <definedName name="水袋">图表!$AC$98</definedName>
    <definedName name="水面行走">法术大全!$M$275</definedName>
    <definedName name="汲能术">法术大全!$M$353</definedName>
    <definedName name="沉默术">法术大全!$M$187</definedName>
    <definedName name="沙墙术">法术大全!$M$272</definedName>
    <definedName name="沙漏">图表!$AC$53</definedName>
    <definedName name="油灯">图表!$AC$59</definedName>
    <definedName name="油腻术">法术大全!$M$85</definedName>
    <definedName name="治愈之魂">法术大全!$M$157</definedName>
    <definedName name="治愈真言">法术大全!$M$88</definedName>
    <definedName name="治疗祷言">法术大全!$M$178</definedName>
    <definedName name="治疗药水">图表!$AC$76</definedName>
    <definedName name="法师">图表!$BZ$2:$BZ$6</definedName>
    <definedName name="法师之手">法术大全!$M$20</definedName>
    <definedName name="法师护甲">法术大全!$M$99</definedName>
    <definedName name="法师护甲熟练">图表!$I$30</definedName>
    <definedName name="法师施法">图表!$CA$2</definedName>
    <definedName name="法师武器熟练">图表!$G$30</definedName>
    <definedName name="法术书">图表!$AC$91</definedName>
    <definedName name="法术反制">法术大全!$M$220</definedName>
    <definedName name="法术射手">图表!$CY$39</definedName>
    <definedName name="法术无效结界">法术大全!$M$408</definedName>
    <definedName name="法术精通">图表!$CA$5</definedName>
    <definedName name="法杖">图表!$AC$12</definedName>
    <definedName name="法球">图表!$AC$10</definedName>
    <definedName name="泥瓦匠工具">图表!$AC$110</definedName>
    <definedName name="注目术">法术大全!$M$149</definedName>
    <definedName name="活力灵光">法术大全!$M$210</definedName>
    <definedName name="活化物件">法术大全!$M$331</definedName>
    <definedName name="派系特工工具熟练项">图表!$BE$69</definedName>
    <definedName name="派系特工技能熟练项">图表!$BE$67</definedName>
    <definedName name="派系特工牵绊">图表!$BE$52:$BE$57</definedName>
    <definedName name="派系特工特点">图表!$BE$36:$BE$43</definedName>
    <definedName name="派系特工理想">图表!$BE$45:$BE$50</definedName>
    <definedName name="派系特工缺点">图表!$BE$59:$BE$64</definedName>
    <definedName name="派系特工背景装备">图表!$BE$73</definedName>
    <definedName name="派系特工额外语言">图表!$BE$71</definedName>
    <definedName name="流星爆">法术大全!$M$499</definedName>
    <definedName name="流浪儿工具熟练项">图表!$AY$69</definedName>
    <definedName name="流浪儿技能熟练项">图表!$AY$67</definedName>
    <definedName name="流浪儿牵绊">图表!$AY$52:$AY$57</definedName>
    <definedName name="流浪儿特殊选项">图表!$AY$75</definedName>
    <definedName name="流浪儿特点">图表!$AY$36:$AY$43</definedName>
    <definedName name="流浪儿理想">图表!$AY$45:$AY$50</definedName>
    <definedName name="流浪儿缺点">图表!$AY$59:$AY$64</definedName>
    <definedName name="流浪儿背景装备">图表!$AY$73</definedName>
    <definedName name="流浪儿额外语言">图表!$AY$71</definedName>
    <definedName name="浓酸球">法术大全!$M$326</definedName>
    <definedName name="浮空术">法术大全!$M$164</definedName>
    <definedName name="海啸术">法术大全!$M$490</definedName>
    <definedName name="海市蜃楼">法术大全!$M$449</definedName>
    <definedName name="海盗工具熟练项">图表!$AW$69</definedName>
    <definedName name="海盗技能熟练项">图表!$AW$67</definedName>
    <definedName name="海盗牵绊">图表!$AW$52:$AW$57</definedName>
    <definedName name="海盗特殊选项">图表!$AW$75</definedName>
    <definedName name="海盗特点">图表!$AW$36:$AW$43</definedName>
    <definedName name="海盗理想">图表!$AW$45:$AW$50</definedName>
    <definedName name="海盗缺点">图表!$AW$59:$AW$64</definedName>
    <definedName name="海盗背景装备">图表!$AW$73</definedName>
    <definedName name="海盗额外语言">图表!$AW$71</definedName>
    <definedName name="海精灵_魔邓肯属性值加成">图表!$BQ$44</definedName>
    <definedName name="涅斯图魔法灵光">法术大全!$M$175</definedName>
    <definedName name="涡旋翘曲">法术大全!$M$207</definedName>
    <definedName name="深水人贵族工具熟练项">图表!$BL$69</definedName>
    <definedName name="深水人贵族技能熟练项">图表!$BL$67</definedName>
    <definedName name="深水人贵族牵绊">图表!$BL$52:$BL$57</definedName>
    <definedName name="深水人贵族特点">图表!$BL$36:$BL$43</definedName>
    <definedName name="深水人贵族理想">图表!$BL$45:$BL$50</definedName>
    <definedName name="深水人贵族缺点">图表!$BL$59:$BL$64</definedName>
    <definedName name="深水人贵族背景装备">图表!$BL$73</definedName>
    <definedName name="深水人贵族额外语言">图表!$BL$71</definedName>
    <definedName name="混乱箭">法术大全!$M$59</definedName>
    <definedName name="清风赋权">法术大全!$M$417</definedName>
    <definedName name="渔具">图表!$AC$43</definedName>
    <definedName name="游侠">图表!$CR$2:$CR$13</definedName>
    <definedName name="游侠大地行者">图表!$CS$9</definedName>
    <definedName name="游侠战斗风格">图表!$CS$4</definedName>
    <definedName name="游侠护甲熟练">图表!$I$41</definedName>
    <definedName name="游侠施法">图表!$CS$5</definedName>
    <definedName name="游侠武器熟练">图表!$G$41</definedName>
    <definedName name="游侠范型">图表!$CS$6</definedName>
    <definedName name="游侠额外攻击">图表!$CS$8</definedName>
    <definedName name="游荡者">图表!$CJ$2:$CJ$13</definedName>
    <definedName name="游荡者专精">图表!$CK$2</definedName>
    <definedName name="游荡者反射闪避">图表!$CK$8</definedName>
    <definedName name="游荡者护甲熟练">图表!$I$36</definedName>
    <definedName name="游荡者武器熟练">图表!$G$36</definedName>
    <definedName name="游荡者范型">图表!$CK$6</definedName>
    <definedName name="渺远步">法术大全!$M$354</definedName>
    <definedName name="湮灭波">法术大全!$M$349</definedName>
    <definedName name="滑轮组">图表!$AC$21</definedName>
    <definedName name="滚珠_一包1000粒">图表!$AC$15</definedName>
    <definedName name="演员">图表!$CY$4</definedName>
    <definedName name="潮涌">法术大全!$M$268</definedName>
    <definedName name="激励之源">图表!$CE$8</definedName>
    <definedName name="激愤斩">法术大全!$M$120</definedName>
    <definedName name="火墙术">法术大全!$M$327</definedName>
    <definedName name="火把">图表!$AC$96</definedName>
    <definedName name="火焰刀">法术大全!$M$152</definedName>
    <definedName name="火焰护盾">法术大全!$M$300</definedName>
    <definedName name="火焰箭">法术大全!$M$11</definedName>
    <definedName name="火焰风暴">法术大全!$M$447</definedName>
    <definedName name="火球术">法术大全!$M$230</definedName>
    <definedName name="火箭">法术大全!$M$231</definedName>
    <definedName name="火绒盒">图表!$AC$95</definedName>
    <definedName name="灯油_扁瓶">图表!$AC$67</definedName>
    <definedName name="灰矮人_魔邓肯属性值加成">图表!$BQ$50</definedName>
    <definedName name="灵体卫士">法术大全!$M$260</definedName>
    <definedName name="灵体武器">法术大全!$M$192</definedName>
    <definedName name="灵光一闪">图表!$CO$8</definedName>
    <definedName name="灵巧动作">图表!$CK$5</definedName>
    <definedName name="灵敏之赐">法术大全!$M$83</definedName>
    <definedName name="灵活移动">图表!$CY$26</definedName>
    <definedName name="灵魂牢笼">法术大全!$M$428</definedName>
    <definedName name="灼热射线">法术大全!$M$183</definedName>
    <definedName name="灼热金属">法术大全!$M$158</definedName>
    <definedName name="灾祸之刃">法术大全!$M$492</definedName>
    <definedName name="灾祸术">法术大全!$M$52</definedName>
    <definedName name="炼狱叱喝">法术大全!$M$89</definedName>
    <definedName name="炼金工具">图表!$AC$100</definedName>
    <definedName name="炽火胶_扁瓶">图表!$AC$3</definedName>
    <definedName name="炽焰斩">法术大全!$M$106</definedName>
    <definedName name="炽焰法球">法术大全!$M$153</definedName>
    <definedName name="炽焰赋权">法术大全!$M$414</definedName>
    <definedName name="烟火">法术大全!$M$180</definedName>
    <definedName name="焚云术">法术大全!$M$481</definedName>
    <definedName name="焚烧">法术大全!$M$361</definedName>
    <definedName name="焰击术">法术大全!$M$355</definedName>
    <definedName name="熊地精属性值加成">图表!$BQ$73</definedName>
    <definedName name="熟习">图表!$CY$37</definedName>
    <definedName name="燃火术">法术大全!$M$30</definedName>
    <definedName name="燃烧之手">法术大全!$M$55</definedName>
    <definedName name="爪钩">图表!$AC$45</definedName>
    <definedName name="爬梯_10尺">图表!$AC$58</definedName>
    <definedName name="牛头人">图表!$BS$52:$BT$52</definedName>
    <definedName name="牛头人_塞洛斯属性值加成">图表!$BQ$100</definedName>
    <definedName name="牛头人_拉尼卡属性值加成">图表!$BQ$99</definedName>
    <definedName name="牛眼提灯">图表!$AC$60</definedName>
    <definedName name="牧师">图表!$CF$2:$CF$6</definedName>
    <definedName name="牧师护甲熟练">图表!$I$33</definedName>
    <definedName name="牧师施法">图表!$CG$2</definedName>
    <definedName name="牧师武器熟练">图表!$G$33</definedName>
    <definedName name="物件定位术">法术大全!$M$166</definedName>
    <definedName name="物品注法">图表!$CO$4</definedName>
    <definedName name="狂暴">图表!$CU$2</definedName>
    <definedName name="狗头人">图表!$BS$63:$CB$63</definedName>
    <definedName name="狗头人属性值加成">图表!$BQ$91</definedName>
    <definedName name="狩猎陷阱">图表!$AC$54</definedName>
    <definedName name="狮族">图表!$BS$68</definedName>
    <definedName name="狮族属性值加成">图表!$BQ$102</definedName>
    <definedName name="猎人印记">法术大全!$M$92</definedName>
    <definedName name="猎食化兽者属性值加成">图表!$BQ$96</definedName>
    <definedName name="玄奥秘法">图表!$CM$6</definedName>
    <definedName name="玺戒">图表!$AC$89</definedName>
    <definedName name="玻璃匠工具">图表!$AC$107</definedName>
    <definedName name="玻璃瓶">图表!$AC$23</definedName>
    <definedName name="珠宝匠工具">图表!$AC$108</definedName>
    <definedName name="生命灵光">法术大全!$M$282</definedName>
    <definedName name="生命转换">法术大全!$M$240</definedName>
    <definedName name="生物定位术">法术大全!$M$311</definedName>
    <definedName name="电爪">法术大全!$M$37</definedName>
    <definedName name="画家工具">图表!$AC$111</definedName>
    <definedName name="疗伤术">法术大全!$M$67</definedName>
    <definedName name="疫病术">法术大全!$M$344</definedName>
    <definedName name="疫病虫群">法术大全!$M$363</definedName>
    <definedName name="疯狂之暗">法术大全!$M$482</definedName>
    <definedName name="疯狂冠冕">法术大全!$M$140</definedName>
    <definedName name="白龙裔属性值加成">图表!$BQ$57</definedName>
    <definedName name="百病不侵">图表!$CI$14</definedName>
    <definedName name="皮匠工具">图表!$AC$109</definedName>
    <definedName name="盗贼工具">图表!$AC$136</definedName>
    <definedName name="盗贼黑话">图表!$CK$4</definedName>
    <definedName name="目盲_耳聋术">法术大全!$M$133</definedName>
    <definedName name="直觉闪避">图表!$CK$7</definedName>
    <definedName name="盾牌大师">图表!$CY$36</definedName>
    <definedName name="真气驻拳">图表!$CI$11</definedName>
    <definedName name="真知术">法术大全!$M$434</definedName>
    <definedName name="睡眠术">法术大全!$M$110</definedName>
    <definedName name="短讯术">法术大全!$M$255</definedName>
    <definedName name="矮人">图表!$BS$39:$BV$39</definedName>
    <definedName name="矮人之坚毅">图表!$CY$48</definedName>
    <definedName name="石化术">法术大全!$M$406</definedName>
    <definedName name="石墙术">法术大全!$M$389</definedName>
    <definedName name="石肤术">法术大全!$M$321</definedName>
    <definedName name="矿工镐">图表!$AC$71</definedName>
    <definedName name="碧水球">法术大全!$M$328</definedName>
    <definedName name="磐石赋权">法术大全!$M$416</definedName>
    <definedName name="磨刀石">图表!$AC$99</definedName>
    <definedName name="祈愿术">法术大全!$M$512</definedName>
    <definedName name="祝福术">法术大全!$M$54</definedName>
    <definedName name="神佑">图表!$BY$7</definedName>
    <definedName name="神圣干预">图表!$CG$6</definedName>
    <definedName name="神圣感知">图表!$BY$2</definedName>
    <definedName name="神圣武器">法术大全!$M$360</definedName>
    <definedName name="神圣誓言">图表!$BY$8</definedName>
    <definedName name="神圣领域">图表!$CG$3</definedName>
    <definedName name="神导术">法术大全!$M$15</definedName>
    <definedName name="神射手">图表!$CY$35</definedName>
    <definedName name="神庙术">法术大全!$M$463</definedName>
    <definedName name="神恩">法术大全!$M$73</definedName>
    <definedName name="神莓术">法术大全!$M$84</definedName>
    <definedName name="祭司套装">图表!$AC$142</definedName>
    <definedName name="禁制术">法术大全!$M$407</definedName>
    <definedName name="禁锢术">法术大全!$M$495</definedName>
    <definedName name="离梦人">图表!$BS$64:$CB$64</definedName>
    <definedName name="离梦人属性值加成">图表!$BQ$92</definedName>
    <definedName name="秘法眼">法术大全!$M$281</definedName>
    <definedName name="秘法锁">法术大全!$M$129</definedName>
    <definedName name="秘法门">法术大全!$M$392</definedName>
    <definedName name="称手工具">图表!$CO$6</definedName>
    <definedName name="移除诅咒">法术大全!$M$253</definedName>
    <definedName name="空灵体">图表!$CI$18</definedName>
    <definedName name="穿刺者">图表!$CY$67</definedName>
    <definedName name="穿墙术">法术大全!$M$370</definedName>
    <definedName name="突触静止">法术大全!$M$381</definedName>
    <definedName name="窃贼套装">图表!$AC$137</definedName>
    <definedName name="算盘">图表!$AC$1</definedName>
    <definedName name="箭_20">图表!$AC$4</definedName>
    <definedName name="箭袋">图表!$AC$78</definedName>
    <definedName name="篡改记忆">法术大全!$M$368</definedName>
    <definedName name="篮子">图表!$AC$17</definedName>
    <definedName name="粉碎者">图表!$CY$61</definedName>
    <definedName name="粉碎音波">法术大全!$M$186</definedName>
    <definedName name="粉笔_1块">图表!$AC$30</definedName>
    <definedName name="精灵">图表!$BS$37:$BZ$37</definedName>
    <definedName name="精灵之准">图表!$CY$49</definedName>
    <definedName name="精神监狱">法术大全!$M$420</definedName>
    <definedName name="精类位移">图表!$CY$51</definedName>
    <definedName name="精类召唤术_召唤精类灵魄">法术大全!$M$263</definedName>
    <definedName name="精类触碰">图表!$CY$63</definedName>
    <definedName name="精通至圣斩">图表!$BY$12</definedName>
    <definedName name="系结本源">法术大全!$M$464</definedName>
    <definedName name="紫衫魔杖">图表!$AC$42</definedName>
    <definedName name="繁彩球">法术大全!$M$61</definedName>
    <definedName name="纠缠术">法术大全!$M$76</definedName>
    <definedName name="红龙裔属性值加成">图表!$BQ$52</definedName>
    <definedName name="纯种蛇人">图表!$BS$56:$CB$56</definedName>
    <definedName name="纯种蛇人属性值加成">图表!$BQ$83</definedName>
    <definedName name="纳撒尔恶作剧">法术大全!$M$203</definedName>
    <definedName name="纸_每张">图表!$AC$68</definedName>
    <definedName name="织布工具">图表!$AC$115</definedName>
    <definedName name="继承者工具熟练项">图表!$BG$69</definedName>
    <definedName name="继承者技能熟练项">图表!$BG$67</definedName>
    <definedName name="继承者牵绊">图表!$BG$52:$BG$57</definedName>
    <definedName name="继承者特点">图表!$BG$36:$BG$43</definedName>
    <definedName name="继承者理想">图表!$BG$45:$BG$50</definedName>
    <definedName name="继承者缺点">图表!$BG$59:$BG$64</definedName>
    <definedName name="继承者背景装备">图表!$BG$73</definedName>
    <definedName name="继承者额外语言">图表!$BG$71</definedName>
    <definedName name="维多肯">图表!$BS$62:$CB$62</definedName>
    <definedName name="维多肯属性值加成">图表!$BQ$90</definedName>
    <definedName name="维生术">法术大全!$M$38</definedName>
    <definedName name="绿龙裔属性值加成">图表!$BQ$56</definedName>
    <definedName name="缓慢术">法术大全!$M$257</definedName>
    <definedName name="罪犯工具熟练项">图表!$AJ$69</definedName>
    <definedName name="罪犯技能熟练项">图表!$AJ$67</definedName>
    <definedName name="罪犯牵绊">图表!$AJ$52:$AJ$57</definedName>
    <definedName name="罪犯特殊选项">图表!$AJ$75</definedName>
    <definedName name="罪犯特点">图表!$AJ$36:$AJ$43</definedName>
    <definedName name="罪犯理想">图表!$AJ$45:$AJ$50</definedName>
    <definedName name="罪犯缺点">图表!$AJ$59:$AJ$64</definedName>
    <definedName name="罪犯背景装备">图表!$AJ$73</definedName>
    <definedName name="罪犯额外语言">图表!$AJ$71</definedName>
    <definedName name="羊皮纸_每张">图表!$AC$69</definedName>
    <definedName name="群体医疗术">法术大全!$M$497</definedName>
    <definedName name="群体变形术">法术大全!$M$498</definedName>
    <definedName name="群体暗示术">法术大全!$M$419</definedName>
    <definedName name="群体治愈真言">法术大全!$M$245</definedName>
    <definedName name="群体疗伤术">法术大全!$M$366</definedName>
    <definedName name="羽落术">法术大全!$M$80</definedName>
    <definedName name="翠炎剑">法术大全!$M$14</definedName>
    <definedName name="老佣兵工具熟练项">图表!$BI$69</definedName>
    <definedName name="老佣兵技能熟练项">图表!$BI$67</definedName>
    <definedName name="老佣兵牵绊">图表!$BI$52:$BI$57</definedName>
    <definedName name="老佣兵特点">图表!$BI$36:$BI$43</definedName>
    <definedName name="老佣兵理想">图表!$BI$45:$BI$50</definedName>
    <definedName name="老佣兵缺点">图表!$BI$59:$BI$64</definedName>
    <definedName name="老佣兵背景装备">图表!$BI$73</definedName>
    <definedName name="老佣兵额外语言">图表!$BI$71</definedName>
    <definedName name="耐性">图表!$CY$10</definedName>
    <definedName name="肥皂">图表!$AC$90</definedName>
    <definedName name="背包">图表!$AC$14</definedName>
    <definedName name="脆弱诅咒">法术大全!$M$91</definedName>
    <definedName name="脉冲波动">法术大全!$M$252</definedName>
    <definedName name="脚底抹油">法术大全!$M$77</definedName>
    <definedName name="自然之怒">法术大全!$M$390</definedName>
    <definedName name="自然守卫">法术大全!$M$307</definedName>
    <definedName name="自然探索者">图表!$CS$3</definedName>
    <definedName name="臭云术">法术大全!$M$262</definedName>
    <definedName name="至圣斩">图表!$BY$6</definedName>
    <definedName name="致伤术">法术大全!$M$96</definedName>
    <definedName name="致病射线">法术大全!$M$104</definedName>
    <definedName name="致病辐射">法术大全!$M$318</definedName>
    <definedName name="致盲斩">法术大全!$M$213</definedName>
    <definedName name="舞光术">法术大全!$M$8</definedName>
    <definedName name="舞风">法术大全!$M$16</definedName>
    <definedName name="艺人套装">图表!$AC$140</definedName>
    <definedName name="艺人工具熟练项">图表!$AL$69</definedName>
    <definedName name="艺人技能熟练项">图表!$AL$67</definedName>
    <definedName name="艺人牵绊">图表!$AL$52:$AL$57</definedName>
    <definedName name="艺人特殊选项">图表!$AL$75</definedName>
    <definedName name="艺人特点">图表!$AL$36:$AL$43</definedName>
    <definedName name="艺人理想">图表!$AL$45:$AL$50</definedName>
    <definedName name="艺人缺点">图表!$AL$59:$AL$64</definedName>
    <definedName name="艺人背景装备">图表!$AL$73</definedName>
    <definedName name="艺人额外语言">图表!$AL$71</definedName>
    <definedName name="艾伐黑触手">法术大全!$M$297</definedName>
    <definedName name="艾嘉西斯之铠">法术大全!$M$50</definedName>
    <definedName name="芦笛">图表!$AC$132</definedName>
    <definedName name="花开二度">图表!$CY$56</definedName>
    <definedName name="花言巧语">法术大全!$M$478</definedName>
    <definedName name="英雄宴">法术大全!$M$413</definedName>
    <definedName name="英雄气概">法术大全!$M$90</definedName>
    <definedName name="荆棘丛生">法术大全!$M$191</definedName>
    <definedName name="荆棘之鞭">法术大全!$M$41</definedName>
    <definedName name="草药工具">图表!$AC$123</definedName>
    <definedName name="荒野形态">图表!$CW$4</definedName>
    <definedName name="莫伊之影">法术大全!$M$317</definedName>
    <definedName name="莱姆束缚之霜">法术大全!$M$204</definedName>
    <definedName name="获得魔宠">法术大全!$M$81</definedName>
    <definedName name="蓝纱一梦">法术大全!$M$444</definedName>
    <definedName name="虔诚护盾">法术大全!$M$108</definedName>
    <definedName name="虚假生命">法术大全!$M$79</definedName>
    <definedName name="虫群孳生">法术大全!$M$17</definedName>
    <definedName name="虹光喷射">法术大全!$M$454</definedName>
    <definedName name="虹光法墙">法术大全!$M$502</definedName>
    <definedName name="蛛网术">法术大全!$M$198</definedName>
    <definedName name="蛛行术">法术大全!$M$190</definedName>
    <definedName name="蜡烛">图表!$AC$26</definedName>
    <definedName name="蜥蜴人">图表!$BS$50:$CB$50</definedName>
    <definedName name="蜥蜴人属性值加成">图表!$BQ$78</definedName>
    <definedName name="融身入石">法术大全!$M$246</definedName>
    <definedName name="行动无踪">法术大全!$M$176</definedName>
    <definedName name="行动自如">法术大全!$M$301</definedName>
    <definedName name="表演服装">图表!$AC$34</definedName>
    <definedName name="衰弱射线">法术大全!$M$181</definedName>
    <definedName name="西风打击">法术大全!$M$121</definedName>
    <definedName name="观察力">图表!$CY$29</definedName>
    <definedName name="角号">图表!$AC$130</definedName>
    <definedName name="角斗士工具熟练项">图表!$AM$69</definedName>
    <definedName name="角斗士技能熟练项">图表!$AM$67</definedName>
    <definedName name="角斗士牵绊">图表!$AM$52:$AM$57</definedName>
    <definedName name="角斗士特殊选项">图表!$AM$75</definedName>
    <definedName name="角斗士特点">图表!$AM$36:$AM$43</definedName>
    <definedName name="角斗士理想">图表!$AM$45:$AM$50</definedName>
    <definedName name="角斗士缺点">图表!$AM$59:$AM$64</definedName>
    <definedName name="角斗士背景装备">图表!$AM$73</definedName>
    <definedName name="角斗士额外语言">图表!$AM$71</definedName>
    <definedName name="解离术">法术大全!$M$401</definedName>
    <definedName name="解除魔法">法术大全!$M$224</definedName>
    <definedName name="触发术">法术大全!$M$398</definedName>
    <definedName name="警戒之箭">法术大全!$M$139</definedName>
    <definedName name="警报术">法术大全!$M$48</definedName>
    <definedName name="警觉">图表!$CY$2</definedName>
    <definedName name="识破隐形">法术大全!$M$184</definedName>
    <definedName name="诗人激励">图表!$CE$3</definedName>
    <definedName name="诚实之域">法术大全!$M$200</definedName>
    <definedName name="语言学家">图表!$CY$20</definedName>
    <definedName name="诱捕打击">法术大全!$M$75</definedName>
    <definedName name="调查员工具熟练项">图表!$BA$69</definedName>
    <definedName name="调查员技能熟练项">图表!$BA$67</definedName>
    <definedName name="调查员牵绊">图表!$BA$52:$BA$57</definedName>
    <definedName name="调查员特点">图表!$BA$36:$BA$43</definedName>
    <definedName name="调查员理想">图表!$BA$45:$BA$50</definedName>
    <definedName name="调查员缺点">图表!$BA$59:$BA$64</definedName>
    <definedName name="调查员背景装备">图表!$BA$73</definedName>
    <definedName name="调查员额外语言">图表!$BA$71</definedName>
    <definedName name="谭森变形术">法术大全!$M$432</definedName>
    <definedName name="谭森浮碟术">法术大全!$M$115</definedName>
    <definedName name="象族">图表!$BS$60:$CB$60</definedName>
    <definedName name="象族属性值加成">图表!$BQ$88</definedName>
    <definedName name="负能量洪流">法术大全!$M$369</definedName>
    <definedName name="贵族工具熟练项">图表!$AR$69</definedName>
    <definedName name="贵族技能熟练项">图表!$AR$67</definedName>
    <definedName name="贵族牵绊">图表!$AR$52:$AR$57</definedName>
    <definedName name="贵族特殊选项">图表!$AR$75</definedName>
    <definedName name="贵族特点">图表!$AR$36:$AR$43</definedName>
    <definedName name="贵族理想">图表!$AR$45:$AR$50</definedName>
    <definedName name="贵族缺点">图表!$AR$59:$AR$64</definedName>
    <definedName name="贵族背景装备">图表!$AR$73</definedName>
    <definedName name="贵族额外语言">图表!$AR$71</definedName>
    <definedName name="费尔伯格人">图表!$BS$67:$CB$67</definedName>
    <definedName name="费尔伯格人属性值加成">图表!$BQ$98</definedName>
    <definedName name="费茨本铂金盾">法术大全!$M$439</definedName>
    <definedName name="赤铜龙裔属性值加成">图表!$BQ$59</definedName>
    <definedName name="超凡入圣">图表!$CI$19</definedName>
    <definedName name="超魔法">图表!$CC$5</definedName>
    <definedName name="超魔法导师">图表!$CY$66</definedName>
    <definedName name="跳跃术">法术大全!$M$97</definedName>
    <definedName name="转化岩石">法术大全!$M$385</definedName>
    <definedName name="转生术">法术大全!$M$374</definedName>
    <definedName name="轰雷剑">法术大全!$M$4</definedName>
    <definedName name="轻甲">图表!$U$45:$U$47</definedName>
    <definedName name="轻甲运用">图表!$CY$19</definedName>
    <definedName name="轻足半身人属性值加成">图表!$BQ$37</definedName>
    <definedName name="轻身坠">图表!$CI$8</definedName>
    <definedName name="迅捷化兽者属性值加成">图表!$BQ$95</definedName>
    <definedName name="迅捷箭袋">法术大全!$M$380</definedName>
    <definedName name="运动员">图表!$CY$3</definedName>
    <definedName name="远行者工具熟练项">图表!$BF$69</definedName>
    <definedName name="远行者技能熟练项">图表!$BF$67</definedName>
    <definedName name="远行者牵绊">图表!$BF$52:$BF$57</definedName>
    <definedName name="远行者特点">图表!$BF$36:$BF$43</definedName>
    <definedName name="远行者理想">图表!$BF$45:$BF$50</definedName>
    <definedName name="远行者缺点">图表!$BF$59:$BF$64</definedName>
    <definedName name="远行者背景装备">图表!$BF$73</definedName>
    <definedName name="远行者额外语言">图表!$BF$71</definedName>
    <definedName name="连锁闪电">法术大全!$M$395</definedName>
    <definedName name="迷你仆役">法术大全!$M$269</definedName>
    <definedName name="迷宫术">法术大全!$M$483</definedName>
    <definedName name="迷幻手稿">法术大全!$M$95</definedName>
    <definedName name="迷踪步">法术大全!$M$173</definedName>
    <definedName name="逐渐消失">图表!$CY$50</definedName>
    <definedName name="通晓传奇">法术大全!$M$364</definedName>
    <definedName name="通晓语言">法术大全!$M$65</definedName>
    <definedName name="通神术">法术大全!$M$338</definedName>
    <definedName name="造成恐惧">法术大全!$M$57</definedName>
    <definedName name="造水_枯水术">法术大全!$M$66</definedName>
    <definedName name="造物术">法术大全!$M$346</definedName>
    <definedName name="造粮术">法术大全!$M$221</definedName>
    <definedName name="造风术">法术大全!$M$156</definedName>
    <definedName name="遁术">图表!$CS$10</definedName>
    <definedName name="遗体防腐">法术大全!$M$155</definedName>
    <definedName name="邪术师">图表!$CL$2:$CL$7</definedName>
    <definedName name="邪术师护甲熟练">图表!$I$37</definedName>
    <definedName name="邪术师武器熟练">图表!$G$37</definedName>
    <definedName name="邪魔召唤术_召唤邪魔灵魄">法术大全!$M$429</definedName>
    <definedName name="酸液飞溅">法术大全!$M$2</definedName>
    <definedName name="酿酒工具">图表!$AC$101</definedName>
    <definedName name="里拉琴">图表!$AC$129</definedName>
    <definedName name="重伤术">法术大全!$M$411</definedName>
    <definedName name="重力分裂">法术大全!$M$409</definedName>
    <definedName name="重甲">图表!$U$53:$U$56</definedName>
    <definedName name="重甲大师">图表!$CY$16</definedName>
    <definedName name="重甲运用">图表!$CY$15</definedName>
    <definedName name="野兽召唤术_召唤野兽灵魄">法术大全!$M$194</definedName>
    <definedName name="野兽施法">图表!$CW$7</definedName>
    <definedName name="野兽知觉">法术大全!$M$132</definedName>
    <definedName name="野性感官">图表!$CS$12</definedName>
    <definedName name="野性直觉">图表!$CU$9</definedName>
    <definedName name="野炊工具">图表!$AC$65</definedName>
    <definedName name="野蛮人">图表!$CT$2:$CT$14</definedName>
    <definedName name="野蛮人护甲熟练">图表!$I$42</definedName>
    <definedName name="野蛮人无甲防御">图表!$CU$3</definedName>
    <definedName name="野蛮人武器熟练">图表!$G$42</definedName>
    <definedName name="野蛮人额外攻击">图表!$CU$7</definedName>
    <definedName name="金刚魂">图表!$CI$16</definedName>
    <definedName name="金龙裔属性值加成">图表!$BQ$51</definedName>
    <definedName name="鉴定术">法术大全!$M$94</definedName>
    <definedName name="钢面镜">图表!$AC$66</definedName>
    <definedName name="钢风斩">法术大全!$M$378</definedName>
    <definedName name="铁匠工具">图表!$AC$113</definedName>
    <definedName name="铁壶">图表!$AC$75</definedName>
    <definedName name="铁蒺藜_一包20枚">图表!$AC$25</definedName>
    <definedName name="铃铛">图表!$AC$19</definedName>
    <definedName name="铜墙铁壁">法术大全!$M$410</definedName>
    <definedName name="铲子">图表!$AC$87</definedName>
    <definedName name="银光锐语">法术大全!$M$124</definedName>
    <definedName name="银龙裔属性值加成">图表!$BQ$55</definedName>
    <definedName name="铺盖">图表!$AC$18</definedName>
    <definedName name="链条_10尺">图表!$AC$29</definedName>
    <definedName name="锁">图表!$AC$62</definedName>
    <definedName name="锤子">图表!$AC$46</definedName>
    <definedName name="镜影术">法术大全!$M$172</definedName>
    <definedName name="镣铐">图表!$AC$64</definedName>
    <definedName name="长杆_10尺">图表!$AC$74</definedName>
    <definedName name="长柄武器大师">图表!$CY$30</definedName>
    <definedName name="长牙化兽者属性值加成">图表!$BQ$94</definedName>
    <definedName name="长笛">图表!$AC$127</definedName>
    <definedName name="长袍">图表!$AC$81</definedName>
    <definedName name="长铁钉_10根">图表!$AC$92</definedName>
    <definedName name="闪现术">法术大全!$M$214</definedName>
    <definedName name="闪电束">法术大全!$M$242</definedName>
    <definedName name="闪电牵引">法术大全!$M$19</definedName>
    <definedName name="闪电箭">法术大全!$M$241</definedName>
    <definedName name="问道自然">法术大全!$M$339</definedName>
    <definedName name="防御式决斗">图表!$CY$7</definedName>
    <definedName name="防护善恶">法术大全!$M$102</definedName>
    <definedName name="防护毒素">法术大全!$M$179</definedName>
    <definedName name="防护法阵">法术大全!$M$243</definedName>
    <definedName name="防护能量伤害">法术大全!$M$251</definedName>
    <definedName name="防死结界">法术大全!$M$292</definedName>
    <definedName name="防活物护罩">法术大全!$M$332</definedName>
    <definedName name="阳炎射线">法术大全!$M$430</definedName>
    <definedName name="阳炎爆">法术大全!$M$488</definedName>
    <definedName name="阿兰寇拉鹰人">图表!$BS$55:$CB$55</definedName>
    <definedName name="阿兰寇拉鹰人属性值加成">图表!$BQ$82</definedName>
    <definedName name="阿斯莫">图表!$BS$45:$BU$45</definedName>
    <definedName name="阿莎德隆奔行">法术大全!$M$280</definedName>
    <definedName name="阿迦纳萨喷火术">法术大全!$M$125</definedName>
    <definedName name="附盖提灯">图表!$AC$61</definedName>
    <definedName name="降咒">法术大全!$M$212</definedName>
    <definedName name="险境感知">图表!$CU$5</definedName>
    <definedName name="陶匠工具">图表!$AC$112</definedName>
    <definedName name="隐伏者">图表!$CY$38</definedName>
    <definedName name="隐修学者工具熟练项">图表!$BC$69</definedName>
    <definedName name="隐修学者技能熟练项">图表!$BC$67</definedName>
    <definedName name="隐修学者牵绊">图表!$BC$52:$BC$57</definedName>
    <definedName name="隐修学者特点">图表!$BC$36:$BC$43</definedName>
    <definedName name="隐修学者理想">图表!$BC$45:$BC$50</definedName>
    <definedName name="隐修学者缺点">图表!$BC$59:$BC$64</definedName>
    <definedName name="隐修学者背景装备">图表!$BC$73</definedName>
    <definedName name="隐修学者额外语言">图表!$BC$71</definedName>
    <definedName name="隐士工具熟练项">图表!$AQ$69</definedName>
    <definedName name="隐士技能熟练项">图表!$AQ$67</definedName>
    <definedName name="隐士牵绊">图表!$AQ$52:$AQ$57</definedName>
    <definedName name="隐士特殊选项">图表!$AQ$75</definedName>
    <definedName name="隐士特点">图表!$AQ$36:$AQ$43</definedName>
    <definedName name="隐士理想">图表!$AQ$45:$AQ$50</definedName>
    <definedName name="隐士缺点">图表!$AQ$59:$AQ$64</definedName>
    <definedName name="隐士背景装备">图表!$AQ$73</definedName>
    <definedName name="隐士额外语言">图表!$AQ$71</definedName>
    <definedName name="隐形仆役">法术大全!$M$118</definedName>
    <definedName name="隐形术">法术大全!$M$161</definedName>
    <definedName name="隔离术">法术大全!$M$459</definedName>
    <definedName name="雅灵_魔邓肯属性值加成">图表!$BQ$43</definedName>
    <definedName name="雪雨暴">法术大全!$M$256</definedName>
    <definedName name="雷霆步">法术大全!$M$267</definedName>
    <definedName name="雷鸣斩">法术大全!$M$116</definedName>
    <definedName name="雷鸣波">法术大全!$M$117</definedName>
    <definedName name="震慑拳">图表!$CI$10</definedName>
    <definedName name="霜噬">法术大全!$M$13</definedName>
    <definedName name="青铜龙裔属性值加成">图表!$BQ$60</definedName>
    <definedName name="靡叶生华">法术大全!$M$208</definedName>
    <definedName name="鞋匠工具">图表!$AC$105</definedName>
    <definedName name="预置幻影">法术大全!$M$426</definedName>
    <definedName name="预言术">法术大全!$M$294</definedName>
    <definedName name="预警术">法术大全!$M$493</definedName>
    <definedName name="领航工具">图表!$AC$134</definedName>
    <definedName name="领袖之证">图表!$CY$17</definedName>
    <definedName name="风墙术">法术大全!$M$276</definedName>
    <definedName name="风笛">图表!$AC$124</definedName>
    <definedName name="飘忽不定">图表!$CK$12</definedName>
    <definedName name="飞行术">法术大全!$M$232</definedName>
    <definedName name="饕餮虚空">法术大全!$M$504</definedName>
    <definedName name="香水_小瓶">图表!$AC$70</definedName>
    <definedName name="马友夫强酸箭">法术大全!$M$170</definedName>
    <definedName name="马友夫微流星">法术大全!$M$247</definedName>
    <definedName name="骑乘战斗">图表!$CY$28</definedName>
    <definedName name="骑士工具熟练项">图表!$AS$69</definedName>
    <definedName name="骑士技能熟练项">图表!$AS$67</definedName>
    <definedName name="骑士牵绊">图表!$AS$52:$AS$57</definedName>
    <definedName name="骑士特殊选项">图表!$AS$75</definedName>
    <definedName name="骑士特点">图表!$AS$36:$AS$43</definedName>
    <definedName name="骑士理想">图表!$AS$45:$AS$50</definedName>
    <definedName name="骑士缺点">图表!$AS$59:$AS$64</definedName>
    <definedName name="骑士背景装备">图表!$AS$73</definedName>
    <definedName name="骑士额外语言">图表!$AS$71</definedName>
    <definedName name="骗子工具熟练项">图表!$AI$69</definedName>
    <definedName name="骗子技能熟练项">图表!$AI$67</definedName>
    <definedName name="骗子牵绊">图表!$AI$52:$AI$57</definedName>
    <definedName name="骗子特殊选项">图表!$AI$75</definedName>
    <definedName name="骗子特点">图表!$AI$36:$AI$43</definedName>
    <definedName name="骗子理想">图表!$AI$45:$AI$50</definedName>
    <definedName name="骗子缺点">图表!$AI$59:$AI$64</definedName>
    <definedName name="骗子背景装备">图表!$AI$73</definedName>
    <definedName name="骗子额外语言">图表!$AI$71</definedName>
    <definedName name="骷髅之舞">法术大全!$M$347</definedName>
    <definedName name="高档服装">图表!$AC$35</definedName>
    <definedName name="高等卓尔魔法">图表!$CY$47</definedName>
    <definedName name="高等复原术">法术大全!$M$357</definedName>
    <definedName name="高等幻影">法术大全!$M$244</definedName>
    <definedName name="高等精灵属性值加成">图表!$BQ$40</definedName>
    <definedName name="高等隐形术">法术大全!$M$305</definedName>
    <definedName name="鬼斧神工">法术大全!$M$298</definedName>
    <definedName name="鬼智半身人_剑湾属性值加成">图表!$BQ$39</definedName>
    <definedName name="魂灵环绕">法术大全!$M$261</definedName>
    <definedName name="魅影之力">法术大全!$M$177</definedName>
    <definedName name="魅影杀手">法术大全!$M$315</definedName>
    <definedName name="魅影驹">法术大全!$M$249</definedName>
    <definedName name="魅惑人类">法术大全!$M$60</definedName>
    <definedName name="魅惑怪物">法术大全!$M$286</definedName>
    <definedName name="魔力泉涌">图表!$CC$4</definedName>
    <definedName name="魔力监牢">法术大全!$M$448</definedName>
    <definedName name="魔化武器">法术大全!$M$168</definedName>
    <definedName name="魔嘴术">法术大全!$M$167</definedName>
    <definedName name="魔契恩泽">图表!$CM$5</definedName>
    <definedName name="魔杖">图表!$AC$13</definedName>
    <definedName name="魔法伎俩">法术大全!$M$28</definedName>
    <definedName name="魔法圈套">法术大全!$M$111</definedName>
    <definedName name="魔法奥秘">图表!$CE$10</definedName>
    <definedName name="魔法学徒">图表!$CY$23</definedName>
    <definedName name="魔法工艺">图表!$CO$2</definedName>
    <definedName name="魔法徽记">法术大全!$M$461</definedName>
    <definedName name="魔法物品专家">图表!$CO$11</definedName>
    <definedName name="魔法物品大师">图表!$CO$12</definedName>
    <definedName name="魔法物品熟稔">图表!$CO$9</definedName>
    <definedName name="魔法飞弹">法术大全!$M$100</definedName>
    <definedName name="魔石">法术大全!$M$21</definedName>
    <definedName name="魔绳术">法术大全!$M$182</definedName>
    <definedName name="魔能导师">图表!$CY$62</definedName>
    <definedName name="魔能掌控">图表!$CM$7</definedName>
    <definedName name="魔能爆">法术大全!$M$10</definedName>
    <definedName name="魔能祈唤">图表!$CM$4</definedName>
    <definedName name="魔袋术">法术大全!$M$199</definedName>
    <definedName name="魔邓肯之剑">法术大全!$M$451</definedName>
    <definedName name="魔邓肯忠犬">法术大全!$M$312</definedName>
    <definedName name="魔邓肯私人密室">法术大全!$M$313</definedName>
    <definedName name="魔邓肯豪宅术">法术大全!$M$450</definedName>
    <definedName name="魔魂壶">法术大全!$M$418</definedName>
    <definedName name="鲁特琴">图表!$AC$128</definedName>
    <definedName name="鲁莽攻击">图表!$CU$4</definedName>
    <definedName name="鸣雷破">法术大全!$M$42</definedName>
    <definedName name="鹰眼术">法术大全!$M$217</definedName>
    <definedName name="麦克斯米利安的地之攫">法术大全!$M$169</definedName>
    <definedName name="麻绳_50尺">图表!$AC$82</definedName>
    <definedName name="麻袋">图表!$AC$84</definedName>
    <definedName name="黄铜龙裔属性值加成">图表!$BQ$58</definedName>
    <definedName name="黑暗术">法术大全!$M$141</definedName>
    <definedName name="黑暗视觉">法术大全!$M$142</definedName>
    <definedName name="黑龙裔属性值加成">图表!$BQ$54</definedName>
    <definedName name="鼓">图表!$AC$125</definedName>
    <definedName name="鼓动贪欲">法术大全!$M$278</definedName>
    <definedName name="龙息术">法术大全!$M$144</definedName>
    <definedName name="龙族之恐怖">图表!$CY$45</definedName>
    <definedName name="龙族皮肤">图表!$CY$46</definedName>
    <definedName name="龙类变形术">法术大全!$M$466</definedName>
    <definedName name="龙类精魄召唤术">法术大全!$M$391</definedName>
    <definedName name="龙裔">图表!$BS$40:$CD$40</definedName>
    <definedName name="龟人">图表!$BS$53:$CB$53</definedName>
    <definedName name="龟人属性值加成">图表!$BQ$80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R3" authorId="0">
      <text>
        <r>
          <rPr>
            <sz val="12"/>
            <rFont val="Noto Sans CJK SC"/>
            <charset val="134"/>
          </rPr>
          <t>从背景获得的技能熟练项需在主要情况中勾选。</t>
        </r>
      </text>
    </comment>
    <comment ref="R4" authorId="0">
      <text>
        <r>
          <rPr>
            <sz val="12"/>
            <rFont val="Noto Sans CJK SC"/>
            <charset val="134"/>
          </rPr>
          <t>从背景获得的工具熟练项需在主要情况中写出。</t>
        </r>
      </text>
    </comment>
    <comment ref="J6" authorId="0">
      <text>
        <r>
          <rPr>
            <sz val="12"/>
            <rFont val="Noto Sans CJK SC"/>
            <charset val="134"/>
          </rPr>
          <t xml:space="preserve">阵营:
</t>
        </r>
        <r>
          <rPr>
            <sz val="9"/>
            <rFont val="宋体"/>
            <charset val="134"/>
          </rPr>
          <t>D&amp;D世界中任一个特定的生物都属于与之相应的阵营，并以此大致反映该个体的品行举止。角色的阵营由两个因素组合而成：一个确定道德（善良、邪恶、中立），另一个则描述其对社会及秩序的态度（守序、混乱、中立）。两个因素两相组合，组成了九个不同的阵营。
九阵营的简介描述了一个该阵营生物的典型行为。特定个体间的表现可能有着不小的差异，而且也很少有人能一贯完美的忠于其阵营准则。</t>
        </r>
      </text>
    </comment>
    <comment ref="R7" authorId="0">
      <text>
        <r>
          <rPr>
            <sz val="12"/>
            <rFont val="Noto Sans CJK SC"/>
            <charset val="134"/>
          </rPr>
          <t>有些背景会有更多的自定义选项，请在这里写出。</t>
        </r>
      </text>
    </comment>
  </commentList>
</comments>
</file>

<file path=xl/comments2.xml><?xml version="1.0" encoding="utf-8"?>
<comments xmlns="http://schemas.openxmlformats.org/spreadsheetml/2006/main">
  <authors>
    <author xml:space="preserve"> </author>
  </authors>
  <commentList>
    <comment ref="W3" authorId="0">
      <text>
        <r>
          <rPr>
            <sz val="12"/>
            <rFont val="Noto Sans CJK SC"/>
            <charset val="134"/>
          </rPr>
          <t>蓝色部分为主职业等级，下方则是兼职职业的等级，角色的熟练加值将会在右侧给出。</t>
        </r>
      </text>
    </comment>
    <comment ref="Z3" authorId="0">
      <text>
        <r>
          <rPr>
            <sz val="12"/>
            <rFont val="Noto Sans CJK SC"/>
            <charset val="134"/>
          </rPr>
          <t xml:space="preserve">熟练加值:
</t>
        </r>
        <r>
          <rPr>
            <sz val="9"/>
            <rFont val="宋体"/>
            <charset val="134"/>
          </rPr>
          <t>你的熟练加值适用于许多你将记录在角色卡上的事项。
• 你使用拥有熟练项的武器发动攻击检定时
• 你施展的法术发动攻击检定时
• 你使用拥有熟练项的技能进行属性检定时
• 你使用拥有熟练项的工具进行属性检定时
• 你使用拥有熟练项的豁免属性进行豁免检定时
• 你施展的法术的豁免 DC（将在每个施法职业中解释）</t>
        </r>
      </text>
    </comment>
    <comment ref="Z4" authorId="0">
      <text>
        <r>
          <rPr>
            <sz val="12"/>
            <rFont val="Noto Sans CJK SC"/>
            <charset val="134"/>
          </rPr>
          <t xml:space="preserve">经验值:
</t>
        </r>
        <r>
          <rPr>
            <sz val="9"/>
            <rFont val="宋体"/>
            <charset val="134"/>
          </rPr>
          <t>达到对应总数升级
300 2级
900 3级
2,700 4级
6,500 5级
14,000 6级
23,000 7级
34,000 8级
48,000 9级
64,000 10级
85,000 11级
100,000 12级
120,000 13级
140,000 14级
165,000 15级
195,000 16级
225,000 17级
265,000 18级
305,000 19级
355,000 20级</t>
        </r>
      </text>
    </comment>
    <comment ref="P5" authorId="0">
      <text>
        <r>
          <rPr>
            <sz val="12"/>
            <rFont val="Noto Sans CJK SC"/>
            <charset val="134"/>
          </rPr>
          <t xml:space="preserve">第三个兼职？
</t>
        </r>
        <r>
          <rPr>
            <sz val="9"/>
            <rFont val="宋体"/>
            <charset val="134"/>
          </rPr>
          <t>为了人物卡界面的美观，目前暂不提供第三个兼职格子，但</t>
        </r>
        <r>
          <rPr>
            <b/>
            <sz val="9"/>
            <rFont val="宋体"/>
            <charset val="134"/>
          </rPr>
          <t>如果你需要同时兼职三个职业，你可以用右边的格子来填写第三兼职的职业和等级，适配公式已经做好了</t>
        </r>
      </text>
    </comment>
    <comment ref="B7" authorId="0">
      <text>
        <r>
          <rPr>
            <sz val="12"/>
            <rFont val="Noto Sans CJK SC"/>
            <charset val="134"/>
          </rPr>
          <t xml:space="preserve">豁免熟练:
</t>
        </r>
        <r>
          <rPr>
            <sz val="9"/>
            <rFont val="宋体"/>
            <charset val="134"/>
          </rPr>
          <t>豁免熟练项的作用与技能熟练项一样，具有某属性豁免熟练项的角色进行相应属性豁免时，可以将其熟练加值加入豁免检定结果中。</t>
        </r>
      </text>
    </comment>
    <comment ref="G7" authorId="0">
      <text>
        <r>
          <rPr>
            <sz val="12"/>
            <rFont val="Noto Sans CJK SC"/>
            <charset val="134"/>
          </rPr>
          <t xml:space="preserve">属性调整值:
</t>
        </r>
        <r>
          <rPr>
            <sz val="9"/>
            <rFont val="宋体"/>
            <charset val="134"/>
          </rPr>
          <t>将该项属性值减去10在将结果除以 2（向下取整）。</t>
        </r>
      </text>
    </comment>
    <comment ref="I7" authorId="0">
      <text>
        <r>
          <rPr>
            <sz val="12"/>
            <rFont val="Noto Sans CJK SC"/>
            <charset val="134"/>
          </rPr>
          <t xml:space="preserve">修正：
</t>
        </r>
        <r>
          <rPr>
            <sz val="9"/>
            <rFont val="宋体"/>
            <charset val="134"/>
          </rPr>
          <t>虽然在这里已经打了一个箭头告诉你这里的加值是用在右边而不是左边，但是还是114514次遭遇有人把这里当作填属性加值之类的地方，所以很无奈的在下方每一个填写格都加入了究极防呆提醒
如果你觉得防呆提醒很烦，可以到数据→数据验证→数据验证→输入信息，取消掉"选定单元格时显示输入信息"的勾选或是清空那一页的内容，防呆提示就不会再出现啦！</t>
        </r>
      </text>
    </comment>
    <comment ref="K7" authorId="0">
      <text>
        <r>
          <rPr>
            <sz val="12"/>
            <rFont val="Noto Sans CJK SC"/>
            <charset val="134"/>
          </rPr>
          <t xml:space="preserve">豁免：
</t>
        </r>
        <r>
          <rPr>
            <sz val="9"/>
            <rFont val="宋体"/>
            <charset val="134"/>
          </rPr>
          <t>这里记录了你对应属性豁免的最终加值</t>
        </r>
      </text>
    </comment>
    <comment ref="N8" authorId="0">
      <text>
        <r>
          <rPr>
            <sz val="12"/>
            <rFont val="Noto Sans CJK SC"/>
            <charset val="134"/>
          </rPr>
          <t xml:space="preserve">先攻:
</t>
        </r>
        <r>
          <rPr>
            <sz val="9"/>
            <rFont val="宋体"/>
            <charset val="134"/>
          </rPr>
          <t>每次战斗开始时，你都需要先以敏捷检定来掷出先攻。并由各生物的先攻决定其战斗中的行动次序。</t>
        </r>
      </text>
    </comment>
    <comment ref="P8" authorId="0">
      <text>
        <r>
          <rPr>
            <sz val="12"/>
            <rFont val="Noto Sans CJK SC"/>
            <charset val="134"/>
          </rPr>
          <t>你知道吗？:
其实诗人的万事通也作用于先攻检定
公式已经帮你加好了所以请不要再加一遍</t>
        </r>
      </text>
    </comment>
    <comment ref="N10" authorId="0">
      <text>
        <r>
          <rPr>
            <sz val="12"/>
            <rFont val="Noto Sans CJK SC"/>
            <charset val="134"/>
          </rPr>
          <t xml:space="preserve">AC:
</t>
        </r>
        <r>
          <rPr>
            <sz val="9"/>
            <rFont val="宋体"/>
            <charset val="134"/>
          </rPr>
          <t>即为护甲等级，又名防御等级。当敌方的命中小于你的AC时，视为未命中。</t>
        </r>
      </text>
    </comment>
    <comment ref="AE12" authorId="0">
      <text>
        <r>
          <rPr>
            <sz val="12"/>
            <rFont val="Noto Sans CJK SC"/>
            <charset val="134"/>
          </rPr>
          <t>额外生命值成长，例如专长、种族、职业特性带来的每级生命值。</t>
        </r>
      </text>
    </comment>
    <comment ref="V14" authorId="0">
      <text>
        <r>
          <rPr>
            <sz val="12"/>
            <rFont val="Noto Sans CJK SC"/>
            <charset val="134"/>
          </rPr>
          <t>【特殊能力】
可自行修改并用来记录职业能力，例如卓越骰、灵能骰、引导神力次数、法力值、偷袭等。</t>
        </r>
      </text>
    </comment>
    <comment ref="AA14" authorId="0">
      <text>
        <r>
          <rPr>
            <sz val="12"/>
            <rFont val="Noto Sans CJK SC"/>
            <charset val="134"/>
          </rPr>
          <t>临时生命值:
如果你具有临时生命值，则当你受伤时，会先扣除临时生命值中的数值，然后溢出的伤害才会扣减你的正常生命值。</t>
        </r>
      </text>
    </comment>
    <comment ref="AF17" authorId="0">
      <text>
        <r>
          <rPr>
            <sz val="12"/>
            <rFont val="Noto Sans CJK SC"/>
            <charset val="134"/>
          </rPr>
          <t xml:space="preserve">尺:
</t>
        </r>
        <r>
          <rPr>
            <sz val="9"/>
            <rFont val="宋体"/>
            <charset val="134"/>
          </rPr>
          <t>dnd中的尺为英尺，一格为5尺。1尺等于34.5厘米。一般来说，玩家移速为30尺一回合。</t>
        </r>
      </text>
    </comment>
    <comment ref="N19" authorId="0">
      <text>
        <r>
          <rPr>
            <sz val="12"/>
            <rFont val="Noto Sans CJK SC"/>
            <charset val="134"/>
          </rPr>
          <t xml:space="preserve">被动检定:
</t>
        </r>
        <r>
          <rPr>
            <sz val="9"/>
            <rFont val="宋体"/>
            <charset val="134"/>
          </rPr>
          <t>被动检定是一种不需要掷骰的特殊属性检定。这种检定可以反映一些频繁重覆行为的平圴结果。以下是角色的被动检定总值：
10+所有一般情况下适用于相应检定的调整值
  如果该角色进行相应检定时具有优势，则其被动检定值加上5，劣势则减去5。</t>
        </r>
      </text>
    </comment>
    <comment ref="B22" authorId="0">
      <text>
        <r>
          <rPr>
            <sz val="12"/>
            <rFont val="Noto Sans CJK SC"/>
            <charset val="134"/>
          </rPr>
          <t xml:space="preserve">熟练:
</t>
        </r>
        <r>
          <rPr>
            <sz val="9"/>
            <rFont val="宋体"/>
            <charset val="134"/>
          </rPr>
          <t>X=无熟练
O=有熟练
❂=双倍熟练
〄=熟练加值的一半</t>
        </r>
      </text>
    </comment>
    <comment ref="AD24" authorId="0">
      <text>
        <r>
          <rPr>
            <sz val="12"/>
            <rFont val="Noto Sans CJK SC"/>
            <charset val="134"/>
          </rPr>
          <t xml:space="preserve">攻击命中加值:
</t>
        </r>
        <r>
          <rPr>
            <sz val="9"/>
            <rFont val="宋体"/>
            <charset val="134"/>
          </rPr>
          <t>一般来说，武器的攻击命中加值等于你所用的调整值+你的熟练加值。
这里的公式默认你具有该武器的熟练，并使用</t>
        </r>
        <r>
          <rPr>
            <b/>
            <sz val="9"/>
            <rFont val="宋体"/>
            <charset val="134"/>
          </rPr>
          <t>[属性调整值+熟练加值]</t>
        </r>
        <r>
          <rPr>
            <sz val="9"/>
            <rFont val="宋体"/>
            <charset val="134"/>
          </rPr>
          <t xml:space="preserve">为原理进行计算。
</t>
        </r>
        <r>
          <rPr>
            <b/>
            <sz val="9"/>
            <rFont val="微软雅黑"/>
            <charset val="134"/>
          </rPr>
          <t>如果你从某些来源获得了额外的命中加值，请跳转到BUY点计算器&amp;武器调整栏工作表，在命中加值栏中填入对应的加值。若你不具有该武器的熟练项，请在武器调整栏处将具有熟练下方的"是"改为"否"。</t>
        </r>
      </text>
    </comment>
    <comment ref="AI24" authorId="0">
      <text>
        <r>
          <rPr>
            <sz val="12"/>
            <rFont val="Noto Sans CJK SC"/>
            <charset val="134"/>
          </rPr>
          <t xml:space="preserve">武器伤害:
</t>
        </r>
        <r>
          <rPr>
            <sz val="9"/>
            <rFont val="宋体"/>
            <charset val="134"/>
          </rPr>
          <t>一般来说，武器造成的伤害等于</t>
        </r>
        <r>
          <rPr>
            <b/>
            <sz val="9"/>
            <rFont val="宋体"/>
            <charset val="134"/>
          </rPr>
          <t>[武器伤害骰+攻击所使用的调整值]，</t>
        </r>
        <r>
          <rPr>
            <sz val="9"/>
            <rFont val="宋体"/>
            <charset val="134"/>
          </rPr>
          <t xml:space="preserve">这个公式也是如此默认进行计算的。
</t>
        </r>
        <r>
          <rPr>
            <b/>
            <sz val="9"/>
            <rFont val="微软雅黑"/>
            <charset val="134"/>
          </rPr>
          <t>如果你从某些来源处获得了额外的伤害加值，请跳转到BUY点计算器&amp;武器调整栏工作表，并在对应武器的伤害加值栏中填入对应的加值。</t>
        </r>
      </text>
    </comment>
    <comment ref="AM24" authorId="0">
      <text>
        <r>
          <rPr>
            <sz val="12"/>
            <rFont val="Noto Sans CJK SC"/>
            <charset val="134"/>
          </rPr>
          <t xml:space="preserve">伤害类型:
</t>
        </r>
        <r>
          <rPr>
            <sz val="9"/>
            <rFont val="宋体"/>
            <charset val="134"/>
          </rPr>
          <t>造成伤害的各自攻击、法术和其他效应，会造成各自不同类型的伤害。伤害类型本身不带任何规则，但其他规则（例如伤害抗性）则需要参考伤害的类型来起作用。</t>
        </r>
      </text>
    </comment>
    <comment ref="AQ32" authorId="0">
      <text>
        <r>
          <rPr>
            <sz val="12"/>
            <rFont val="Noto Sans CJK SC"/>
            <charset val="134"/>
          </rPr>
          <t xml:space="preserve">伤害类型:
</t>
        </r>
        <r>
          <rPr>
            <sz val="9"/>
            <rFont val="宋体"/>
            <charset val="134"/>
          </rPr>
          <t>造成伤害的各自攻击、法术和其他效应，会造成各自不同类型的伤害。伤害类型本身不带任何规则，但其他规则（例如伤害抗性）则需要参考伤害的类型来起作用。</t>
        </r>
      </text>
    </comment>
    <comment ref="AO35" authorId="0">
      <text>
        <r>
          <rPr>
            <sz val="12"/>
            <rFont val="Noto Sans CJK SC"/>
            <charset val="134"/>
          </rPr>
          <t xml:space="preserve">法术位:
</t>
        </r>
        <r>
          <rPr>
            <sz val="9"/>
            <rFont val="宋体"/>
            <charset val="134"/>
          </rPr>
          <t>请去施法界面右侧修改，主要情况界面的法术位随着那里变化。</t>
        </r>
      </text>
    </comment>
    <comment ref="U43" authorId="0">
      <text>
        <r>
          <rPr>
            <sz val="12"/>
            <rFont val="Noto Sans CJK SC"/>
            <charset val="134"/>
          </rPr>
          <t>未使用负重变体时，请选择最大载重以确认载重上限。
使用负重变体时，请选择负重状态以确认载重状态。</t>
        </r>
      </text>
    </comment>
  </commentList>
</comments>
</file>

<file path=xl/comments3.xml><?xml version="1.0" encoding="utf-8"?>
<comments xmlns="http://schemas.openxmlformats.org/spreadsheetml/2006/main">
  <authors>
    <author xml:space="preserve"> </author>
  </authors>
  <commentList>
    <comment ref="J3" authorId="0">
      <text>
        <r>
          <rPr>
            <sz val="12"/>
            <rFont val="Noto Sans CJK SC"/>
            <charset val="134"/>
          </rPr>
          <t>直接填写名称即可，你也可以在下拉列表选择，但数量较大，不是很推荐这么做。</t>
        </r>
      </text>
    </comment>
    <comment ref="AL3" authorId="0">
      <text>
        <r>
          <rPr>
            <sz val="12"/>
            <rFont val="Noto Sans CJK SC"/>
            <charset val="134"/>
          </rPr>
          <t>在填写法术名称之后从下拉列表选择，你也可以自己填写而不使用下拉列表中的数据。</t>
        </r>
      </text>
    </comment>
    <comment ref="AX3" authorId="0">
      <text>
        <r>
          <rPr>
            <sz val="12"/>
            <rFont val="Noto Sans CJK SC"/>
            <charset val="134"/>
          </rPr>
          <t>在这里修改你的剩余法术位，主要情况界面的法术位随着这里改变。右侧为法术值系统下每环的法术值消耗。</t>
        </r>
      </text>
    </comment>
  </commentList>
</comments>
</file>

<file path=xl/sharedStrings.xml><?xml version="1.0" encoding="utf-8"?>
<sst xmlns="http://schemas.openxmlformats.org/spreadsheetml/2006/main" count="13084" uniqueCount="4098">
  <si>
    <t>角色 Character</t>
  </si>
  <si>
    <t>角色名</t>
  </si>
  <si>
    <t>技能熟练项</t>
  </si>
  <si>
    <t>玩家名</t>
  </si>
  <si>
    <t>作者：太易，熊妈妈2D6</t>
  </si>
  <si>
    <t>工具熟练项</t>
  </si>
  <si>
    <t>背景语言</t>
  </si>
  <si>
    <t>种族</t>
  </si>
  <si>
    <t>精灵</t>
  </si>
  <si>
    <t>阵营</t>
  </si>
  <si>
    <t>混乱邪恶</t>
  </si>
  <si>
    <t>背景装备</t>
  </si>
  <si>
    <t>性别</t>
  </si>
  <si>
    <t>女</t>
  </si>
  <si>
    <t>年龄</t>
  </si>
  <si>
    <t>特殊选项</t>
  </si>
  <si>
    <t>亚种</t>
  </si>
  <si>
    <t>高等</t>
  </si>
  <si>
    <t>信仰</t>
  </si>
  <si>
    <t>背景特性</t>
  </si>
  <si>
    <t>背景</t>
  </si>
  <si>
    <t>智者</t>
  </si>
  <si>
    <t>发色</t>
  </si>
  <si>
    <t>身高</t>
  </si>
  <si>
    <t>肤色</t>
  </si>
  <si>
    <t>体重</t>
  </si>
  <si>
    <t>瞳色</t>
  </si>
  <si>
    <t>外貌描述</t>
  </si>
  <si>
    <t>角色外貌</t>
  </si>
  <si>
    <t>所选特点</t>
  </si>
  <si>
    <t>聪慧，想象力强</t>
  </si>
  <si>
    <t>所选理想</t>
  </si>
  <si>
    <t>求道</t>
  </si>
  <si>
    <t>所选牵绊</t>
  </si>
  <si>
    <t>所选缺点</t>
  </si>
  <si>
    <t>角色形象</t>
  </si>
  <si>
    <t>背景故事</t>
  </si>
  <si>
    <t>访仙求古，方得克苏鲁。</t>
  </si>
  <si>
    <t>主要情况 Main Interface</t>
  </si>
  <si>
    <t>职业特性</t>
  </si>
  <si>
    <t>种族特性</t>
  </si>
  <si>
    <t>等级</t>
  </si>
  <si>
    <t>LV</t>
  </si>
  <si>
    <t>名称</t>
  </si>
  <si>
    <t>描述</t>
  </si>
  <si>
    <t>karma</t>
  </si>
  <si>
    <t>主职业</t>
  </si>
  <si>
    <t>邪术师</t>
  </si>
  <si>
    <t>熟练加值</t>
  </si>
  <si>
    <t>链之魔契</t>
  </si>
  <si>
    <t>兼职</t>
  </si>
  <si>
    <t>经验值</t>
  </si>
  <si>
    <t>融身入影</t>
  </si>
  <si>
    <t>兼职Ⅱ</t>
  </si>
  <si>
    <t>属性</t>
  </si>
  <si>
    <t>战斗</t>
  </si>
  <si>
    <t>熟练</t>
  </si>
  <si>
    <t>属性值</t>
  </si>
  <si>
    <t>调整值</t>
  </si>
  <si>
    <r>
      <rPr>
        <sz val="9"/>
        <color rgb="FF0066CC"/>
        <rFont val="微软雅黑"/>
        <charset val="134"/>
      </rPr>
      <t>修正</t>
    </r>
    <r>
      <rPr>
        <b/>
        <sz val="9"/>
        <color rgb="FF0066CC"/>
        <rFont val="微软雅黑"/>
        <charset val="134"/>
      </rPr>
      <t>→</t>
    </r>
  </si>
  <si>
    <t>豁免</t>
  </si>
  <si>
    <t>修正</t>
  </si>
  <si>
    <t>现有值</t>
  </si>
  <si>
    <t>最大值</t>
  </si>
  <si>
    <t>力量</t>
  </si>
  <si>
    <t>先攻</t>
  </si>
  <si>
    <t>&lt;</t>
  </si>
  <si>
    <t>HP</t>
  </si>
  <si>
    <t>/</t>
  </si>
  <si>
    <t>敏捷</t>
  </si>
  <si>
    <t>AC</t>
  </si>
  <si>
    <t>生命骰数量</t>
  </si>
  <si>
    <t>体质</t>
  </si>
  <si>
    <t>装备盾牌</t>
  </si>
  <si>
    <t>否</t>
  </si>
  <si>
    <t>生命值成长</t>
  </si>
  <si>
    <t>+</t>
  </si>
  <si>
    <t>特殊能力数值</t>
  </si>
  <si>
    <t>属性值提升/专长</t>
  </si>
  <si>
    <t>智力</t>
  </si>
  <si>
    <t>DC</t>
  </si>
  <si>
    <t>临时HP</t>
  </si>
  <si>
    <t>幸运</t>
  </si>
  <si>
    <t>感知</t>
  </si>
  <si>
    <t>关键属性</t>
  </si>
  <si>
    <t>体型</t>
  </si>
  <si>
    <t>中型</t>
  </si>
  <si>
    <t>速度</t>
  </si>
  <si>
    <t>尺</t>
  </si>
  <si>
    <t>魅力</t>
  </si>
  <si>
    <t>被动察觉</t>
  </si>
  <si>
    <t>抗性/免疫</t>
  </si>
  <si>
    <t>技能</t>
  </si>
  <si>
    <t>主要装备</t>
  </si>
  <si>
    <t>盾牌</t>
  </si>
  <si>
    <t>技能名</t>
  </si>
  <si>
    <t>总值</t>
  </si>
  <si>
    <t>护甲</t>
  </si>
  <si>
    <t>需要同调</t>
  </si>
  <si>
    <t>特性</t>
  </si>
  <si>
    <t>重量</t>
  </si>
  <si>
    <t>最大敏捷</t>
  </si>
  <si>
    <t>隐匿劣势</t>
  </si>
  <si>
    <t>盾牌名称</t>
  </si>
  <si>
    <t>X</t>
  </si>
  <si>
    <t>运动</t>
  </si>
  <si>
    <t>&gt;</t>
  </si>
  <si>
    <t>轻甲</t>
  </si>
  <si>
    <t>镶钉皮甲</t>
  </si>
  <si>
    <t>特殊能力（狂暴、引导神力等）</t>
  </si>
  <si>
    <t>敏捷系</t>
  </si>
  <si>
    <t>武器</t>
  </si>
  <si>
    <t>使用属性</t>
  </si>
  <si>
    <t>攻击命中加值</t>
  </si>
  <si>
    <t>武器伤害</t>
  </si>
  <si>
    <t>伤害类型</t>
  </si>
  <si>
    <t>弹药数</t>
  </si>
  <si>
    <t>特技</t>
  </si>
  <si>
    <t>右手</t>
  </si>
  <si>
    <t>扇子</t>
  </si>
  <si>
    <t>d20+</t>
  </si>
  <si>
    <t>箭</t>
  </si>
  <si>
    <t>邪魔活力</t>
  </si>
  <si>
    <t>巧手</t>
  </si>
  <si>
    <t>左手</t>
  </si>
  <si>
    <t>铁链</t>
  </si>
  <si>
    <t>矢</t>
  </si>
  <si>
    <t>千面之脸</t>
  </si>
  <si>
    <t>隐匿</t>
  </si>
  <si>
    <t>双手</t>
  </si>
  <si>
    <t>弹</t>
  </si>
  <si>
    <t>智力系</t>
  </si>
  <si>
    <t>-</t>
  </si>
  <si>
    <t>投</t>
  </si>
  <si>
    <t>调查</t>
  </si>
  <si>
    <t>它</t>
  </si>
  <si>
    <t>奥秘</t>
  </si>
  <si>
    <t>其他</t>
  </si>
  <si>
    <t>历史</t>
  </si>
  <si>
    <t>头部</t>
  </si>
  <si>
    <t>常用法术</t>
  </si>
  <si>
    <t>武器及护甲熟练</t>
  </si>
  <si>
    <t>自然</t>
  </si>
  <si>
    <t>颈部</t>
  </si>
  <si>
    <t>法术名称</t>
  </si>
  <si>
    <t>法术攻击加值</t>
  </si>
  <si>
    <t>伤害</t>
  </si>
  <si>
    <t>宗教</t>
  </si>
  <si>
    <t>肩部</t>
  </si>
  <si>
    <t>感知系</t>
  </si>
  <si>
    <t>背部</t>
  </si>
  <si>
    <t>自然斗篷</t>
  </si>
  <si>
    <t>其他特性</t>
  </si>
  <si>
    <t>职业装备、豁免熟练与技能熟练</t>
  </si>
  <si>
    <t>察觉</t>
  </si>
  <si>
    <t>胸部</t>
  </si>
  <si>
    <t>环阶</t>
  </si>
  <si>
    <t>法术位</t>
  </si>
  <si>
    <t>语言</t>
  </si>
  <si>
    <t>通用语，精灵语，古神语</t>
  </si>
  <si>
    <t>洞悉</t>
  </si>
  <si>
    <t>腕部</t>
  </si>
  <si>
    <t>工具</t>
  </si>
  <si>
    <t>驯兽</t>
  </si>
  <si>
    <t>手部</t>
  </si>
  <si>
    <t>戒指</t>
  </si>
  <si>
    <t>法术DC</t>
  </si>
  <si>
    <t>物品同调</t>
  </si>
  <si>
    <t>医药</t>
  </si>
  <si>
    <t>腰部</t>
  </si>
  <si>
    <t>激励</t>
  </si>
  <si>
    <t>求生</t>
  </si>
  <si>
    <t>腿部</t>
  </si>
  <si>
    <t>飞行靴</t>
  </si>
  <si>
    <t>伤患</t>
  </si>
  <si>
    <t>魅力系</t>
  </si>
  <si>
    <t>脚部</t>
  </si>
  <si>
    <t>铂金币</t>
  </si>
  <si>
    <t>声望</t>
  </si>
  <si>
    <t>游说</t>
  </si>
  <si>
    <t>装备</t>
  </si>
  <si>
    <t>总负重</t>
  </si>
  <si>
    <t>总财富</t>
  </si>
  <si>
    <t>钱包</t>
  </si>
  <si>
    <t>银金币</t>
  </si>
  <si>
    <t>献力</t>
  </si>
  <si>
    <t>欺瞒</t>
  </si>
  <si>
    <t>金币</t>
  </si>
  <si>
    <t>祝福</t>
  </si>
  <si>
    <t>威吓</t>
  </si>
  <si>
    <t>轻载</t>
  </si>
  <si>
    <t>重载</t>
  </si>
  <si>
    <t>超载</t>
  </si>
  <si>
    <t>最大载重</t>
  </si>
  <si>
    <t>次元袋</t>
  </si>
  <si>
    <t>银币</t>
  </si>
  <si>
    <t>护咒</t>
  </si>
  <si>
    <t>表演</t>
  </si>
  <si>
    <t>铜币</t>
  </si>
  <si>
    <t>传奇恩惠</t>
  </si>
  <si>
    <t>背包 Backpack</t>
  </si>
  <si>
    <t>速查</t>
  </si>
  <si>
    <t>自述</t>
  </si>
  <si>
    <t>磅</t>
  </si>
  <si>
    <t>数量</t>
  </si>
  <si>
    <t>x</t>
  </si>
  <si>
    <t>次元袋/载具</t>
  </si>
  <si>
    <t>有</t>
  </si>
  <si>
    <t>账本笔记</t>
  </si>
  <si>
    <t>.</t>
  </si>
  <si>
    <t>次元袋/载具重量</t>
  </si>
  <si>
    <t>次元袋/载具负重（收纳）</t>
  </si>
  <si>
    <t>施法 Spellcasting</t>
  </si>
  <si>
    <t>法术豁免DC</t>
  </si>
  <si>
    <t>法术命中</t>
  </si>
  <si>
    <t>已知戏法</t>
  </si>
  <si>
    <t>主职业已知法术</t>
  </si>
  <si>
    <t>主职业可准备法术数量</t>
  </si>
  <si>
    <t>列表0</t>
  </si>
  <si>
    <t>学派</t>
  </si>
  <si>
    <t>仪式</t>
  </si>
  <si>
    <t>法术名</t>
  </si>
  <si>
    <t>施法时间</t>
  </si>
  <si>
    <t>施法距离</t>
  </si>
  <si>
    <t>持续时间</t>
  </si>
  <si>
    <t>V</t>
  </si>
  <si>
    <t>S</t>
  </si>
  <si>
    <t>M</t>
  </si>
  <si>
    <t>具体施法材料</t>
  </si>
  <si>
    <t>法术效果</t>
  </si>
  <si>
    <t>法术值消耗</t>
  </si>
  <si>
    <t>准备</t>
  </si>
  <si>
    <t>╳</t>
  </si>
  <si>
    <t>魔能爆</t>
  </si>
  <si>
    <t>∞</t>
  </si>
  <si>
    <t>次级幻影</t>
  </si>
  <si>
    <t>法师之手</t>
  </si>
  <si>
    <t>迷踪步</t>
  </si>
  <si>
    <t>暗示术</t>
  </si>
  <si>
    <t>隐形术</t>
  </si>
  <si>
    <t>人类定身术</t>
  </si>
  <si>
    <t>隐形仆役</t>
  </si>
  <si>
    <t>修复术</t>
  </si>
  <si>
    <t>亡灵召唤术</t>
  </si>
  <si>
    <t>列表1</t>
  </si>
  <si>
    <t>环位合计法术值</t>
  </si>
  <si>
    <t>额外法术加值</t>
  </si>
  <si>
    <t>DC加值</t>
  </si>
  <si>
    <t>命中加值</t>
  </si>
  <si>
    <t>法术值</t>
  </si>
  <si>
    <t>最大法术环阶</t>
  </si>
  <si>
    <t>列表2</t>
  </si>
  <si>
    <t>列表3</t>
  </si>
  <si>
    <t>列表4</t>
  </si>
  <si>
    <t>列表5</t>
  </si>
  <si>
    <t>列表6</t>
  </si>
  <si>
    <t>列表7</t>
  </si>
  <si>
    <t>列表8</t>
  </si>
  <si>
    <t>列表9</t>
  </si>
  <si>
    <t>V 言语</t>
  </si>
  <si>
    <t>S 姿势</t>
  </si>
  <si>
    <t>M 材料</t>
  </si>
  <si>
    <t>材料内容</t>
  </si>
  <si>
    <t>法术详述</t>
  </si>
  <si>
    <t>名字</t>
  </si>
  <si>
    <t>英文名</t>
  </si>
  <si>
    <t>吟游诗人</t>
  </si>
  <si>
    <t>牧师</t>
  </si>
  <si>
    <t>德鲁伊</t>
  </si>
  <si>
    <t>圣武士</t>
  </si>
  <si>
    <t>游侠</t>
  </si>
  <si>
    <t>术士</t>
  </si>
  <si>
    <t>法师</t>
  </si>
  <si>
    <t>奇械师</t>
  </si>
  <si>
    <t>时间法师</t>
  </si>
  <si>
    <t>重力法师</t>
  </si>
  <si>
    <t>出处</t>
  </si>
  <si>
    <t>酸液飞溅</t>
  </si>
  <si>
    <t>咒法</t>
  </si>
  <si>
    <t>1动作</t>
  </si>
  <si>
    <t>60尺</t>
  </si>
  <si>
    <t>×</t>
  </si>
  <si>
    <t>立即</t>
  </si>
  <si>
    <t>·你掷出一颗酸液球。在施法距离内指定一个生物，或者在距离内指定两个相距不超过5尺的生物。每个目标必须进行一次敏捷豁免，豁免失败则受到1d6点强酸伤害。
·你到达5级时，该法术的伤害增加1d6（变为2d6）11级时再加1d6（变为3d6），17级时再加1d6（变为4d6）。</t>
  </si>
  <si>
    <t>Acid Splash</t>
  </si>
  <si>
    <t>√</t>
  </si>
  <si>
    <t>玩家手册</t>
  </si>
  <si>
    <t>剑刃防护</t>
  </si>
  <si>
    <t>防护</t>
  </si>
  <si>
    <t>自身</t>
  </si>
  <si>
    <t>1轮</t>
  </si>
  <si>
    <t>·你伸手在空中勾勒出一个防护印记，以令自己在下一回合结束前对武器攻击造成的钝击、穿刺和挥砍伤害具有抗性。</t>
  </si>
  <si>
    <t>Blade Ward</t>
  </si>
  <si>
    <t>轰雷剑</t>
  </si>
  <si>
    <t>塑能</t>
  </si>
  <si>
    <t>自身(5尺半径)</t>
  </si>
  <si>
    <t>一把至少价值1sp的近战武器</t>
  </si>
  <si>
    <t>·作为施展该法术的一部分，你必须用你的武器对5尺内的一个生物进行一次近战攻击。如果攻击命中，目标受到这次攻击的正常影响，并且被包覆在爆发性的能量之中，直到你下回合开始前。如果目标在结束之前自愿移动了5尺或更多，其立即受到1d8点雷鸣伤害，并且法术结束。
·该法术的伤害随着你的等级提升而增加。你到达5级时，这次近战攻击将造成额外1d8点雷鸣伤害，并且目标进行移动时受到的伤害提升为2d8。两个伤害骰都会在11级时增加1d8（2d8和3d8），17级时再加1d8（3d8和4d8）。</t>
  </si>
  <si>
    <t>Booming Blade</t>
  </si>
  <si>
    <t>剑湾冒险者指南</t>
  </si>
  <si>
    <t>冻寒之触</t>
  </si>
  <si>
    <t>死灵</t>
  </si>
  <si>
    <t>120尺</t>
  </si>
  <si>
    <t>·你在施法距离内某生物所在位置召唤出幽魂般的骨手，夹带着墓穴的刺骨冻寒攻击目标。并对该生物进行一次远程法术攻击，命中时，手掌抓住目标并令其受1d8点黯蚀伤害，且直至你下一回合开始前都无法恢复生命值。
·如果你的命中目标为一个不死生物，则其在你下回合结束之前对你发动的攻击检定都具有劣势。
·你到达5级时，该法术的伤害增加1d8（变为2d8）。11级时再加1d8（变为3d8），17级时再加1d8（变为4d8）。</t>
  </si>
  <si>
    <t>Chill Touch</t>
  </si>
  <si>
    <t>控火</t>
  </si>
  <si>
    <t>变化</t>
  </si>
  <si>
    <t>立即或1小时</t>
  </si>
  <si>
    <t>·你选择范围内你能看见的，占据5立方尺的非魔法火焰。你以下述方式之一影响此火焰：
·你立刻令火焰在一个方向上蔓延5尺，如同在新位置处有着木头或其他燃料。
·你立刻熄灭该空间内的火焰。            、
·你令火焰产生的明亮和微亮区域的范围加倍或减半，和/或改变其颜色。此种变化持续1个小时。
·你令火焰产生简单的形象——例如一个生物的模糊影像，一个固定的物体，或一个地点——这样的影像出现在火焰中，如你所愿变化着。这样的形象持续1个小时
·若你多次施放此法术，你可以令至多3个非立刻的效应同时生效，而你可以以一个动作解除上述的效果之一。</t>
  </si>
  <si>
    <t>Control Flames</t>
  </si>
  <si>
    <t>珊娜萨的万事指南</t>
  </si>
  <si>
    <t>创造篝火</t>
  </si>
  <si>
    <t>专注,至多1分钟</t>
  </si>
  <si>
    <t>·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·篝火可以点燃区域内未被穿戴或者携带的可燃物体。
·你到达5级时，该法术的伤害增加1d8（变为2d8）。11级时再加1d8（变为3d8），17级时再加1d8（变为4d8）。</t>
  </si>
  <si>
    <t>Create Bonfire</t>
  </si>
  <si>
    <t>舞光术</t>
  </si>
  <si>
    <t>一点磷或光榆木，或者一只萤火虫</t>
  </si>
  <si>
    <t>·你在施法距离内创造四个火把大小的光源。法术持续时间内，光源能够以火把，灯笼或光球的形态显现并在空中悬浮。你也可以将四个光源合为一个中型类人生物的模糊光影。无论选择哪种方式，每处光源都可以发出半径10尺的微光光照。
·你在自己回合可以用一个附赠动作令这些光源在施法距离内移动至多60尺。每个光源必需在另一个光源周边20尺内，而离开施法距离的光源会随即熄灭。</t>
  </si>
  <si>
    <t>Dancing Lights</t>
  </si>
  <si>
    <t>德鲁伊伎俩</t>
  </si>
  <si>
    <t>30尺</t>
  </si>
  <si>
    <t>·你向自然之魂低语，并创造以下效应之一：
→你创造一个微小而无害的感官效应，并以之预报你所在地接下来24小时的天气状况。该效应可表现为一个代表晴空的金球，一朵代表雨天的云彩，代表雪日而飘飞的雪花等等。该效应将持续1轮。
→你可以立即让一朵鲜花绽放，一颗种子破壳，一片叶蕾发芽。
→你创造一个微小而无害的即时感官效应，如落叶，微风，小动物的动静或者臭鼬的微弱气味。该效应只能在5尺的立方空间内起效。
→你可以立即点亮或熄灭一根蜡烛、一把火把或一处小篝火。</t>
  </si>
  <si>
    <t>Druidcraft</t>
  </si>
  <si>
    <t>·一束激烈的能量射向施法距离内一个生物。对该目标发动一次远程法术攻击，如果命中则该目标受1d10点力场伤害。
·当你到达更高等级时，该法术还可以同时创造更多的射线：5级时两条，11级时三条，17级时四条。你可以决定这些射线攻击同一个目标或分别攻击不同的目标，且为每束射线分别进行攻击检定。</t>
  </si>
  <si>
    <t>Eldritch Blast</t>
  </si>
  <si>
    <t>火焰箭</t>
  </si>
  <si>
    <t>·你对施法距离内一个生物或物件掷出一把火焰，对目标进行一次远程法术攻击。若命中，则目标受到1d10点火焰伤害。未被着装或携带的可燃物件被该法术命中时将被点燃。
·你到达5级时，该法术的伤害增加1d10（变为2d10）。11级时再加1d10（变为3d10），17级时再加1d10（变为4d10）。</t>
  </si>
  <si>
    <t>Fire Bolt</t>
  </si>
  <si>
    <t>交友术</t>
  </si>
  <si>
    <t>惑控</t>
  </si>
  <si>
    <t>法术施展时作用于脸部的一些化妆用品</t>
  </si>
  <si>
    <t>·指定一个对你非敌对的生物，你在法术持续时间内对其进行的所有魅力检定均具有优势。当该法术终止时，该生物将意识到你曾使用魔法操弄他的情绪，从而对你的态度转为敌对。此时如果该生物有暴力倾向则会直接对你发动攻击，而非暴力倾向的生物则会寻求其他的报复形式（由DM决定），具体情况视你与其交互时的具体内容而定。</t>
  </si>
  <si>
    <t>Friend</t>
  </si>
  <si>
    <t>霜噬</t>
  </si>
  <si>
    <t>·你令距离之内，一个你能看见的生物开始结冰。该目标必须进行一次体质豁免检定。若豁免失败，该目标受到1d6点冷冻伤害，并在其下个回合结束前进行的下一次武器攻击检定中得到劣势。
·你到达5级时，该法术的伤害增加1d6（变为2d6）。11级时再加1d6（变为3d6），17级时再加1d6（变为4d6）。</t>
  </si>
  <si>
    <t>Frostbite</t>
  </si>
  <si>
    <t>翠炎剑</t>
  </si>
  <si>
    <t>·作为施展该法术的一部分，你必须用你的武器对5尺内的一个生物进行一次近战攻击。如果攻击命中，目标受到这次攻击的正常影响，并且翠绿色的火焰将从目标身上跳转至其5尺内的另一个生物。第二个生物受到等于你施法关键属性调整值点火焰伤害。
·该法术的伤害随着你的等级提升而增加。你到达5级时，这次近战攻击将造成额外1d8火焰伤害，且第二个目标将受到的伤害提升至1d8+你的施法关键属性调整值。两个伤害骰都会在11级时增加1d8（2d8和2d8），17级时再加1d8（3d8和3d8）。</t>
  </si>
  <si>
    <t>Green Flame Blade</t>
  </si>
  <si>
    <t>神导术</t>
  </si>
  <si>
    <t>预言</t>
  </si>
  <si>
    <t>触及</t>
  </si>
  <si>
    <t>·你触碰一个自愿的生物。在法术终止前，目标可以选择在一次属性检定时额外掷一粒d4，并将所得数值加入检定结果中。它可以在进行属性检定之前或之后掷骰。法术随后即终止。</t>
  </si>
  <si>
    <t>Guidance</t>
  </si>
  <si>
    <t>舞风</t>
  </si>
  <si>
    <t>·在距离内的，你能看到的一点上，空气被你掌握，被迫产生了下述效应之一：
·由你选择的一个中型或更小的生物必须通过一次力量豁免，否则会被你推离5尺。
·你能制造出小小的空气爆破，足以移动一个未被持握或携带的，不超过5磅的物体。该物体被推离你10尺。以此法产生的力不足以造成伤害。
·你利用空气制造出无害的感官感受，例如令树叶沙沙作响，令百叶窗闭合，或你的衣服在微风中摆动。</t>
  </si>
  <si>
    <t>Gust</t>
  </si>
  <si>
    <t>虫群孳生</t>
  </si>
  <si>
    <t>一只活跳蚤</t>
  </si>
  <si>
    <t>·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·此法术的伤害在你达到5级（2d6），11级（3d6），和17级（4d6）时提高1d6点。</t>
  </si>
  <si>
    <t>Infestation</t>
  </si>
  <si>
    <t>光亮术</t>
  </si>
  <si>
    <t>一只萤火虫或一片磷光苔藓</t>
  </si>
  <si>
    <t>1小时</t>
  </si>
  <si>
    <t>·你触碰一个尺寸在任意方向上都不超过10尺的物件。在法术终止前，物件将在其20尺半径范围内发出明亮光照，并在其外20尺范围发出微光光照。光的颜色由你决定，该物件被不透明的东西完全遮盖时，其光照被遮挡。如果你再次施展该法术，或者使用一个动作解散该法术，则该法术终止。
·如果你指定敌对生物所持握或着装的一个物件作为目标，则该生物必须进行一次敏捷豁免以尝试摆脱该法术的效应。</t>
  </si>
  <si>
    <t>Light</t>
  </si>
  <si>
    <t>闪电牵引</t>
  </si>
  <si>
    <t>15尺</t>
  </si>
  <si>
    <t>·你创造出鞭状的闪电能量袭向你15尺内可见的一个生物。目标必须进行一次力量豁免，豁免失败则其以直线被你拉近10尺。如果拉近以后目标在你周围5尺内，那么他将受到1d8点闪电伤害。
·你到达5级时，该法术的伤害增加1d8（变为2d8）。11级时再加1d8（变为3d8），17级时再加1d8（变为4d8）。</t>
  </si>
  <si>
    <t>Lightning Lure</t>
  </si>
  <si>
    <t>1分钟</t>
  </si>
  <si>
    <t>·一只漂浮的幽灵手出现在施法距离内你指定的一点。幽灵手持续存在至法术终止，或直至你以一个动作解散该法术。如果幽灵手距你的距离超过30尺，或者当你再次施展了该法术时，则现存的幽灵手消失不见。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尺。
·该幽灵手不能攻击，也不能激活魔法物品或承载超过10磅重的物质。</t>
  </si>
  <si>
    <t>Mage Hand</t>
  </si>
  <si>
    <t>魔石</t>
  </si>
  <si>
    <t>1附赠动作</t>
  </si>
  <si>
    <t>·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·若你再次释放此法术，此法术先前释放时，在受到影响的石块上的效果会提前结束。</t>
  </si>
  <si>
    <t>Magic Stone</t>
  </si>
  <si>
    <t>两块天然磁石</t>
  </si>
  <si>
    <t>·该法术修复你所触碰一个物件上的一处破损或裂缝，例如修复一条断裂的链条，或者一把碎成两半的钥匙、一件撕裂的斗篷、一个漏了的酒袋等。只要破损或断裂处在任意方向上都不超过1尺，你就可以不留痕迹地修复它。
·该法术可以从物理上修复一件魔法物品或一个构装体，但不会恢复这类物件上的魔法。</t>
  </si>
  <si>
    <t>Mending</t>
  </si>
  <si>
    <t>传讯术</t>
  </si>
  <si>
    <t>一小段铜线</t>
  </si>
  <si>
    <t>·你用手指指向施法距离内的一个生物并低声说出一段信息。该目标（且只有该目标）会听到这段信息并可以用只有你能听见的低语回复你。
·你可以隔着固态物件施展该法术，但你必须熟悉法术目标并知晓其就在屏障后方。魔法的沉默，1尺厚的石头，1寸厚的普通金属，一片薄铅片，或者3尺厚的木料都可以阻挡该法术。该法术不需要直线传递信息，它可以自由地转过拐角或穿过孔洞。</t>
  </si>
  <si>
    <t>Message</t>
  </si>
  <si>
    <t>心灵之楔</t>
  </si>
  <si>
    <t>·你将由灵能塑成的迷惘尖刺打入一个距离内可见生物的心智。目标必须进行一次智力豁免，豁免失败则将受到1d6点心灵伤害，且在你下回合结束前进行的下一次豁免检定中，在结果上减去1d4。
·这道法术的伤害在你达到特定等级时增加1d6：5级（变为2d6），11级（变为3d6），17级（变为4d6）。</t>
  </si>
  <si>
    <t>Mind Sliver</t>
  </si>
  <si>
    <t>塔莎的万象坩埚</t>
  </si>
  <si>
    <t>幻术</t>
  </si>
  <si>
    <t>一小块羊毛</t>
  </si>
  <si>
    <t>·你在施法距离内创造一段声响或一个物件的影像，并使之维持至法术持续时间结束。你也可以用一个动作解除幻象，或者再次施展该法术来终止幻象。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如果你创造一个物件的影像（比如一把椅子、泥泞的脚印、一个小箱子等），则该物件大小不得大于一个边长5尺的立方体。该影像不具有声音、光亮、味道或任何其他的感官效应。由于影像可以被任何物件所穿透，因此与之进行物理互动时都会揭露其幻象的本质。
·生物用其动作调查该声响或影像时，必须进行一次对抗该法术豁免DC的智力（调查）检定，检定成功则判断出眼前即是幻象。幻象在看穿它的生物面前会显得模糊不清。</t>
  </si>
  <si>
    <t>Minor Illusion</t>
  </si>
  <si>
    <t>塑土</t>
  </si>
  <si>
    <t>·你选择距离之内，你能看见的，占满5立方尺空间的一堆泥土或一块岩石。你可以用以下方式之一对其进行改变：
·若你指向一片松散的土壤，你可以立刻挖开它，令其沿着地表行进，被运离到至多5尺之外的地方。这种移动的力量不足以造成伤害。
·你让泥土或岩石的形状，和/或颜色发生改变，写出文字，画出图案或雕出图纹。这种变化持续1个小时。
·若你指定的泥土或岩石在地表上，你可以令其成为困难地形。作为另一种选项，你亦可以令已经是困难地形的地表区域成为正常地形。这种变化持续1个小时。
·若你多次施放此法术，你可以同时维持至多两个非立即的效果生效，你也可以以一个动作解消上述效应之一。</t>
  </si>
  <si>
    <t>Mold Earth</t>
  </si>
  <si>
    <t>毒气喷溅</t>
  </si>
  <si>
    <t>10尺</t>
  </si>
  <si>
    <t>·你伸手向施法距离内一个你能看见的生物喷一阵毒气。目标必须进行一次体质豁免，豁免失败则受1d12毒素伤害。
·你到达5级时，该法术的伤害增加1d12（变为2d12）。11级时再加1d12（变为3d12），17级时再加1d12（变为4d12）</t>
  </si>
  <si>
    <t>Poison Spray</t>
  </si>
  <si>
    <t>魔法伎俩</t>
  </si>
  <si>
    <t>至多1小时</t>
  </si>
  <si>
    <t>·该法术是一个初级施法者用来练习的魔法小伎俩。你在施法距离内创造下列魔法效果中的一种：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→你立即使一个不大于1立方尺的物件变得清洁或肮脏。
→你立即使一个不大于1立方尺的非活体物质变得冰冷、温暖或对其调味，其效应持续1小时。
→你在一个物件或一个表面上创造一块色斑，或者一个记号，又或者一个标志，其效应持续1小时。
→你创造一个巴掌大小的非魔法小玩意或一个虚幻图像，其效应持续到你下回合结束。
·如果你多次施展该法术，则可以同时维持至多三个不同的非即时效应，并且可以用一个动作解散其中一种效应。</t>
  </si>
  <si>
    <t>Prestidigitation</t>
  </si>
  <si>
    <t>原初蛮击</t>
  </si>
  <si>
    <t>·你的牙齿或指甲变得长而尖锐，从而准备好发起酸蚀性的打击。对一个处于你周围5尺内的生物进行一次近战法术攻击。命中则目标受到1d10点强酸伤害。在你进行此攻击后，你的牙齿或指甲恢复正常。
·此法术的伤害在你达到5级（2d10），11级（3d10），和17级（4d10）时提高1d10点。</t>
  </si>
  <si>
    <t>Primal Savagery</t>
  </si>
  <si>
    <t>燃火术</t>
  </si>
  <si>
    <t>10分钟</t>
  </si>
  <si>
    <t>·一朵摇曳的火焰出现在你手中。火焰在法术持续时间存在，并且不会伤害你和你的装备。火焰为其周边半径10尺范围内提供明亮光照，以及该范围外10尺的微光光照。法术将在再次施展该法术，或者以一个动作解除法术时终止。
·此外，你还可以使用火焰发动攻击，并以此终止该法术。施展该法术时，你可以将火焰投向距你30尺内的一个生物，并对其发动一次远程法术攻击，命中时目标将受到1d8点火焰伤害。你也可以在施展法术后的随后回合里以一个动作实现该行为。
·你到达5级时，该法术的伤害增加1d8（变为2d8）。11级时再加1d8（变为3d8），17级时再加1d8（变为4d8）。</t>
  </si>
  <si>
    <t>Produce Flame</t>
  </si>
  <si>
    <t>冷冻射线</t>
  </si>
  <si>
    <t>·一道冰冷的蓝白色光线朝施法距离内的一个生物射去。你对目标进行一次远程法术攻击。若命中，则目标受到1d8点冷冻伤害，并且在你的下一回合开始前速度减少10尺。
·你到达5级时，该法术的伤害增加1d8（变为2d8）。11级时再加1d8（变为3d8），17级时再加1d8（变为4d8）。</t>
  </si>
  <si>
    <t>Ray of Frost</t>
  </si>
  <si>
    <t>提升抗性</t>
  </si>
  <si>
    <t>一件微型斗篷</t>
  </si>
  <si>
    <t>·你触碰一个自愿的生物。在法术终止前，目标可以选择在一次豁免检定时额外掷一粒d4，并将所得数值加入检定结果中。他可以在进行豁免检定之前或之后掷骰。法术随后即终止。</t>
  </si>
  <si>
    <t>Resistance</t>
  </si>
  <si>
    <t>圣火术</t>
  </si>
  <si>
    <t>·如同火焰般的辉光向施法距离内你能看见的一个生物倾泻而下。目标必须要进行一次敏捷豁免，豁免失败则受到1d8点光耀伤害。目标在这次豁免检定中无法获得掩护的增益。
·你到达5级时，该法术的伤害增加1d8（变为2d8）。11级时再加1d8（变为3d8），17级时再加1d8（变为4d8）。</t>
  </si>
  <si>
    <t>Sacred Flame</t>
  </si>
  <si>
    <t>削弱芒刺</t>
  </si>
  <si>
    <t>·你削弱施法距离内一个你看得见的生物的生命活力。目标必须通过一个体质豁免，否则就会受到1d4点黯蚀伤害并且倒地。
·该法术的伤害会在你到达5级（2d4），11级（3d4）与17级（4d4）时增加1d4.</t>
  </si>
  <si>
    <t>Sapping Sting</t>
  </si>
  <si>
    <t>荒洲探险家指南</t>
  </si>
  <si>
    <t>操水</t>
  </si>
  <si>
    <t>·你选定距离之内，你能看见的一处占据5立方尺的水体。你能以下述方式之一来对其进行操控：
·你立即在你选定的方向上，造成或改变水的流动，至多在任意方向上改变5尺。此种运动的力量不足以造成伤害。
·你令水体呈现出简单的形状，随你的意愿而运动。这种变化持续1个小时。
·你改变了水体的颜色或透明度。水体必须被整体性的改变。此种变化持续1个小时。
·你冻结了水，只要其中没有生物。水会在1小时内解冻。
·若你多次施放此法术，你可以同时维持至多两个非立即的效果生效，你也可以以一个动作解消上述效应之一。</t>
  </si>
  <si>
    <t>Shape Water</t>
  </si>
  <si>
    <t>橡棍术</t>
  </si>
  <si>
    <t>一些槲寄生，一片三叶草的叶子和一根短棒或木杖</t>
  </si>
  <si>
    <t>·你将自然之力灌入手中持握的一根短棒或木杖中。你在法术持续时间内使用该武器进行近战攻击时可以用你的施法关键属性代替力量值来进行攻击检定和伤害掷骰，且该武器的伤害骰变为d8。另外，如果该武器原来不是魔法武器，则它将变成魔法武器。你再次施展该法术或丢掉该武器时，该法术将随之终止。</t>
  </si>
  <si>
    <t>Shillelagh</t>
  </si>
  <si>
    <t>电爪</t>
  </si>
  <si>
    <t>·你的手上发出闪电，并对你触碰的一个生物发动电击。对目标发动一次近战法术攻击。如果目标穿着金属护甲，则你进行该检定时具有优势。若命中，则目标受到1d8点闪电伤害，并且在其下一回合开始前不能执行任何反应。
·你到达5级时，该法术的伤害增加1d8（变为2d8）。11级时再加1d8（变为3d8），17级时再加1d8（变为4d8）。</t>
  </si>
  <si>
    <t>Shocking Grasp</t>
  </si>
  <si>
    <t>维生术</t>
  </si>
  <si>
    <t>·你触碰一个生命值为0的活体生物，使该生物的伤势立刻稳定下来。该法术对不死生物和构装生物无效。</t>
  </si>
  <si>
    <t>Spare the Dying</t>
  </si>
  <si>
    <t>剑刃爆发</t>
  </si>
  <si>
    <t>·你在瞬间制造出一圈半透明的利刃清扫你的周围。法术范围内除你以外的每一个生物都必须成功通过一次敏捷豁免，否则将受到1d6点力场伤害。
·你到达5级时，该法术的伤害增加1d6（变为2d6）。11级时再加1d6（变为3d6），17级时再加1d6（变为4d6）。</t>
  </si>
  <si>
    <t>Sword Burst</t>
  </si>
  <si>
    <t>奇术</t>
  </si>
  <si>
    <t>至多1分钟</t>
  </si>
  <si>
    <t>·你在施法距离内展示出一个低级奇观，以表现你的超自然力。你在施法距离内创造出下列魔法效应之一：
→你的声音在1分钟内变得比常人响两倍。
→你在1分钟内使一团火焰闪烁，变亮，变暗或变色。
→你使地面震动1分钟（完全无害）。
→你使某种声音自施法距离内一点瞬间发出，例如雷鸣声，鸦叫声或不祥的低语声。
→你使一扇没有锁上的门或窗瞬间打开或关上。
→你在1分钟内改变自己眼睛的颜色。
·多次施展该法术时，你可以同时维持最多三个持续1分钟的效应。你也可以用一个动作驱散其中一种效应。</t>
  </si>
  <si>
    <t>Thaumaturgy</t>
  </si>
  <si>
    <t>荆棘之鞭</t>
  </si>
  <si>
    <t>一根来自带刺植物的茎干</t>
  </si>
  <si>
    <t>·你创造出一条藤蔓般的带刺长鞭，并猛抽向施法距离内一个你指定的生物。对目标进行一次近战法术攻击，如果命中，则目标受到1d6点穿刺伤害，如果目标生物为大型或更小体型，则其将朝你所在位置拉近至多10尺。
·你到达5级时，该法术的伤害增加1d6（变为2d6）。11级时再加1d6（变为3d6），17级时再加1d6（变为4d6）。</t>
  </si>
  <si>
    <t>Thorn Whip</t>
  </si>
  <si>
    <t>鸣雷破</t>
  </si>
  <si>
    <t>5尺</t>
  </si>
  <si>
    <t>·你制造出雷鸣巨响，可以在100尺范围内被听到。除你之外，在你周围5尺范围内的生物必须进行一次体质豁免。若豁免失败，该生物受到1d6点雷鸣伤害。
·你到达5级时，该法术的伤害增加1d6（变为2d6）。11级时再加1d6（变为3d6），17级时再加1d6（变为4d6）。</t>
  </si>
  <si>
    <t>Thunderclap</t>
  </si>
  <si>
    <t>亡者丧钟</t>
  </si>
  <si>
    <t>·你指向一个处于距离内、你能看见的生物，一阵哀痛的铃声在空中鸣响。目标必须通过一次感知豁免，否则受到1d8点黯蚀伤害。若目标失去了任何量的生命值，它改为受到1d12点黯蚀伤害。
·此法术的伤害在你达到5级（2d8或2d12），11级（3d8或3d12），和17级（4d8或4d12）时提高一个伤害骰。</t>
  </si>
  <si>
    <t>Toll the Dead</t>
  </si>
  <si>
    <t>克敌先机</t>
  </si>
  <si>
    <t>专注,至多1轮</t>
  </si>
  <si>
    <t>·你伸出手并以手指指向施法距离内的一个生物，并以魔力刹那间看穿目标的防御。如果该法术还未终止，则你在自己的下一回合里，对该目标发动的第一次攻击检定具有优势。</t>
  </si>
  <si>
    <t>True Strike</t>
  </si>
  <si>
    <t>恶言相加</t>
  </si>
  <si>
    <t>·你对施法距离内一个你能看见的生物连珠炮式的说出一串蕴涵魔力的咒骂。如果目标能听见你说话（不一定要听懂），它就必须要进行一次感知豁免，豁免失败则将受到1d4点心灵伤害，其下一回合结束前进行第一次攻击检定具有劣势。
·你到达5级时，该法术的伤害增加1d4（变为2d4）。11级时再加1d4（变为3d4），17级时再加1d4（变为4d4）。</t>
  </si>
  <si>
    <t>Vicious Mockery</t>
  </si>
  <si>
    <t>光耀祷言</t>
  </si>
  <si>
    <t>一块圣徽</t>
  </si>
  <si>
    <t>·你念出神圣的词语，灼热的光辉随之喷薄而出。每个你选择的、处于你周围5尺内、你能看见的生物必须通过一次体质豁免检定，否则受到1d6点光耀伤害。
·此法术的伤害在你达到5级（2d6），11级（3d6），和17级（4d6）时提高1d6点。</t>
  </si>
  <si>
    <t>Word of Radiance</t>
  </si>
  <si>
    <t>吸收元素</t>
  </si>
  <si>
    <t>1反应，于你受到强酸、冷冻、火焰、闪电、或雷鸣伤害时进行</t>
  </si>
  <si>
    <t>·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·升环施法效应。当你使用2环或更高的法术位施放该法术时，使用的法术位每高一环，额外伤害便增加1d6。</t>
  </si>
  <si>
    <t>Absorb Elements</t>
  </si>
  <si>
    <t>警报术</t>
  </si>
  <si>
    <t>一个小铃铛和一小段银线</t>
  </si>
  <si>
    <t>8小时</t>
  </si>
  <si>
    <t>·你针对不速之客设置一个警报。在施法距离内指定一扇门窗或选择一个边长不大于20尺的立方区域。在法术持续时间内，任何触碰或进入目标区域的微型或更大体型生物都会触发警报。施法时，你可以决定哪些生物不会触发警报，还可以选择警报方式为声音警报或是精神警报。
·如果你选择精神警报，且警报触发时你距离目标区域不超过1里，则你的意念里会传来“乒”的警报声。如果你在睡觉，则警报将使你惊醒。
·如果你选择声音警报，则警报触发时其60尺范围内将响起持续10秒摇铃声。</t>
  </si>
  <si>
    <t>Alarm</t>
  </si>
  <si>
    <t>化兽为友</t>
  </si>
  <si>
    <t>一点食物</t>
  </si>
  <si>
    <t>24小时</t>
  </si>
  <si>
    <t>·该法术帮你让一只野兽相信你并无恶意。在施法距离内指定一只你能看见的野兽，而它也必须能看见你且能听到你的声音。该野兽必须进行一次感知豁免，豁免失败则将在法术持续时间内被你魅惑。如果它的智力为４或更高则法术直接失败。如果你或你的同伴对目标造成伤害，则法术终止。
·升环施法效应。使用２环或更高法术位施展该法术时，你使用的法术位每比１环高一环，就可以多选择一个野兽作为目标。</t>
  </si>
  <si>
    <t>Animal Friendship</t>
  </si>
  <si>
    <t>艾嘉西斯之铠</t>
  </si>
  <si>
    <t>一杯水</t>
  </si>
  <si>
    <t>·防护性的魔法力量环绕着你，凝聚成覆盖着你和你的装备表面上一层魅影般的凝霜。
·你在法术持续时间内获得５点临时生命值。如果有生物在你拥有这些临时生命值时以近战攻击命中你，则该生物将受到５点冷冻伤害。
·升环施法效应。使用２环或更高法术位施展该法术时，你使用的法术位每比１环高一环，临时生命和冷冻伤害就各增加５点。</t>
  </si>
  <si>
    <t>Armor of Agathys</t>
  </si>
  <si>
    <t>哈达之臂</t>
  </si>
  <si>
    <t>自身(10尺半径)</t>
  </si>
  <si>
    <t>·你祈求“乌黯之饥渴 the Dark Hunger”，哈达 Hadar 的力量。黑暗能量构成的触须从你身上蔓延而出并痛击10尺内的所有生物。范围内的所有生物都必须进行一次力量豁免，豁免失败者将受到2d6点黯蚀伤害，并其下一回合前都无法执行反应。豁免成功的生物伤害减半，且不受其他效应的影响。
·升环施法效应。使用２环或更高法术位施展该法术时，你使用的法术位每比１环高一环，法术的伤害就增加1d6。</t>
  </si>
  <si>
    <t>Arms of Hadar</t>
  </si>
  <si>
    <t>灾祸术</t>
  </si>
  <si>
    <t>一滴血</t>
  </si>
  <si>
    <t>·指定施法距离内至多三个你能看见的生物，并迫使其进行一次魅力豁免。豁免失败者直至法术终止前，在每当进行攻击检定或豁免检定时，必须从投骰结果中减去一个d4。
·升环施法效应。使用2环或更高法术位施展该法术时，你使用的法术位每比1环高一环，就能多指定一个目标。</t>
  </si>
  <si>
    <t>Bane</t>
  </si>
  <si>
    <t>兽之联结</t>
  </si>
  <si>
    <t>一小块被布包裹的毛皮</t>
  </si>
  <si>
    <t>专注,至多10分钟</t>
  </si>
  <si>
    <t>·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</si>
  <si>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</si>
  <si>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祝福术</t>
  </si>
  <si>
    <t>一钵圣水</t>
  </si>
  <si>
    <t>·你用言语祝福施法距离内至多三个生物。在法术终止前，每当受术目标进行攻击检定或豁免检定时，可以额外掷一次d4并加在其结果上。
·升环施法效应。使用2环或更高法术位施展该法术时，你使用的法术位每比1环高一环，就可以多指定一个目标。</t>
  </si>
  <si>
    <t>Bless</t>
  </si>
  <si>
    <t>燃烧之手</t>
  </si>
  <si>
    <t>自身(15尺锥状)</t>
  </si>
  <si>
    <t>·你双手拇指相对，其他手指张开，一道火焰随即从手指间喷出。处于15尺锥状区域内的生物必须进行一次敏捷豁免。豁免失败者受到3d6 点火焰伤害，豁免成功则伤害减半。
·该法术的火焰会点燃范围内未被着装或携带的可燃物。
·升环施法效应。使用2环或更高法术位施展该法术时，你使用的法术位每比1环高一环，法术的伤害就增加1d6。</t>
  </si>
  <si>
    <t>Burning Hand</t>
  </si>
  <si>
    <t>弹射</t>
  </si>
  <si>
    <t>·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·升环施法效应。当你使用2环或更高的法术位施放该法术时，使用的法术位每高一环，你可以指定的物体的重量上限便增加5磅，而造成的伤害便提高1d8。</t>
  </si>
  <si>
    <t>Catapult</t>
  </si>
  <si>
    <t>造成恐惧</t>
  </si>
  <si>
    <t>·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</si>
  <si>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</si>
  <si>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</si>
  <si>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</si>
  <si>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·你进行几种宗教典礼之一。当你施展此法术时，选择下述典礼之一，其目标必须在施法过程中处于你周围10尺内。
·赎罪Atonement：你接触一个阵营发生了改变的自愿生物，而你进行一次DC20的感知（洞悉）检定。成功则你令目标恢复其原始阵营。
·祝福圣水Bless Water：你接触一瓶水并将它转变为圣水。
·成人礼Coming of Age：你接触一个年龄足够成年的类人生物。在接下来的24小时内，当目标进行一次属性检定时，它可以投d4并将投出的结果加到属性检定上。一个生物只能从此仪式中获得此增益一次。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·葬礼Funeral Rite：你祝福一具处于你周围5尺内的尸体。在接下来的7天内，目标不能被任何弱于祈愿术wish的方式变为不死生物。
·婚礼Wedding：你接触自愿接受婚姻的束缚的成年类人生物。在接下来的7天内，每个目标若处于彼此30尺范围内，则在AC上获得+2加值。一个生物只有在丧偶时才能再次从这个仪式中受益。</t>
  </si>
  <si>
    <t>Ceremony</t>
  </si>
  <si>
    <t>混乱箭</t>
  </si>
  <si>
    <t>·你向着距离内的一个生物掷出一团变化不定、高声尖鸣的混乱能量。对目标进行一次远程法术攻击。击中时，目标受到2d8+1d6点伤害。选择一颗d8投出的数字来决定它的伤害类型：1强酸，2冷冻，3火焰，4力场，5闪电，6毒素，7精神，8雷鸣。
·若你的两颗d8投出了相同的数字，混乱能量将从目标跳跃到一个由你选择的、处于它周围30尺内的其他生物上。对新目标进行一次新的攻击检定，进行新的伤害检定，这次伤害检定也可能令混沌能量跳跃。
·一个生物只能被此混乱箭选作目标一次。
·升环施法效应。当你使用2环或更高的法术位施展此法术时，每个生物受到额外伤害，类型与投出的一致。额外伤害等于高于1环的每个等级1d6点。</t>
  </si>
  <si>
    <t>Chaos Bolt</t>
  </si>
  <si>
    <t>魅惑人类</t>
  </si>
  <si>
    <t>·你尝试魅惑施法距离内的某个你能看见的类人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·升环施法效应。使用2环或更高法术位施展该法术时，你使用的法术位每比1环高一环，法术就能多影响一个目标。而各目标之间距离不能超过30尺。</t>
  </si>
  <si>
    <t>Charm Person</t>
  </si>
  <si>
    <t>繁彩球</t>
  </si>
  <si>
    <t>90尺</t>
  </si>
  <si>
    <t>一枚至少价值50gp的钻石</t>
  </si>
  <si>
    <t>·你向施法距离内某个你能看见的生物掷出一颗直径4寸的能量球，并从强酸、冷冻、火焰、闪电、毒素、雷鸣中选择一种类型以对该生物发动一次远程法术攻击。攻击命中时，该生物将受到3d8点你所选类型的伤害。
·升环施法效应。使用２环或更高法术位施展该法术时，你使用的法术位每比１环高一环，法术的伤害就增加1d8。</t>
  </si>
  <si>
    <t>Chromatic Orb</t>
  </si>
  <si>
    <t>七彩喷射</t>
  </si>
  <si>
    <t>一撮粉末或沙子，其颜色必须包含红、黄、蓝三色</t>
  </si>
  <si>
    <t>·炫目的彩光从你指间散射而出。掷一次6d10；其结果为受该法术影响生物的生命值总数。在以你为源点的15尺锥状区域内的生物以剩余生命值由小至大的顺序受法术影响（生效时忽略昏迷生物和不能视物的生物）。
·计算受法术影响生物时，从剩余生命值最低的生物开始逐个计算。每个受术生物均陷入目盲，直至法术终止。法术掷骰的生命值总数减去一个受术生物的生命值后，余数再用以计算生命值稍高者是否受法术影响。生物剩余生命值，必须小于等于该余数法术才能成功影响该生物。
·升环施法效应。使用2环或更高法术位施展该法术时，你使用的法术位每比1环高一环，法术的掷骰时就增加2d10。</t>
  </si>
  <si>
    <t>Color Spray</t>
  </si>
  <si>
    <t>命令术</t>
  </si>
  <si>
    <t>·你对施法距离内一个你能看见的生物说出一个单词的命令。目标生物必须成功通过一次感知豁免，否则必须在其自己的下一回合服从该命令行事。如果目标为不死生物或目标无法听懂你的语言，又或者你的命令对其直接构成损害，则该法术无效。
·以下列出一些通常可用的命令单词及其效果。你也可以说出此处没有列明的单词命令，并由DM决定目标将如何行动。如果目标无法完成你的命令，则法术终止。
→过来 Approach：目标以最短最直接的路线向你移动，并在到达距你5尺时结束其回合。
→放下 Drop：目标放下手中持握物并结束其回合。
→走开 Flee：目标在其回合内以最快最有效的方式远离你。
→趴下 Grovel：目标趴下倒地并结束其回合。
→立定 Halt：目标不移动且不作任何动作。飞行生物在原地悬浮（如果它可以这么做）。如果它必须移动才能保持在空中，则其移动最小的距离以保持飞行。
·升环施法效应。使用2环或更高法术位施展该法术时，你使用的法术位每比1环高一环，法术就能多影响一个目标。而各目标之间距离不能超过30尺。</t>
  </si>
  <si>
    <t>Command</t>
  </si>
  <si>
    <t>强令对决</t>
  </si>
  <si>
    <t>·你尝试强令一个生物与你决斗。指定施法距离内一个你能看见的生物作为法术的目标。该生物必须进行一次感知豁免，豁免失败则该生物将被你的神圣要求所吸引。在法术持续时间内，该生物对除你之外任何生物发动攻击检定时都具有劣势，并且每当其试图移动至与你相距超过30尺的距离时，都必须进行一次感知豁免。豁免成功则该目标的移动本回合内暂时不受该魔法限制。
·当你攻击另一个生物时，或者当你对另一个敌对生物施展法术时，又或者当一个你的友方生物对该目标造成伤害或者对其施展伤害性法术时，又或者你在距离该目标超过30 尺的位置结束你的回合时，该法术终止。</t>
  </si>
  <si>
    <t>Compelled Duel</t>
  </si>
  <si>
    <t>通晓语言</t>
  </si>
  <si>
    <t>一撮煤灰和一撮盐</t>
  </si>
  <si>
    <t>·你在法术持续时间内知晓你所听到所有语言的字面意义。你也可以通过触碰书写的文字来读懂其字面意义。以这种方式阅读每页文字需要花费1分钟的时间。
·某些文字或图形的密语（比如一个奥秘符文）由于不属于书写语言一类所以无法用此法术破译。</t>
  </si>
  <si>
    <t>Comprehend Language</t>
  </si>
  <si>
    <t>造水_枯水术</t>
  </si>
  <si>
    <t>造水为一滴水，枯水为一点谷物或沙子</t>
  </si>
  <si>
    <t>·你施法创造水或者使水枯竭。
·造水 Create Water：你在施法距离内一个打开的容器里创造10加仑干净的水。或以降雨的方式在施法距离内一处30尺的立方区域降下等量水分并浇灭区域内不受遮盖的火苗。
·枯水 Destroy Water：你使施法距离内一个打开的容器里的10加仑水分枯竭不见。或者使施法距离内一片30尺立方区域的浓雾消失不见。
·升环施法效应。使用2环或更高法术位施展该法术时，你使用的法术位每比1环高一环，法术就多创造或枯竭10加仑额外的水分，或者影响的立方区域边长增加5尺。</t>
  </si>
  <si>
    <t>Create or Destroy Water</t>
  </si>
  <si>
    <t>疗伤术</t>
  </si>
  <si>
    <t>·一个你触碰的生物恢复特定数值的生命值，其恢复量等于1d8＋你的施法关键属性调整值。该法术对不死生物和构装生物无效。
·升环施法效应。使用2环或更高法术位施展该法术时，你使用的法术位每比1环高一环，恢复量就增加1d8。</t>
  </si>
  <si>
    <t>Cure Wounds</t>
  </si>
  <si>
    <t>侦测善恶</t>
  </si>
  <si>
    <t>·你在法术持续时间内能感觉到身边30尺内出现的任一异怪、天界生物、元素生物、精类生物、邪魔或不死生物的存在，并掌握其具体位置。另外，你也可以知晓30尺内的物件或地点是否被祝福或亵渎。
·该法术可以穿透大多障碍，但仍会被1尺厚石质或1寸厚金属质，或一层薄铅质，或3尺厚木质或泥质材料阻隔。</t>
  </si>
  <si>
    <t>Detect Evil and Good</t>
  </si>
  <si>
    <t>侦测魔法</t>
  </si>
  <si>
    <t>· 你在法术持续时间内能感测到30尺内存在的魔法。感测到魔法的存在后，你可以使用动作，来看到任何你能看见的生物或物件周围微弱的灵光，并分辨出其所属的魔法学派（若有）。
·该法术可以穿透大部分障碍，但仍会被1尺厚石质，或1寸厚金属质，或一层薄铅质，或3尺厚木质或泥质材料阻隔。</t>
  </si>
  <si>
    <t>Detect Magic</t>
  </si>
  <si>
    <t>侦测毒性和疾病</t>
  </si>
  <si>
    <t>一片红豆杉叶</t>
  </si>
  <si>
    <t>·你在法术持续时间内可以感测并定位30尺内的毒素、有毒生物以及疾病。你还可以判断所感测毒素、毒物或疾病的具体类别。
·该法术可以穿透大部分障碍，但仍会被1尺厚石质，或1寸厚金属质，或一层薄铅质，或3尺厚木质或泥质材料阻隔。</t>
  </si>
  <si>
    <t>Detect Poison and Disease</t>
  </si>
  <si>
    <t>易容术</t>
  </si>
  <si>
    <t>·你改变自身以及随身的衣物、护甲、武器等所有物。该效应在法术终止或你使用动作主动解除时结束。肉眼看来你的身高可以有1尺的增减，体态可胖可瘦可匀称。但是你不能改变身体的形状，所以你变形的样子必须有四肢或类似的生理结构。此外，幻术的影响范围由你决定。
·此法术产生的变化无法应对物理检查。比如，你用此法术添了一顶帽子，那么现实物件会从帽子穿过去，且任何触碰帽子的人将摸不到任何东西或者摸到的是你的头和头发。如果你用该法术让自己变得消瘦，而某个人用手摸到你时，他的手看起来就像摸着空气。
·如果一个生物想要分辨你是否易容，则必须使用一个动作揭露你的伪装，并进行一次智力（调查）检定以对抗你的法术豁免DC。</t>
  </si>
  <si>
    <t>Disguise Self</t>
  </si>
  <si>
    <t>不谐低语</t>
  </si>
  <si>
    <t>·你指定一个施法距离内能够听到你声音的生物，并对其说出只有他能听到的不谐低语，使其受强烈的痛苦折磨。目标必须进行一次感知豁免。豁免失败则受到3d6点心灵伤害，并立即执行反应往远离你的方向移动其速度所允许的距离。该生物不会进入明显危险的地域，如火堆或陷坑。豁免成功则伤害减半，且不会执行远离的反应。陷入耳聋状态的目标，进行该豁免时直接判定为成功。
·升环施法效应。使用2环或更高法术位施展该法术，你使用的法术位每比1环高一环，伤害就提高1d6。</t>
  </si>
  <si>
    <t>Dissonant Whispers</t>
  </si>
  <si>
    <t>神恩</t>
  </si>
  <si>
    <t>·你的祈祷赋予你神圣的光芒。在法术持续时间结束前，你的武器攻击命中时将造成额外1d4点光耀伤害。</t>
  </si>
  <si>
    <t>Divine Favor</t>
  </si>
  <si>
    <t>地颤</t>
  </si>
  <si>
    <t>·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·升环施法效应。当你使用2环或更高的法术位施放该法术时，使用的法术位每高一环，伤害便增加1d6。</t>
  </si>
  <si>
    <t>Earth Tremor</t>
  </si>
  <si>
    <t>诱捕打击</t>
  </si>
  <si>
    <t>·你在法术终止前的下一次武器攻击命中一个生物时，将在攻击处出现一团扭曲的多刺藤蔓，并迫使目标进行一次力量豁免，豁免失败者将受魔法藤蔓影响而陷入束缚状态，直至法术终止。大型或更大体型的生物进行该豁免时具有优势，如果豁免成功，则藤蔓立即枯萎。
·受该法术束缚的目标每回合开始时受到1d6点穿刺伤害。该受束缚生物或其他能触及该目标的生物可用一个动作进行一次对抗法术豁免DC的力量检定。检定成功则目标解除束缚。
·升环施法效应。使用2环或更高法术位施展该法术时，你使用的法术位每比1环高一环，伤害就提高1d6。</t>
  </si>
  <si>
    <t>Ensnaring Strike</t>
  </si>
  <si>
    <t>纠缠术</t>
  </si>
  <si>
    <t>·在施法距离内指定一点，并以其为源点蔓延出20尺方形区域的杂草和藤蔓。在法术持续时间内，这片被植物覆盖的区域变为困难地形。
在你施展法术时，该区域内的生物必须成功通过一此力量豁免，否则将因为这些缠绕的植物陷入束缚状态，直到法术终止。一个因此被束缚的生物可以使用其动作进行一次力量检定以对抗该法术的豁免DC，检定成功则摆脱束缚。
·法术终止时，所召唤的植物随即枯萎。</t>
  </si>
  <si>
    <t>Entangle</t>
  </si>
  <si>
    <t>脚底抹油</t>
  </si>
  <si>
    <t>·此法术让你以惊人的步速移动。你在施展该法术时可以执行一次“疾走 Dash ”动作。其后直至法术终止前的每个自己回合，你能以一个附赠动作执行“疾走 Dash ”动作。</t>
  </si>
  <si>
    <t>Expeditious Retreat</t>
  </si>
  <si>
    <t>妖火</t>
  </si>
  <si>
    <t>·指定施法距离内一处20尺立方区域，其内每个物件都将被蓝色，绿色或紫色的光所包围（颜色由你指定）。区域内敏捷豁免失败的生物也会被光包围。受术物件和生物在法术持续时间内发出10尺半径的微光。
·受术生物或物件无法受益于隐形，且任何能看见他们的攻击者对其发动攻击检定时具有优势。</t>
  </si>
  <si>
    <t>Faerie Fire</t>
  </si>
  <si>
    <t>虚假生命</t>
  </si>
  <si>
    <t>一小瓶酒或蒸馏酒精</t>
  </si>
  <si>
    <t>·你从死灵法术中获得了额外的生命力。在法术持续时间内，你获得1d4+4的临时生命值。
·升环施法效应。使用2环或更高法术位施展该法术时，你使用的法术位每比1环高一环，其给予的临时生命值就增加5。</t>
  </si>
  <si>
    <t>False Life</t>
  </si>
  <si>
    <t>羽落术</t>
  </si>
  <si>
    <t>1反应，你60尺内有生物坠落时可用</t>
  </si>
  <si>
    <t>一小片羽毛或绒毛</t>
  </si>
  <si>
    <t>·在施法距离内指定至多五个正坠落的生物。受术生物的坠落速度在法术持续时间内降低至每轮60尺。如果该生物在法术终止前落地，则其不会受到任何坠落伤害，且可以安全的用脚着地。着地后法术对该生物的效应随即终止。</t>
  </si>
  <si>
    <t>Feather Fall</t>
  </si>
  <si>
    <t>获得魔宠</t>
  </si>
  <si>
    <t>将价值10gp的木炭、焚香以及香草，放在黄铜盆中烧尽</t>
  </si>
  <si>
    <t>·你获得一只为你服务的魔宠。以下列动物为原型选择魔宠的动物精魂外貌：蝙蝠 bat、猫 cat、螃蟹 crab、青蛙 frog（蟾蜍 toad）、鹰 hawk、蜥蜴 lizard、章鱼 octopus、猫头鹰 owl、毒蛇 poisonous snake、鱼 fish（食人鱼 quipper）、老鼠 rat、渡鸦 raven、海马 sea horse、蜘蛛 spider、鼬鼠 weasel。魔宠出现在施法距离内一处未被占据的空间，虽然有着所选的生物属性数据，但其种类为天界生物，精类生物或邪魔（由你选择）而不是野兽。
·你的魔宠可以独立行动，不过会随时遵循你的指令。战斗时，它为自己骰先攻，并在自己的回合里行动。魔宠无法攻击，但是它能如常执行其他动作。
·魔宠的HP降为0时自行消失，且不会留下任何物理残余，而当你重新施展该法术后它会重新出现。
·你的魔宠在你身边100尺范围内时，你可以与其进行心灵交流。此外，你还可以用一个动作将自己的视觉和听觉切换到魔宠的感官，并一持续至你下一回合。在此期间，你同时享有该魔宠自身的特殊感官，而你本体的感官则等同于陷入耳聋以及目盲状态。
·你可以用一个动作暂时的解散你的魔宠。此时它将进入一个小位面等待你的重新召唤。或者，你也可以选择永久解散它。暂时解散时，你可以用一个动作召唤它出现在30尺内任意未占据的空间中。
·你不能同时拥有一只以上的魔宠，如果你在已有魔宠的状况下施展该法术，则你可以为现有的魔宠选择的新的形态（从以上列表选择）。
·此外，当你施展施法距离为触及的法术时，你的魔宠可以帮你传递法术，其效果就如同该法术由魔宠施展一样。此时你的魔宠必须在你身边100尺范围内，且其必须可以执行反应来传递法术。如果传递的法术需要进行攻击检定，则该检定将使用你自己的攻击调整值。</t>
  </si>
  <si>
    <t>Find Familiar</t>
  </si>
  <si>
    <t>云雾术</t>
  </si>
  <si>
    <t>专注,至多1小时</t>
  </si>
  <si>
    <t>·你以施法距离内一点为中心创造一片半径20尺的球状浓雾。浓雾在球形内充斥所有角落，并造成重度遮蔽。浓雾持续至法术持续时间结束，但仍可被和风或更强风势（至少每小时10里）所吹散。
·升环施法效应。使用2环或更高法术位施展该法术时，你使用的法术位每比1环高一环，浓雾的半径就增加20尺。</t>
  </si>
  <si>
    <t>Fog Cloud</t>
  </si>
  <si>
    <t>灵敏之赐</t>
  </si>
  <si>
    <t>·你触碰一个自愿生物，在法术持续时间内，他的先攻掷骰中可以加入一个额外的D8。</t>
  </si>
  <si>
    <t>Gift of Alacrity</t>
  </si>
  <si>
    <t>神莓术</t>
  </si>
  <si>
    <t>一枝槲寄生</t>
  </si>
  <si>
    <t>·至多10个浆果出现在你手里。果子在法术持续时间内充满魔法，一个生物可用动作吃下其中之一并以此恢复1点生命值，且一枚浆果就可以满足该生物一整天的营养需求。
·创造的浆果如果在法术施展后的24小时内没有被吃掉就会失去其效力。</t>
  </si>
  <si>
    <t>Goodberry</t>
  </si>
  <si>
    <t>油腻术</t>
  </si>
  <si>
    <t>一小块猪皮或黄油</t>
  </si>
  <si>
    <t>·你在施法距离内指定一点，光滑的油脂以该点为中心覆盖一处10尺的方状区域。在法术持续时间内。该区域变为困难地形。
·油脂出现时，站在其范围内的每个生物必须进行一次敏捷豁免，豁免失败则失足倒地。进入该区域或在区域内结束其回合的生物也必须进行该敏捷豁免，豁免失败则失足倒地。</t>
  </si>
  <si>
    <t>Grease</t>
  </si>
  <si>
    <t>曳光弹</t>
  </si>
  <si>
    <t>·一道闪光快速飞向施法距离内你指定的一个生物，并对该目标进行一次远程法术攻击检定。命中时，目标受4d6点光耀伤害。由于目标身上闪耀着秘法的微光，在施法者下个回合结束前，对该目标发动的下一次攻击检定具有优势。
·升环施法效应。使用2环或更高法术位施展该法术时，你使用的法术位每比1环高一环，伤害就增加1d6。</t>
  </si>
  <si>
    <t>Guiding Bolt</t>
  </si>
  <si>
    <t>棘雹术</t>
  </si>
  <si>
    <t>·你在法术终止前进行的下一次远程武器攻击命中时会从你的远程武器或弹药中创造出棘刺，并形成一片棘刺之雨。除了攻击产生的正常效果外，受攻击的目标及目标身边5尺范围内的所有生物还必须进行一次敏捷豁免，豁免失败者将受到1d10点穿刺伤害，豁免成功则伤害减半。
·升环施法效应。使用2环或更高法术位施展该法术时，你使用的法术位每比1环高一环，伤害就增加1d10（最大伤害6d10）。</t>
  </si>
  <si>
    <t>Hail of Thorns</t>
  </si>
  <si>
    <t>治愈真言</t>
  </si>
  <si>
    <t>·你指定施法距离内一个你能看见的生物并恢复其生命值，恢复量等于1d4＋你的施法关键属性调整值。该法术对构装体和不死生物无效。
·升环施法效应。使用2环或更高法术位施展该法术时，你使用的法术位每比1环高一环，治疗量就增加1d4点。</t>
  </si>
  <si>
    <t>Healing Word</t>
  </si>
  <si>
    <t>炼狱叱喝</t>
  </si>
  <si>
    <t>1反应，当60尺内一个你能看见的生物对你造成伤害时执行</t>
  </si>
  <si>
    <t>·你伸指一点，伤害你的生物立刻被炼狱的烈焰包围。该生物必须进行一次敏捷豁免，豁免失败则受到2d10点火焰伤害，豁免成功则伤害减半。
·升环施法效应。使用2环或更高法术位施展该法术时，你使用的法术位每比1环高一环，伤害就增加1d10。</t>
  </si>
  <si>
    <t>Hellish Rebuke</t>
  </si>
  <si>
    <t>英雄气概</t>
  </si>
  <si>
    <t>·你触碰一个自愿生物使其充满勇气。该生物直至法术终止前免疫恐慌，且它将在其每回合开始时获得临时生命值，其数值等于你的施法关键属性调整值。法术终止时，目标失去所有来自该法术的临时生命值。
·升环施法效应。使用2环或更高法术位施展该法术时，你使用的法术位每比1环高一环，就可以额外指定一个目标。</t>
  </si>
  <si>
    <t>Heroism</t>
  </si>
  <si>
    <t>脆弱诅咒</t>
  </si>
  <si>
    <t>一只被石化的蝾螈眼睛</t>
  </si>
  <si>
    <r>
      <rPr>
        <sz val="11"/>
        <color rgb="FF000000"/>
        <rFont val="仿宋"/>
        <charset val="134"/>
      </rPr>
      <t>·你对施法距离内一个你能看见的一个生物施加诅咒。直到法术终止前，你命中该目标的任意攻击都将额外造成1d6点黯蚀伤害。此外，你在施展该法术的同时选择一项属性，使该目标进行所选属性的属性检定时具有劣势。
·如果目标在法术终止前HP降至0，则你可以在法术终止前后续的某一回合中使用一个附赠动作诅咒另一个生物。
·对受术目标施展法术</t>
    </r>
    <r>
      <rPr>
        <i/>
        <sz val="11"/>
        <color rgb="FF000000"/>
        <rFont val="仿宋"/>
        <charset val="134"/>
      </rPr>
      <t>移除诅咒remove curse</t>
    </r>
    <r>
      <rPr>
        <sz val="11"/>
        <color rgb="FF000000"/>
        <rFont val="仿宋"/>
        <charset val="134"/>
      </rPr>
      <t>后可以提前终止该法术。
·升环施法效应。使用3环或4环法术位施展该法术时，其专注可以维持至多8小时。使用5环或更高法术位施展该法术时，其专注可以维持至多24小时。</t>
    </r>
  </si>
  <si>
    <t>Hex</t>
  </si>
  <si>
    <t>猎人印记</t>
  </si>
  <si>
    <t>·你指定施法距离内一个你能看见的生物并以魔法标记其作为你的猎物。直至法术终止前，你每次以武器攻击命中该目标时都会额外造成1d6点伤害，且每当你为寻找目标生物而进行感知（察觉）或感知（生存）检定时都具有优势。如果在法术结束前目标HP降至0，则你可以在法术结束前的后续某一个回合中用一个附赠动作标记另一个生物。
·升环施法效应。你使用3环或4环法术位施展该法术时，该法术的专注可以至多维持8小时。你使用5环或更高法术位施展该法术时，该法术的专注可以至多维持24小时。</t>
  </si>
  <si>
    <t>Hunter's Mark</t>
  </si>
  <si>
    <t>冰刃</t>
  </si>
  <si>
    <t>一滴水或一块冰</t>
  </si>
  <si>
    <t>·你制造出一块冰晶裂片，并将它射向距离内的一个生物。你对目标进行一次远程法术攻击。若击中，目标受到1d10点穿刺伤害。无论击中与否，裂片都会在之后爆裂。目标和周围5尺范围内的每个生物必须通过一次敏捷豁免检定，否则受到2d6点冷冻伤害。
·升环施法效应。当你使用2环或更高的法术位施放该法术时，使用的法术位每高一环，冷冻伤害便增加1d6点。</t>
  </si>
  <si>
    <t>Ice Knife</t>
  </si>
  <si>
    <t>鉴定术</t>
  </si>
  <si>
    <t>一颗价值至少100gp的珍珠和一根猫头鹰羽毛</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</si>
  <si>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·如果你施法过程中一直接触的是一生物，则你将知晓其是否受法术影响，及产生影响的法术效应具体来自哪项法术。</t>
  </si>
  <si>
    <t>Identity</t>
  </si>
  <si>
    <t>迷幻手稿</t>
  </si>
  <si>
    <t>价值至少10gp的铅料墨水，作为法术的耗材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</si>
  <si>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</si>
  <si>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</si>
  <si>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</si>
  <si>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</si>
  <si>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·你对触及范围内一个生物发动一次近战法术攻击。命中时，目标受到3d10点黯蚀伤害。
·升环施法效应。使用2环或更高法术位施展该法术时，你使用的法术位每比1环高一环，伤害就增加1d10。</t>
  </si>
  <si>
    <t>Inflict Wounds</t>
  </si>
  <si>
    <t>跳跃术</t>
  </si>
  <si>
    <t>一只蚱蜢的后腿</t>
  </si>
  <si>
    <t>·你触碰一个生物，并使该生物的跳跃距离在法术持续时间内增至三倍。</t>
  </si>
  <si>
    <t>Jump</t>
  </si>
  <si>
    <t>大步奔行</t>
  </si>
  <si>
    <t>一撮泥土</t>
  </si>
  <si>
    <t>·你触碰一个生物，该目标速度在法术持续时间内增加10尺。
·升环施法效应。使用2环或更高法术位施展该法术时，你使用的法术位每比1环高一环，你就可以额外指定一个目标。</t>
  </si>
  <si>
    <t>Longstrider</t>
  </si>
  <si>
    <t>法师护甲</t>
  </si>
  <si>
    <t>一块鞣制过的皮革</t>
  </si>
  <si>
    <t>·你触碰一个未着装护甲的自愿生物，使其受一个保护性魔法力场环绕直至法术终止。目标的基础AC变为13＋它的敏捷调整值。目标着装护甲或你以一个动作解散该法术后法术随之终止。</t>
  </si>
  <si>
    <t>Mage Armor</t>
  </si>
  <si>
    <t>魔法飞弹</t>
  </si>
  <si>
    <t>·你创造三枚由魔法力场形成的闪光飞镖，并让每发飞镖命中施法距离内你能看见的指定生物。每发飞镖对目标造成1d4+1点力场伤害。所有飞镖同将时命中目标，而你还可以指定它们击中同一个目标或是分别击中几个目标。
·升环施法效应。使用2环或更高法术位施展该法术时，你使用的法术位每比1环高一环，该法术就会多制造出一支飞镖。</t>
  </si>
  <si>
    <t>Magic Missile</t>
  </si>
  <si>
    <t>扩大重力</t>
  </si>
  <si>
    <t>·施法距离内你可见的一点的10尺半径球形范围内的重力暂时性地增加了。
·在你施法时，所有处于该范围内的生物必须通过一个体质豁免。若豁免失败，该生物受到2d8点力场伤害且其移动速度在他的下个回合结束前减半。若豁免成功，该生物受到一半的伤害且在移动速度上没有减值。
·直到你的下个回合开始，任何想要把该范围内未被着装或携带的物品移动或捡起都需要进行一次对抗你的法术豁免DC的成功的力量检定，若成功才可行。
·升环施法效应。每当你使用2环或更高的法术位施展该法术时，每比1环多一的法术位能使该法术的伤害增加1d8。</t>
  </si>
  <si>
    <t>Magnify Gravity</t>
  </si>
  <si>
    <t>防护善恶</t>
  </si>
  <si>
    <t>圣水或者银和铁的粉末，作为该法术的耗材</t>
  </si>
  <si>
    <t>·在法术终止前，你触碰的一个自愿生物获得针对以下所有类型生物的防护：异怪、天界生物、元素生物、精类生物、邪魔和不死生物。
·该防护提供以下增益：该类生物对目标生物进行的攻击检定具有劣势；目标不会被该类生物魅惑，恐慌或附身；如果目标已被该类生物影响而陷入魅惑、恐慌，或被附身，则目标之后进行对抗相关效应的豁免检定时具有优势。</t>
  </si>
  <si>
    <t>Protection from Evil and Good</t>
  </si>
  <si>
    <t>净化食粮</t>
  </si>
  <si>
    <t>·你指定施法距离内一点，净化指定点周围半径5尺球状区域内的非魔法饮食品，并驱除其浸染的所有毒素和疾病。</t>
  </si>
  <si>
    <t>Purify Food and Drink</t>
  </si>
  <si>
    <t>致病射线</t>
  </si>
  <si>
    <t>·一道恶心的浅绿射线朝施法距离内一个生物射去。你对目标进行一次远程法术攻击。若命中，则目标受到2d8点毒素伤害且必须进行一次体质豁免，豁免失败则目标陷入中毒，该中毒效应持续至你的下一回合结束。
·升环施法效应。使用2环或更高法术位施展该法术时，你使用的法术位每比1环高一环，伤害就增加1d8。</t>
  </si>
  <si>
    <t>Ray of Sickness</t>
  </si>
  <si>
    <t>庇护术</t>
  </si>
  <si>
    <t>一小块银镜</t>
  </si>
  <si>
    <t>·你的法术保护一个施法距离内的生物不受攻击。在法术终止前，任何试图对受保护者进行攻击或对受保护者施放伤害性法术的生物都必须进行一次感知豁免。豁免失败则该生物必须选定一个新目标，否则将失去本次的攻击或法术。该法术不能保护受术者免受范围效应（如爆炸或火球）的影响。
·受保护者进行攻击或施放任何影响敌对生物的法术时，该法术随之终止。</t>
  </si>
  <si>
    <t>Sanctuary</t>
  </si>
  <si>
    <t>炽焰斩</t>
  </si>
  <si>
    <t>·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点火焰伤害。豁免成功则法术终止。如果目标或其身边5尺内的另一个生物用一个动作来扑灭其身上的火焰，或有其他某种效果熄灭了火焰（例如目标跳入水中），则法术终止。
·升环施法效应。使用2环或更高法术位施展该法术时，你使用的法术位每比1环高一环，最初一次攻击造成的额外伤害就增加1d6。</t>
  </si>
  <si>
    <t>Searing Smite</t>
  </si>
  <si>
    <t>护盾术</t>
  </si>
  <si>
    <t>1反应，当你被攻击命中或被作为魔法飞弹的目标时执行</t>
  </si>
  <si>
    <t>·一道看不见的法力护盾浮现在你身边，保护着你。在你的下一回合开始前，你的AC 具有+5加值（在触发该法术的攻击之前生效），并且不会受到魔法飞弹的伤害。</t>
  </si>
  <si>
    <t>Shield</t>
  </si>
  <si>
    <t>虔诚护盾</t>
  </si>
  <si>
    <t>一小块写有神圣文字的羊皮纸</t>
  </si>
  <si>
    <t>·围绕着施法距离内你指定的一个生物出现一片闪着微光的魔法力场。使目标在法术持续时间内AC获得+2加值。</t>
  </si>
  <si>
    <t>Shield of Faith</t>
  </si>
  <si>
    <t>无声幻影</t>
  </si>
  <si>
    <t>少量羊毛</t>
  </si>
  <si>
    <t>·你创造一个影像，其形象来自一个大小不超过边长15尺立方体的物件，生物或其他的可视现象。影像出现在施法距离内你能看见的一处位置并在法术持续时间内持续存在。该影像是纯粹的视觉影像；它不会被听觉，嗅觉或其他感官感受到。
·你可以用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用其动作调查影像时，它可以进行一次对抗法术豁免DC的智力（调查）检定，以判定是否看穿幻象。辨出幻象的生物可以看破该影像，在该生物看来会透过影像看到其背后的事物。</t>
  </si>
  <si>
    <t>Silent Image</t>
  </si>
  <si>
    <t>睡眠术</t>
  </si>
  <si>
    <t>一把细沙，玫瑰花瓣，或一只蟋蟀</t>
  </si>
  <si>
    <t>·该法术使一些生物陷入魔法造成的沉睡中。掷一次5d8；其结果为受该法术影响生物的生命值总数。你指定施法距离一点，该点周围20尺区域内的生物以剩余生命值由小至大的顺序受法术影响（生效时忽略昏迷生物）。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·不死生物以及免疫魅惑效果的生物不受该法术影响。
·升环施法效应。使用2环或更高法术位施展该法术时，使用的法术位每比1环高一环，法术的掷骰就增加2d8。</t>
  </si>
  <si>
    <t>Sleep</t>
  </si>
  <si>
    <t>魔法圈套</t>
  </si>
  <si>
    <t>25尺的线绳，作为此法术的耗材</t>
  </si>
  <si>
    <t>·当你施展此法术时，用线绳在一处处于你触及内的地面或地板上创造一个5尺半径的圆圈。当你完成施法时，线绳消失，化为一个魔法陷阱。
·陷阱几乎是隐形的，要找到它需要一次成功的对抗你的法术豁免DC的智力（调查）检定。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·被束缚的生物可以在其每个回合的结束时进行一次敏捷豁免检定，成功则结束被束缚。或者，其他能触及被束缚的生物可以进行一次智力（奥秘）检定，对抗你的法术豁免DC。成功则束缚的效果也会结束。
·在陷阱被触发之后，当没有生物被它束缚时，法术将会结束。</t>
  </si>
  <si>
    <t>Snare</t>
  </si>
  <si>
    <t>动物交谈</t>
  </si>
  <si>
    <t>·你在法术持续时间内获得理解野兽并与其沟通的能力。许多野兽智力不高，因此它们的认知水平相当有限，但它们至少能向你提供关于周围地域和怪物的情报，包括任何它们现在以及在前一日内察觉到的东西。你也许可以说服野兽帮你一些小忙，是否成功则由DM来判断。</t>
  </si>
  <si>
    <t>Speak with Animals</t>
  </si>
  <si>
    <t>塔莎腐蚀酿</t>
  </si>
  <si>
    <t>自身(30尺线状)</t>
  </si>
  <si>
    <t>一点腐烂的食物</t>
  </si>
  <si>
    <t>·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·升环法术效应。使用2环或更高法术位施展该法术时，你使用的法术位每比1环高一环，法术的伤害就增加2d4。</t>
  </si>
  <si>
    <t>Tasha’s Caustic Brew</t>
  </si>
  <si>
    <t>塔莎狂笑术</t>
  </si>
  <si>
    <t>一些小甜饼以及一片空中飘荡的羽毛</t>
  </si>
  <si>
    <t>·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或更低的生物无效。
·目标在其每回合结束或受到伤害时，可以再进行一次感知豁免。豁免成功则法术终止。再进行豁免时，如果是因受到伤害所致则该次豁免具有优势。</t>
  </si>
  <si>
    <t>Tasha's Hideous Laughter</t>
  </si>
  <si>
    <t>谭森浮碟术</t>
  </si>
  <si>
    <t>一滴水银</t>
  </si>
  <si>
    <t>·指定施法距离内一处你能看见的未被占据空间，并在该处创造一个圆盘状的碟型水平力场。浮碟直径3尺，厚1寸，悬浮在离地3尺的半空。其可以在法术持续时间内持续存在，并至多可负载500磅重量。如果放在浮碟上的物件重量超过500磅，则该法术立即终止，浮碟上的所有东西也将掉落地面。
·浮碟在你20尺内时静止不动。只要你与其距离超过20尺，浮碟就会跟随你移动，并保持在你的20尺范围内。浮碟可以自由通过崎岖地形，上落的阶梯，斜坡面或者诸如此类的地面，但它不能越过高差超过10尺的地面。例如，浮碟不能越过一个10尺深的坑；如果浮碟造在坑里，则它也无法离开这个深坑。
·如果你和浮碟间的距离超过100 尺（通常是因为它受障碍所阻无法跟上你），则法术随即终止。</t>
  </si>
  <si>
    <t>Tenser's Floating Disk</t>
  </si>
  <si>
    <t>雷鸣斩</t>
  </si>
  <si>
    <t>·你在法术持续时间内下一次用近战武器攻击命中某个生物时将发出雷霆巨响，并使你周围300尺都能听见该响声。该攻击对目标造成额外2d6点雷鸣伤害，如果目标是一个生物，则它必须要进行一次力量豁免，豁免失败则目标往远离你的方向推动10尺并应击倒地。</t>
  </si>
  <si>
    <t>Thunderous Smite</t>
  </si>
  <si>
    <t>雷鸣波</t>
  </si>
  <si>
    <t>自身(15尺立方)</t>
  </si>
  <si>
    <t>·一道雷鸣波从你的身体向外扫去。在以你为源点15尺立方区域内的每个生物必须进行一次体质豁免。豁免失败者将受到2d8点雷鸣伤害，并被推离10尺。豁免成功则伤害减半，且不会被推离。
·此外，所有完全位于该区域内且没被固定住的物件都将被自动推离10尺。而该法术还会发出方圆300尺内都能听见的雷霆巨响。
·升环施法效应。使用2环或更高法术位施展该法术时，你使用的法术位每比1环高一环，法术的伤害就增加1d8。</t>
  </si>
  <si>
    <t>Thunderwave</t>
  </si>
  <si>
    <t>一根线和一块木头</t>
  </si>
  <si>
    <t>·该法术创造出一个无心智、无实体的隐形力场。你可以在法术终止前命令它进行简单的工作。该仆从被创造出来后出现在施法距离内一处未被占据空间的地面上。其AC为10，生命值为1，力量为2，且不能攻击。若仆从的生命值降至0，则法术终止。
·你可以自己每个回合内以一个附赠动作对仆役下达精神命令，使它移动最多15尺并与一个物件进行互动。仆从可以做人类仆从能做到的简单工作，例如拿取东西、打扫卫生、修补东西、叠衣服、点火、上菜、倒酒等。一旦你下达了命令，仆从就会尽全力去做你命令它做的工作直至完成，并在完成任务后静待你的下一个命令。
·如果你命令仆从做一件需要它离开你身边60尺的工作，则法术随之终止。</t>
  </si>
  <si>
    <t>Unseen Servant</t>
  </si>
  <si>
    <t>巫术箭</t>
  </si>
  <si>
    <t>从一棵被闪电击中的树上取来的树枝</t>
  </si>
  <si>
    <t>·一支缠绕着碎裂魔力的蓝色能量长矛射向施法距离内的一个生物，并在你与目标之间生成一道持久的闪电弧。对目标生物进行一次远程法术攻击。若命中，则目标受到1d12点闪电伤害。在法术持续时间内，你在每个自己的回合中可以用一个动作直接对目标造成1d12点闪电伤害。如果你执行动作做其他任何事情，法术将随即终止。此外，如果目标离开法术的施法距离或相对你处于全身掩护状态，法术也将随即终止。
·升环施法效应。使用2环或更高法术位施展该法术时，你使用的法术位每比1环高一环，法术的初始伤害就增加1d12。</t>
  </si>
  <si>
    <t>Witch Bolt</t>
  </si>
  <si>
    <t>激愤斩</t>
  </si>
  <si>
    <t>·你在法术持续时间内，下一次近战武器攻击命中时，对目标造成额外1d6点心灵伤害。此外，如果目标是一个生物，则其必须进行一次感知豁免。豁免失败则目标生物将在法术终止前持续陷入对你恐慌的状态。该生物可以用一个动作来尝试重拾斗志，并进行一次对抗该法术DC的感知检定，检定成功则法术即刻终止。</t>
  </si>
  <si>
    <t>Wrathful Smite</t>
  </si>
  <si>
    <t>西风打击</t>
  </si>
  <si>
    <t>·你行动如风。在持续时间内，你的移动不会导致借机攻击。
·此外，在此法术结束前仅一次，你可以在自己的回合让自己的一次武器攻击检定获得优势。这次攻击若击中会造成额外1d8力场伤害。无论你是否击中，你的步行速度都会增加30尺，直到这个回合结束。</t>
  </si>
  <si>
    <t>Zephyr Strike</t>
  </si>
  <si>
    <t>扭曲价值</t>
  </si>
  <si>
    <t>·当你试图卖掉从混沌神殿中解放出来的那座奇异章鱼雕像时，你是否需要从那个无良商人口袋里再压榨几块黄金？当收税员驻足你的身前时，你是否需要贬低一些魔法资产的价值呢？扭曲价值法术为你保驾护航。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·升环施法效应。当你使用2环或更高的法术位施展该法术时，使用的法术位每比1环高一环，目标物件的最大尺寸就可以增加1尺。</t>
  </si>
  <si>
    <t>Distort Value</t>
  </si>
  <si>
    <t>艾奎兹玄有限责任公司</t>
  </si>
  <si>
    <t>吉姆的魔法飞弹</t>
  </si>
  <si>
    <t>版税成分：1gp</t>
  </si>
  <si>
    <t>·每一个法师学徒都会施展无聊的古董魔法飞弹。啊哈，它总是击中目标。（哈欠）。别再干你祖父流传下来的苦差事了，来像吉姆·达克马奇那样，用这个改进版本的法术吧！
·你创造了三个扭曲着的，尖啸着的，低过敏的，无麸质的魔法立场飞镖。每一枚飞弹都瞄准一个在施法距离内由你选择的可见生物。为每一枚飞弹进行远程攻击检定。若命中，飞弹将对这个目标造成2d4点力场伤害。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·升环施法效应。当你使用2环或更高的法术位施展该法术时，使用的法术位每比1环高一环，法术就可以多创造一枚飞镖，但是版权成分也会增加1gp。</t>
  </si>
  <si>
    <t>Jim's Magic Missile</t>
  </si>
  <si>
    <t>银光锐语</t>
  </si>
  <si>
    <t>1反应，当一个于你60尺内且可见的生物成功进行一次攻击检定、属性检定或豁免检定时</t>
  </si>
  <si>
    <t>·你魔法地让触发生物分心，将其短暂的迟疑转变为另一个生物的鼓励。触发生物必须重新投掷d20并选用较低的结果。
·之后你能选择施法距离内的一个不同生物（可以是你自己）。选择的生物在接下来的一分钟里的第一次攻击检定、属性检定或豁免检定中具有优势。一个生物在同一时间里只会拥有一次来自该法术的增益。</t>
  </si>
  <si>
    <t>Silvery Barbs</t>
  </si>
  <si>
    <t>斯翠海文：混乱之课</t>
  </si>
  <si>
    <t>阿迦纳萨喷火术</t>
  </si>
  <si>
    <t>一片红龙的鳞片</t>
  </si>
  <si>
    <t>·一道长30尺，宽5尺的翻涌火线从你向一个你选定的方向蔓延。在该线中的生物必须进行一次敏捷豁免检定。豁免失败的生物受到3d8点火焰伤害，而豁免成功则只受到上述伤害的一半。
·升环施法效应。当你使用3环或更高的法术位施放该法术时，使用的法术位每高一环，伤害便增加1d8。</t>
  </si>
  <si>
    <t>Aganazzar's Scorcher</t>
  </si>
  <si>
    <t>援助术</t>
  </si>
  <si>
    <t>一小片白布</t>
  </si>
  <si>
    <t>·你的法术增强了盟友的韧性和毅力。在施法距离内指定至多三个生物。每个目标的生命值上限和当前生命值在法术持续时间内提高5点。
·升环施法效应。使用3环或更高法术位施展该法术时，你使用的法术位每比2环高一环，每个目标的生命值上限和当前生命值就额外提高5点。</t>
  </si>
  <si>
    <t>Aid</t>
  </si>
  <si>
    <t>变身术</t>
  </si>
  <si>
    <t>·你变换了自身形态。施法时，从以下选项中选择其一生效，并维持至其持续时间结束。你还可以在持续时间内以一个动作在选项间切换。
·水生适应 Aquaatic Adaptation：你长出鳃和蹼以适应水中行动。你可以在水下呼吸，并且获得等同于步行速度的游泳速度。
·改变外貌 Change Appearance：你改变了自己的外貌。你可以自行设定自己的外观：包括身高、体重、面部细节、声线、头发长短、肤色以及（可能具有的）独特外貌特征。你可以让自己看起来像是其他种族，但你的角色数值不会改变。你无法改变体型或是基础身体轮廓。例如，如果你两足行动，就不能变为四足生物。你可以在持续时间内以一个动作改变这些外貌细节。
·天生武器 Natural Weapon：你长出尖牙锐爪、棘刺长角，或是其他类型的一种自选的天生武器。所选的天生武器可以使你的徒手打击造成1d6的钝击、挥砍或穿刺伤害，且你视为具有徒手打击的熟练项。另外，该天生武器视为魔法武器，且你在使用它进行的攻击检定和伤害掷骰均具有+1加值。</t>
  </si>
  <si>
    <t>Alter Self</t>
  </si>
  <si>
    <t>动物信使</t>
  </si>
  <si>
    <t>·该法术令你可以利用动物传递信息。在施法距离内指定一只你能看见的微型野兽（比如松鼠，蓝松鸦，或是蝙蝠）。再选择一个你曾造访过的地点，然后描述收信人的基本信息，如“一个穿着城镇守卫制服的男人或女人”或“一个戴着尖顶帽子的红发矮人”。最后再说出一段不超过二十五个单词的信息。目标野兽将会在法术持续时间内前往你选定的地点。会飞的信使24小时内可移动50里，不会飞的信使只能移动25里。
·信使抵达目的地后，会模仿你的声音把信息传递给你描述的人。信使只会把信息传递给符合你描述的人。如果法术持续时间内信使未能抵达目的地则信息将遗失，而曾作为信使的野兽将自行寻路返回你施法的地点。
·升环施法效应。使用3环或更高法术位施展该法术时，你使用的法术位每比2环高一环，其法术持续时间就增加48小时。</t>
  </si>
  <si>
    <t>Animal Messenger</t>
  </si>
  <si>
    <t>秘法锁</t>
  </si>
  <si>
    <t>至少价值25gp的金粉</t>
  </si>
  <si>
    <t>直至被解除</t>
  </si>
  <si>
    <t>·你触碰关上的一扇门，一扇窗，一个箱子或其他出入口，并使目标在法术持续时间内保持锁闭状态。施法时，你还可以设定允许你和其他若干生物正常打开该物件。你还可以设置一条密语，在该锁闭物件5尺内念出密语时，秘法锁将被压制1分钟。该物件只有在法术被压制、被解除，或物件本身遭破坏时才能打开。对物件施放敲击术 Knock将使其秘法锁法术在10分钟内受压制。
·受该法术影响的物件更难被撬开或破坏。对其进行破坏或撬锁时，其相应DC增加10。</t>
  </si>
  <si>
    <t>Arcane Lock</t>
  </si>
  <si>
    <t>卜筮术</t>
  </si>
  <si>
    <t>至少价值25金币的一套绘有标记的短棒，骨头，或类似的象征物</t>
  </si>
  <si>
    <t>·借由镶嵌宝石的小短棒，龙骨，卡牌或是其他占卜器具，你从异界存在处获得对某件你计划在接下来的30分钟内做的事的预示。DM从下列预示中选取一个：
→吉：预示着好的结果。
→凶：预示着坏的结果。
→吉且凶：预示着结果既有好的方面，也有坏的方面。
→无：预示着结果并无明显的好坏分别。
·此法术不会将任何可能影响结果的偶然事件考虑在内。例如，额外施放某个法术，或是得到/失去某个同伴。
·若你在两次长休之间使用两次或更多次的卜筮术 Augury，则法术有概率会给出随机的结果。此概率从第二次施展起每次累计25％。具体结果由DM暗骰决定。</t>
  </si>
  <si>
    <t>Augury</t>
  </si>
  <si>
    <t>树肤术</t>
  </si>
  <si>
    <t>一把橡树皮</t>
  </si>
  <si>
    <t>·你触碰一个自愿生物，并使目标的皮肤在法术终止前呈现粗糙的树皮状外观。期间目标无论着装何种护甲，其AC将不会降至16以下。</t>
  </si>
  <si>
    <t>Barkskin</t>
  </si>
  <si>
    <t>野兽知觉</t>
  </si>
  <si>
    <t>·你触碰一只自愿的野兽。在法术持续时间内，你可以使用动作来将自己的视觉和听觉切换至受术野兽的感官，随后直至你再使用动作来恢复正常的知觉。
·通过野兽的感官感知四周时，你还会获得该生物本身具有的特殊感官，不过你对本体周围的状况视为等同于同时陷入目盲和耳聋状态。</t>
  </si>
  <si>
    <t>Beast Sense</t>
  </si>
  <si>
    <t>目盲_耳聋术</t>
  </si>
  <si>
    <t>·你尝试令敌人目盲或耳聋。在施法距离内指定一个你能看见的生物，并迫使其进行一次体质豁免。豁免失败者将在法术持续时间内陷入目盲或耳聋（由你选择）。目标可以在每次自己回合结束时再进行一次体质豁免，豁免成功则法术终止。
·升环施法效应。使用3环或更高法术位施展该法术时，你使用的法术位每比2环高一环，就可以多指定一个目标。</t>
  </si>
  <si>
    <t>Blindness/Deafness</t>
  </si>
  <si>
    <t>朦胧术</t>
  </si>
  <si>
    <t>·你的身影变得模糊，并在别人眼里闪烁不定。在法术持续时间内，任何生物对你发动的攻击检定具有劣势。不依赖视觉（例如盲视）或可以看穿幻象（例如真实视觉）的攻击者免疫此效应。</t>
  </si>
  <si>
    <t>Blur</t>
  </si>
  <si>
    <t>印记斩</t>
  </si>
  <si>
    <t>·你在法术终止前的下一次武器攻击命中某生物时武器闪烁如明星，并对目标额外造成2d6点光耀伤害。如果目标处于隐形状态，则该斩击将使其可见，且因其身上散发出５尺半径的微光而无法隐形，直至该法术终止。
·升环施法效应。使用３环或更高法术位施展该法术时，你使用的法术位每比２环高一环，法术的伤害就增加1d6。</t>
  </si>
  <si>
    <t>Branding Smite</t>
  </si>
  <si>
    <t>安定心神</t>
  </si>
  <si>
    <t>·你试图抑制一群人的强烈情感。指定施法距离内一点，并迫使该点周边半径20尺球状区域内的每个类人生物进行一次魅力豁免。受术生物可以自愿放弃豁免。豁免失败者将由你选择以下两项效应之一对其生效。
·你可以选择压制任何使目标受魅惑或恐慌的效应。法术终止时，若被压制效应持续时间仍未完结，则该效应继续生效。
·或者，你也可以选择使目标改变对某个你所指定生物的态度，由敌对变为冷漠。如果目标被攻击，或者被有害法术影响，又或者发现其盟友受到损害，则此效应终止。法术终止时，除非DM另行裁决，否则目标的态度恢复敌对。</t>
  </si>
  <si>
    <t>Calm Emotions</t>
  </si>
  <si>
    <t>匕首之云</t>
  </si>
  <si>
    <t>一小片玻璃</t>
  </si>
  <si>
    <t>·你在施法距离内指定一点，并以该点为中心，将一个边长5尺的立方区域充满魔法创造的旋转匕首。生物在区域内开始其回合，或者在一个回合内第一次进入该区域时将受到4d4点挥砍伤害。
·升环施法效应。使用3环或更高法术位施展该法术时，你使用的法术位每比2环高一环，法术的伤害就增加2d4。</t>
  </si>
  <si>
    <t>Cloud of Daggers</t>
  </si>
  <si>
    <t>不灭明焰</t>
  </si>
  <si>
    <t>价值50gp的红宝石粉末，作为该法术的耗材</t>
  </si>
  <si>
    <t>·你在所触碰物件上制造如火把一样亮的火焰，使其看上去与一般火焰无异，不过其并不会发热，也不需要燃烧氧气。你可以掩盖或隐藏它，但无法将之闷熄或扑灭。</t>
  </si>
  <si>
    <t>Continual Flame</t>
  </si>
  <si>
    <t>警戒之箭</t>
  </si>
  <si>
    <t>四支或更多的箭或矢</t>
  </si>
  <si>
    <t>·你将四发非魔法的弹药（箭或者弩矢）插在施法距离内的地面并在其上附加魔法让其防御这片区域。直至法术终止前，箭矢将警戒其周围30尺的区域，任何生物在一回合内第一次进入该区域或者在该区域结束其回合时，其中一发箭矢将飞起并射向该生物。该生物必须进行一次敏捷豁免，豁免失败者将受到1d6点穿刺伤害，而射向目标的一发箭矢也将随之被摧毁。当所有箭矢都以该方式摧毁后，法术将随之终止。
·施展该法术时，你可以指定任意的生物使法术的警戒效应将其排除在外。
·升环施法效应。使用3环或更高法术位施展该法术时，你的法术位每比2环高一环，可生效的弹药数量就增加两发。</t>
  </si>
  <si>
    <t>Cordon of Arrows</t>
  </si>
  <si>
    <t>疯狂冠冕</t>
  </si>
  <si>
    <t>·你指定施法距离内一名你能看见的类人生物，并迫使该生物进行一次感知豁免，豁免失败则该生物将在法术持续时间内受你魅惑。以该方式被魅惑的生物其头顶上将出现铁质锯齿的扭曲头冠，而其眼神则闪烁着疯狂。
·受魅惑目标在其每个回合里，必须在移动前对身边一个你在心中指定的生物发动一次近战攻击。如果你并没有为其指定目标，或者其触及范围内并没有目标，则该生物在本回合里可以按正常状态行动。
·施法后你在每个自己回合里必须用你的动作维持对目标的控制，否则法术将提前终止。另外，受术目标还可以在每个自己回合结束时再进行一次感知豁免，豁免成功则法术终止。</t>
  </si>
  <si>
    <t>Crown of Madness</t>
  </si>
  <si>
    <t>黑暗术</t>
  </si>
  <si>
    <t>蝙蝠毛发，以及一滴沥青或一小块煤</t>
  </si>
  <si>
    <t>·你在施法距离内指定一点，并在法术持续时间内使魔法的黑暗充斥该点半径15尺的球状区域。该黑暗会绕过拐角扩散，连拥有黑暗视觉的生物也无法看穿这这种黑暗，而非魔法的光照也无法在区域内提供照明。
·如果你将法术目标设置于你正持握或未被穿着携带的物件，则黑暗将从物件周围漫出并跟随物件移动。将该物件完全掩盖时（比如用碗或头盔盖住），也会将其漫出的黑暗隔绝。
·如果法术区域内有任何2环或更低环阶法术创造的光源，则这些造光的法术将被解除。</t>
  </si>
  <si>
    <t>Darkness</t>
  </si>
  <si>
    <t>黑暗视觉</t>
  </si>
  <si>
    <t>一点胡萝卜干或一个玛瑙</t>
  </si>
  <si>
    <t>·你触碰一个自愿的生物，并给予其在黑暗中视物的能力。在法术持续时间内，该生物将拥有60尺的黑暗视觉。</t>
  </si>
  <si>
    <t>Darkvision</t>
  </si>
  <si>
    <t>侦测思想</t>
  </si>
  <si>
    <t>一块铜片</t>
  </si>
  <si>
    <t>·你在法术持续时间内能读取特定生物的思想。你可以在施展法术时，或者在法术持续时间内以一个动作实现该效应。此时，受术生物必须身处你30尺内并且能被你看见，而你必须对其集中注意力。如果该生物智力为3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 尺内的思想。该法术可以穿透大部分障碍，但仍会被2尺厚的石质，或2寸厚的金属质，或一层薄铅质材料所阻隔。你无法侦测到智力为3或更低的生物，也无法侦测不懂任何语言的生物。
·以该方式侦测到一个生物后，你可以在法术持续时间内如上文所述的读取其思想。你甚至不需要看见该生物，但其必须在其30尺内。</t>
  </si>
  <si>
    <t>Detect Thoughts</t>
  </si>
  <si>
    <t>龙息术</t>
  </si>
  <si>
    <t>一枚辣椒</t>
  </si>
  <si>
    <t>·你触碰一个自愿生物，使它能喷吐出魔法能量，只要它拥有一张嘴。选择强酸、冷冻、火焰、闪电或毒素中的一种。直到法术结束前，生物可以使用一个动作放射出15尺锥形的对应能量。区域内的每个生物必须进行敏捷豁免检定，若失败将受到3d6对应能量类型的伤害，成功则只承受一半伤害。
·升环施法效应。当你使用3环或更高的法术位施放该法术时，使用的法术位环阶每高一环，伤害就增加1d6。</t>
  </si>
  <si>
    <t>Dragon's Breath</t>
  </si>
  <si>
    <t>尘土恶魔</t>
  </si>
  <si>
    <t>一捧尘土</t>
  </si>
  <si>
    <t>·选择施法距离之内，你能看见的一个5尺立方的，未被占据的空气。一股外观如同尘卷风的元素出现在那里，并在法术的持续时间内持续存在。
·任何在尘卷风周围5尺范围内结束其回合的生物必须进行一次力量豁免检定。若检定失败，该生物受到1d8点钝击伤害并被推离10尺。若检定成功，该生物只受到上述伤害的一半，并不会被推离。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·升环施法效应。当你使用3环或更高的法术位施放该法术时，使用的法术位每高一环，伤害便增加1d8。</t>
  </si>
  <si>
    <t>Dust Devil</t>
  </si>
  <si>
    <t>地缚</t>
  </si>
  <si>
    <t>300尺</t>
  </si>
  <si>
    <t>·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</si>
  <si>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</si>
  <si>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强化属性</t>
  </si>
  <si>
    <t>野兽的毛皮或羽毛</t>
  </si>
  <si>
    <t>·你触碰一个生物，并为其附上魔力强化。选择下列效应之一生效，而目标将在法术终止前维持该法术效应。
·熊之坚韧 Bear's Endurance：目标进行体质检定时具有优势。目标同时获得2d6的临时生命值，并维持至法术终止。
·牛之蛮力 Bull's Strength：目标进行力量检定时具有优势，且其负重翻倍。
·猫之优雅 Cat's Grace：目标进行敏捷检定时具有优势。另外，目标在非失能状态下不会因20尺以内的坠落而伤害。
·鹰之威仪 Eagle's Splendor：目标进行魅力检定时具优势。
·狐之狡黠 Fox's Cunning：目标进行智力检定时具有优势。
·枭之睿智 Owl's Wisdom：目标进行感知检定时具有优势。
·升环施法效应。使用3环或更高法术位施展该法术时，你使用的法术位每比2环高一环，就可以多指定一个目标。</t>
  </si>
  <si>
    <t>Enhance Ability</t>
  </si>
  <si>
    <t>变巨_缩小术</t>
  </si>
  <si>
    <t>一撮铁粉</t>
  </si>
  <si>
    <t>·你使施法距离内一个你能看见的生物或物件的大小发生改变，并在法术持续时间内维持其效应。指定一个生物或一件没有被着装携带的物品，如果目标并非自愿，则其可以进行一次体质豁免，豁免成功则法术无效。
·如果目标是生物，则其着装物和携带物的尺寸也随之变化。随后任何从该生物身上脱离的物品都会恢复其正常大小。
·变巨 Enlarge：目标身形尺寸变为两倍，重量变为八倍。其体型也因此提高一级，比如中型变为大型。如果目标所处空间不够容纳其变巨后的身形，则该生物或物品在有限空间下会尽可能地达到最大尺寸。在法术终止前，目标进行力量检定和力量豁免时具有优势。目标的武器也会随之变大，而使用这变大的武器发动攻击时，将造成额外1d4的伤害。
·缩小 Reduce：目标身形尺寸变为一半，重量变为八分之一。其体型也因此降低一级，比如中型变为小型。在法术终止前，目标进行力量检定和力量豁免时具有劣势。目标的武器也会随之变小，而使用这变小的武器攻击时，将减少1d4的伤害（不会使伤害值低于1）。</t>
  </si>
  <si>
    <t>Enlarge/Reduce</t>
  </si>
  <si>
    <t>注目术</t>
  </si>
  <si>
    <t>·你编排了一段使人分心的话语，并指定施法距离内一个你能看见且可以听到你声音的生物作为法术目标。目标生物必须进行一次感知豁免并成功通过。任何不能被魅惑的生物进行该豁免时直接判定为豁免成功。如果你或你的同伴正在和该生物战斗，则其进行该豁免时具有优势。豁免失败时，目标对除你以外其他生物进行的感知（察觉）检定具有劣势，直到法术终止或目标听不到你为止。如果你陷入失能状态或不能再说话，则该法术终止。</t>
  </si>
  <si>
    <t>Enthrall</t>
  </si>
  <si>
    <t>召唤坐骑</t>
  </si>
  <si>
    <t>·你召唤一只拥有超凡智力、力量和忠诚的灵体作为坐骑，同时与其立长期的契约。坐骑显现在施法距离内未被占据的空间，其外形由你从以下形态中选择：战马、矮种马、骆驼、麋鹿、獒犬（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</si>
  <si>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Find Steed</t>
  </si>
  <si>
    <t>寻找陷阱</t>
  </si>
  <si>
    <t>·你在施法距离内进行感测，并发现视野内的任何陷阱。该法术的目标“陷阱”包括任何可能引发的，对你有害或对你构成妨碍的突发性意外效应，而其性质也正是其创作者的意图。因此，该法术可以感测警报术 Alarm和守卫刻文 Glyph of Warding的效应区域，也可以发现某个陷坑型机械陷阱。但其不能揭示地板的某处脆弱点，或天花板的某处不稳定，又或是某个隐藏的阴沟。
·该法术只是单纯揭示陷阱的存在。你并不能以此定位每个存在的陷阱，但你可以知晓感测到的陷阱所构成的危害的大致形式。</t>
  </si>
  <si>
    <t>Find Traps</t>
  </si>
  <si>
    <t>火焰刀</t>
  </si>
  <si>
    <t>漆树的叶子</t>
  </si>
  <si>
    <t>·你在一只空闲的手上召唤出一把炽热的刀刃。该到刀刃的尺寸和形状近似于一把弯刀并在法术持续时间内维持存在。当你放下刀刃时其将消失不见，但你可以用一个附赠动作重新将其唤出。
·你可以用你的动作以该热刃发动一次近战法术攻击。若命中，则目标受到3d6点火焰伤害。
·烈焰刀向周围提供半径10尺的明亮光照，以及该范围外10尺的微光光照。
·升环施法效应。使用3环或更高法术位施展该法术时，你使用的法术位每比2环高两环，其伤害就增加1d6。</t>
  </si>
  <si>
    <t>Flame Blade</t>
  </si>
  <si>
    <t>炽焰法球</t>
  </si>
  <si>
    <t>一小块兽脂、一小撮硫磺石和少量铁粉</t>
  </si>
  <si>
    <t>·一个直径5尺的球状火焰显现在施法距离内你指定的一处未被占据空间，并在法术持续时间内维持存在。任何生物在火球周围5尺内结束其回合时必须进行一次敏捷豁免。豁免失败者将受到2d6点火焰伤害，豁免成功则伤害减半。
·你可以用一个附赠动作将火球移动30尺。如果你将火球推向某生物，则该生物必须进行抵抗火球伤害的豁免，而火球在该回合内停止移动。
·移动火球时，你可以指引它越过不高于5尺的障碍，或者越过不宽过10尺的陷坑。火球将点燃任何未被着装或携带的可燃物件，并向其周围散发出半径20尺的明亮光照，以及该范围外20尺的微光光照。
·升环施法效应。使用3环或更高法术位施展该法术时，你使用的法术位每比2环高一环，其伤害就增加1d6。</t>
  </si>
  <si>
    <t>Flaming Sphere</t>
  </si>
  <si>
    <t>命运宠儿</t>
  </si>
  <si>
    <t>一颗至少价值100GP的白色珍珠，在施法时被消耗</t>
  </si>
  <si>
    <t>·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·若原D20骰有优势或劣势，那么通过该法术掷出的D20在原D20的优势或劣势生效后生效。
·升环施法效应。使用3环或更高法术位施展该法术时，每比2环高一环的法术位可以令你指定一个额外的生物。</t>
  </si>
  <si>
    <t>Fortune’s Favor</t>
  </si>
  <si>
    <t>遗体防腐</t>
  </si>
  <si>
    <t>一撮盐，以及尸体每只眼睛上必须放置的铜币，铜币必须在法术持续时间内一直保留在眼睛上</t>
  </si>
  <si>
    <t>·你触碰一具尸体或其他遗骸。目标将在法术持续时间内受保护并免于腐烂且无法转变为不死生物。
·该法术同样可以有效的延长复活目标的时间限制，因为受该法术影响下度过的时间不计入法术如死者复活 Raise Dead的时间限制内。</t>
  </si>
  <si>
    <t>Gentle Repose</t>
  </si>
  <si>
    <t>造风术</t>
  </si>
  <si>
    <t>自身(60尺线状)</t>
  </si>
  <si>
    <t>一粒豆科植物的种子</t>
  </si>
  <si>
    <t>·在法术持续时间内，一道长60尺，宽10尺的线状强风从你吹向你指定的方向。每个在线状区域内开始其回合的生物必须进行一次力量豁免，豁免失败则沿着风向被推开15尺。
·任何生物在线状区域内向你移动时，其每移动1尺必须花费2尺的移动力。
·强风吹散区域内的毒气或雾气，并吹熄蜡烛、火把及不受保护的其他类似火焰。而有保护的火焰（比如提灯）则会剧烈摇晃并有50%的机率被吹熄。
·在法术终止前，你可以在自己回合内以一个附赠动作改变线状风道的方向。</t>
  </si>
  <si>
    <t>Gust of Wind</t>
  </si>
  <si>
    <t>治愈之魂</t>
  </si>
  <si>
    <t>·你召唤出自然精魂抚慰伤员。这个无形的精魂出现在施法距离内你可以看见的一处5尺立方空间。精魂看起来像是透明的野兽或是妖精（由你选择）。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·在你的回合中以一个附赠动作，你可以移动精魂30尺至你可以看见的另一个空间。
·升环施法效应。当你使用3环或更高的法术位施放该法术时，使用的法术位每高一环，治疗值就增加1d6点。</t>
  </si>
  <si>
    <t>Healing Spirit</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</si>
  <si>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</si>
  <si>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</si>
  <si>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施法在随后的每个回合中，你都可以使用一个附赠动作再次造成该伤害。
·如果握持或着装该物件的生物因此受到伤害，则该生物必须进行一次体质豁免。豁免失败者在无其他条件影响时将丢下该物件。如果该物件没有被丢下，则直至你的下一回合开始为止，该生物进行攻击检定和属性检定时具有劣势。
·升环施法效应。使用3环或更高法术位施展该法术时，你使用的法术位每比2环高一环，伤害就增加1d8。</t>
  </si>
  <si>
    <t>Heat Metal</t>
  </si>
  <si>
    <t>一片直的小铁片</t>
  </si>
  <si>
    <t>·指定施法距离内一个你能看见的类人生物。该目标必须进行一次感知豁免，豁免失败则其在法术持续时间内陷入麻痹。目标在其每回合结束时可以再进行一次感知豁免，豁免成功则终止其身上该法术的效应。
·升环施法效应。使用3环或更高法术位施展该法术时，你使用的法术位每比2环高一环，你就可以额外指定一个类人生物。指定目标时，每个目标生物必须身处其他目标30尺范围内。</t>
  </si>
  <si>
    <t>Hold Person</t>
  </si>
  <si>
    <t>不动物件</t>
  </si>
  <si>
    <t>至少价值25gp的金尘，在施法时消耗</t>
  </si>
  <si>
    <t>·你触摸一个至多不超过10磅的物件，使其魔法般地固定住。你与你施法时指定的生物能够如常移动它。你也可以设置一串密码，当密码在该物件5尺内被念出时，使该法术暂时被压制1分钟。
·若该物件被固定在空中，那么它可以至多承载4000磅的重量。更重的负载会使其坠落。另外，一个生物能以其动作进行一个对抗你的法术豁免DC的力量检定。若其成功，则该物件能被他移动10尺。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</si>
  <si>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</si>
  <si>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一根包裹在阿拉伯胶中的睫毛</t>
  </si>
  <si>
    <t>·你触碰的一个生物变为隐形并维持至法术终止。目标的穿着物和携带物只要保持在其身上也随之保持隐形状态。如果目标发动攻击或施展法术，则该法术终止。
·升环施法效应。使用3环或更高的法术位施展该法术时，你使用的法术位每比2环高一环就可以额外指定一个目标。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</si>
  <si>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</si>
  <si>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</si>
  <si>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 Arcane Locks锁住，则该秘法锁被压制10分钟，这段时间内目标可被正常开启和关闭。
·施展该法术时，受术目标会发出一声响亮的敲击声，其声响最远300尺内都能听见。</t>
  </si>
  <si>
    <t>Knock</t>
  </si>
  <si>
    <t>次级复原术</t>
  </si>
  <si>
    <t>·你触碰一个生物，并终止正影响它的一项疾病或一种状态。该状态可以是目盲，耳聋，麻痹或中毒其一。</t>
  </si>
  <si>
    <t>Lesser Restoration</t>
  </si>
  <si>
    <t>浮空术</t>
  </si>
  <si>
    <t>一个小皮圈，或者一段弯成长柄杯状的金线</t>
  </si>
  <si>
    <t>·指定施法距离内你能看见的一个生物或物件，使其垂直上升至多20尺，并在该处维持悬浮直至持续时间结束。该法术可悬浮一个重量至多500磅的目标。一个非自愿的生物可以对法术进行一次体质豁免以避免受其影响。
·目标只能通过推或拉一个固定的物件或平面（例如一面墙或者天花板）来进行移动，这种移动方式视为等同于攀爬。你可以在自己回合里将目标的悬浮高度向上或向下改变至多20尺：如果你自身就是该法术的目标，则你可以进行上升和下降并将其作为你移动的一部分；如果你不是该法术的目标，则你可以使用动作来移动目标，但目标必须始终处于你的施法距离内。
·法术终止时，仍处于空中的目标会缓缓飘落到地面。</t>
  </si>
  <si>
    <t>Levitate</t>
  </si>
  <si>
    <t>动植物定位术</t>
  </si>
  <si>
    <t>一块寻血猎犬的皮毛</t>
  </si>
  <si>
    <t>·你点名或描述一种野兽或植物，并专注于附近的自然之音。如果5里内存在该类生物，你将知晓其中最接近个体与你的相对方位和距离。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</si>
  <si>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</si>
  <si>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</si>
  <si>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</si>
  <si>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·该法术可定位一个你认识的特定物件，不过你需要在30尺内近距离看到过该物件至少一次；或者它也可定位特定的一类物件（如某种服装、珠宝、家具、工具或武器）中距你最近个体。
·如果有任意厚度的铅，即使只是薄薄一片铅片阻挡了你与被定位物件间的通路，则该物件也无法被该法术所定位。</t>
  </si>
  <si>
    <t>Locate Object</t>
  </si>
  <si>
    <t>魔嘴术</t>
  </si>
  <si>
    <t>一小块蜂窝和至少价值10gp的翡翠粉作为法术的耗材</t>
  </si>
  <si>
    <t>·你将一段信息植入施法距离内的一个物件中，其信息会在满足预设条件时说出。指定一个你能看见且未被另一生物穿着或携带的物件。然后，你可以使用至多10分钟来传达这段不超过25个单词的信息。最后再来设定触发法术传达信息的事件。
·预设的事件发生时，目标物件上的魔法将形成一张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
·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</si>
  <si>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</si>
  <si>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</si>
  <si>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·你触碰一件非魔法武器，并使其在法术持续时间内成为魔法武器。该武器进行攻击检定和伤害掷骰时具有+1加值。
·升环施法效应。使用4环或更高法术位施展该法术时，加值增加至+2。使用6环或更高法术位施展该法术时，加值增加至+3。</t>
  </si>
  <si>
    <t>Magic Weapon</t>
  </si>
  <si>
    <t>麦克斯米利安的地之攫</t>
  </si>
  <si>
    <t>一个由陶土雕塑成的手的模型</t>
  </si>
  <si>
    <t>·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·以一个动作，你可以令手掌挤压被束缚的生物，其必须进行一次力量豁免检定。若检定失败，其受到2d6点钝击伤害。检定成功则只受到上述伤害的一半。
·要逃离束缚，被束缚的生物可以进行一次力量检定来对抗你的法术豁免DC。若成功，该生物得以逃脱，不再被手掌束缚。
·以一个动作，你可以令手掌伸向一个其他生物，或移动到距离之内一处未被占据的其他空间。这种指令会让手掌放开被它束缚的生物。</t>
  </si>
  <si>
    <t>Maximilian's Earthen Grasp</t>
  </si>
  <si>
    <t>马友夫强酸箭</t>
  </si>
  <si>
    <t>磨碎的大黄叶和一只蝰蛇的胃囊</t>
  </si>
  <si>
    <t>·一支闪烁的绿色箭矢疾速的飞向一个施法距离内的目标，并爆散成强酸水雾。法术对目标发动一次远程法术攻击。若命中，则目标立即受到4d4点强酸伤害，并在其下一回合结束时再受到2d4点强酸伤害。若未命中，则酸液箭矢溅射到了目标，造成初始伤害一半的伤害，并且不会在下一回合结束时造成伤害。
·升环施法效应。使用3环或更高法术位施展该法术时，你使用的法术位每比2环高一环，其初始伤害和后续伤害就各增加1d4。</t>
  </si>
  <si>
    <t>Melf's Acid Arrow</t>
  </si>
  <si>
    <t>心灵尖刺</t>
  </si>
  <si>
    <t>·你接触施法距离内一个你可见生物的内心。目标必须进行感知豁免检定，若失败会受到3d8心灵伤害，成功则只承受一半。在目标豁免失败时，你在法术结束之前能时刻得知目标所在的位置，只要你们还处于同一位面上。当你拥有这个信息时，目标将不能对你躲藏，并且如果它隐形了，在对抗你时它不能从这个状态中受益。
·升环施法效应。当你使用3环或更高的法术位施放该法术时，使用的法术位每高一环，伤害就增加1d8。</t>
  </si>
  <si>
    <t>Mind Spike</t>
  </si>
  <si>
    <t>镜影术</t>
  </si>
  <si>
    <t>·三个你自身的幻象分身出现在你的位置上。直至法术终止前，分身都会随你移动，并模仿你的动作和位置变换，使人无法追踪判断哪一个是你的真身。分身存在时，你可以用动作来解散这些幻象分身。
·在法术持续时间内，每当一个生物以你为攻击目标时，掷一次d20决定该次攻击击中的是否其中一个分身。
·如果你有三个分身，则你必须掷出6 或更高数值才能使目标的攻击命中分身。如果你有两个分身，则你必须掷出8或更高数值。如果你有一个分身，则你必须掷出11 或更高数值。
·分身的AC等于10＋你的敏捷调整值。单次攻击命中分身时，相应分身立即被摧毁。分身只会被一次命中它的攻击摧毁，而无视所有其他的伤害和效应。三个分身全部被毁后该法术终止。
·如果一个生物无法视物，或者它可以依靠视觉之外的其它感官（例如盲视），又或者它可以如同真实视觉一样洞察幻象，则该法术无法影响该生物。</t>
  </si>
  <si>
    <t>Mirror Image</t>
  </si>
  <si>
    <t>·你短暂地被银白的雾气所笼罩，传送到至多30尺内一个你能看见且未被占据的位置。</t>
  </si>
  <si>
    <t>Misty Step</t>
  </si>
  <si>
    <t>月华之光</t>
  </si>
  <si>
    <t>几粒月籽藤种子和一块乳白色的长石</t>
  </si>
  <si>
    <t>·指定施法距离内一点，以该点为中心半径5尺、高40尺的柱状区域内沐浴在一束淡淡的银光中。直至法术终止前，柱状区域内充满微光光照。
·生物在一个回合内第一次进入该区域，或在该区域内开始其回合时，将被幽灵般的火焰吞噬并引起剧烈的灼痛。该生物必须进行一次体质豁免，豁免失败则受到2d10点光耀伤害，豁免成功则伤害减半。
·变形生物进行该豁免时具有劣势，而如果它豁免失败，则将立即回复其原始形态，而它离开该法术的光照前都无法变形成其他形态。
·你在施展该法术后的每个自己回合内可以用一个动作将华光向任意方向移动至多60尺。
·升环施法效应。使用3环或更高法术位施展该法术时，你使用的法术位每比2环高一环，其伤害就增加1d10。</t>
  </si>
  <si>
    <t>Moonbeam</t>
  </si>
  <si>
    <t>涅斯图魔法灵光</t>
  </si>
  <si>
    <t>一小块方形丝绸</t>
  </si>
  <si>
    <t>·你在触及的一个生物或一个物件身上设置一个幻术，使得预言法术会揭示出关于该目标的错误信息。目标可以是一个自愿的生物，或者是一个未被其他生物着装或携带的物件。
·施展此法术时，你选择下列效应中的一个或两个。效应在持续时间内一直存在。如果你每天都对同一个生物或物件施展此法术且每次都选择相同的效应，持续30天，幻术就会一直存在直到被解除。
·虚假灵光 False Aura：针对目标的灵光侦测法术和魔法效应（例如法术侦测魔法）将显示不同的信息。你可以使一个非魔法物件显示出魔法，一个魔法物件显示出非魔法；或者改变物件的魔法灵光，使其显示出由你选择的特定魔法学派的灵光。当你对物件设置该效应时，你可以使这种虚假的魔法向任何使用此物品的生物显示出来。
·伪装 Mask：针对目标生物类别的侦测法术和魔法效应（例如圣武士的“神圣感知”，或法术徽记术的触发条件）将显示不同的信息。你选择一种生物类别，其他法术和魔法效应将会认为目标生物属于该类别或者属于该类别所属阵营。</t>
  </si>
  <si>
    <t>Nystul's Magic Aura</t>
  </si>
  <si>
    <t>行动无踪</t>
  </si>
  <si>
    <t>一片槲寄生叶子烧成的灰和一小枝云杉</t>
  </si>
  <si>
    <t>·阴影和沉默的幕障从你身上辐射而出，并隔绝任何对你和你的同伴进行的探测。你指定自身30尺内的若干生物（包括你自己）。在法术持续时间内，目标生物进行敏捷（隐匿）检定时具有+10加值，且不能被魔法手段以外的方式追踪。拥有该加值的生物走过某处时不会留下足印或其他踪迹。</t>
  </si>
  <si>
    <t>Pass without Trace</t>
  </si>
  <si>
    <t>魅影之力</t>
  </si>
  <si>
    <t>一点羊毛</t>
  </si>
  <si>
    <t>·你指定施法距离内一个你能够看见的生物，并创造一个根植于其意识的幻像。该目标必须进行一次智力豁免。豁免失败时，你创造出一个不大于10尺立方且只能被目标感知到的幻影物件，生物或其他你指定的可见现象。该创造将持续存在直至法术终止。且该法术对不死生物和构装生物无效。
·该幻像包括声音、温度和其他反应因素，同样只对目标显现。
·目标可以用其动作进行一次对抗该法术豁免DC 的智力（调查）检定来检查这个幻像。检定成功则目标意识到该幻像是一个幻术，法术随即终止。
·目标受法术影响时会认定幻像是真实的，并且会合理化任何与幻像产生的不合逻辑的互动结果。例如，某个受术生物试图走过一座跨越峡谷的幻影桥时踏出第一步就从桥上坠落。如果目标在坠落中幸存，它会仍然相信该桥是真实存在的，并且会提出自己坠落的一些其他解释——比如被推了一把，自己滑倒了，或者可能有一阵强风把他吹了下来。
·受法术影响的目标对幻像的真实性深信不疑，甚至还会受到幻象的直接伤害。一个生物模样的幻像可以攻击目标。比如，显现为火焰，酸池或岩浆的幻象能够烧伤目标。在你的每一回合，如果目标在幻象的伤害区域内或在其显现的生物周边5尺攻击范围内，则幻象可以对目标造成1d6 点心灵伤害。而此时目标则会感觉该伤害与幻像所显现的类型相符。</t>
  </si>
  <si>
    <t>Phantasmal Force</t>
  </si>
  <si>
    <t>治疗祷言</t>
  </si>
  <si>
    <t>·你指定施法距离内至多六个你能看见的生物，并使其每人恢复2d8＋你施法关键属性调整值的生命值。该法术对不死生物和构装体不产生任何效应。
·升环施法效应。当你使用3环或更高法术位施展该法术时，你使用的法术位每比2环高一环，治疗量就增加1d8。</t>
  </si>
  <si>
    <t>Prayer of Healing</t>
  </si>
  <si>
    <t>防护毒素</t>
  </si>
  <si>
    <t>·你触碰一个生物。如果处于中毒状态，则中和其所受毒素。如果目标身上具有超过一种毒素，则选择你所了解一种或随机选择其一进行中和。
·在法术持续时间内，目标对抗中毒所豁免具有优势，并且对毒素伤害具有抗性。</t>
  </si>
  <si>
    <t>Protection from Poison</t>
  </si>
  <si>
    <t>烟火</t>
  </si>
  <si>
    <t>·选择距离之内，你能看见的一处占满5立方尺区域的非魔法火焰。你可以熄灭区域内的火焰，或者你可以制造出焰火或浓烟。
·焰火Fireworks：目标伴随着炫目的彩色光芒爆炸。在目标周围10尺范围内的生物必须通过一次体质豁免检定，否则在直到你的下个回合结束前的时间里处于目盲状态。
·浓烟Smoke：目标散发出浓重的黑烟，蔓延在20尺半径的区域内，可绕过角落。烟雾所在的区域处于重度遮蔽状态。浓烟将持续1分钟或直到被强风吹散。</t>
  </si>
  <si>
    <t>Pyrotechnics</t>
  </si>
  <si>
    <t>衰弱射线</t>
  </si>
  <si>
    <t>·你从指尖射出一道让人衰弱的黑色能量射线并射向施法距离内的一个生物。你对目标进行一次远程法术攻击。若命中，则目标在法术终止前，其使用基于力量的武器进行攻击时只造成一半伤害。
·目标在其每回合结束时可以进行一次对抗该法术的体质豁免。豁免成功则法术终止。</t>
  </si>
  <si>
    <t>Ray of Enfeeblement</t>
  </si>
  <si>
    <t>魔绳术</t>
  </si>
  <si>
    <t>玉米粉和一卷羊皮纸绞成的纸</t>
  </si>
  <si>
    <t>·你触碰一段长度不超过60尺的绳子。绳的一端会向上升起，直到整条绳索都垂直于地面挂在空中。绳子的上端存在一个隐形的入口，其通往一个法术持续时间内一直存在的异次元空间。
·该异次元空间可以从绳子的顶端进入，其内至多可容纳八个中型或更小的生物。魔绳可以被拉回到此空间里，此时从异次元空间外面就再看不到这条绳索。
·攻击和法术都无法从异次元空间的入口进出，但空间内的生物可以通过入口看到外面的景象，就如同在绳索的位置有一个3尺×5尺大小的窗口一样。
·法术终止时，异次元空间内的一切东西都会掉出来。</t>
  </si>
  <si>
    <t>Rope Trick</t>
  </si>
  <si>
    <t>灼热射线</t>
  </si>
  <si>
    <t>·你创造出三道火焰的射线，随即将其射向施法距离内的目标。你可以把全部射线对准同一个目标，也可以瞄准不同目标。每道射线需要你分别进行一次远程法术攻击。若命中，则目标受到2d6点火焰伤害。
·升环施法效应。使用3环或更高法术位施展该法术时，使用的法术位每比2环高一环，你就能多创造出一道射线。</t>
  </si>
  <si>
    <t>Scorching Ray</t>
  </si>
  <si>
    <t>识破隐形</t>
  </si>
  <si>
    <t>一撮滑石粉和少量银粉</t>
  </si>
  <si>
    <t>·你能在法术持续时间内看见任何隐形的生物和物件，如同其处于正常可见状态一样。你还能够看见以太位面，而以太位面的生物和物件在你眼中会以幽灵般的半透明状出现。</t>
  </si>
  <si>
    <t>See Invisibility</t>
  </si>
  <si>
    <t>幽影刃</t>
  </si>
  <si>
    <t>·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·如果你放下或投掷该武器，它将在该回合结束时消散。其后，如法术持续，你能以一个附赠动作使该剑重现于你手中。
·升环施法效应。当你用3-4环施放该法术时，其伤害增加到3d8。5-6环时增加到4d8。7环或以上则增加到5d8。</t>
  </si>
  <si>
    <t>Shadow Blade</t>
  </si>
  <si>
    <t>粉碎音波</t>
  </si>
  <si>
    <t>一片云母</t>
  </si>
  <si>
    <t>·你指定施法距离内一点，并在其上忽然爆发一阵震耳欲聋的噪音。以该点为中心半径10尺球状区域内的所有生物必须要进行一次体质豁免。豁免失败者将受到3d8点雷鸣伤害；豁免成功则伤害减半。以无机物质（如石头，水晶或金属）构成的生物进行该豁免时具有劣势。
·如果法术的范围内有一个不被任何生物着装携带的非魔法物件，则它也要受到该伤害。
·升环施法效应。使用3环或更高法术位施展该法术时，使用的法术位每比2环高一环，法术伤害就增加1d8。</t>
  </si>
  <si>
    <t>Shatter</t>
  </si>
  <si>
    <t>沉默术</t>
  </si>
  <si>
    <t>·你指定施法距离内一点，以该点为中心半径20尺的球状区域在法术持续时间内将无法产生任何声音，且外界的声音也无法进入该区域内。任何完全位于该区域内的生物和物件都将免疫雷鸣伤害，而任何生物在完全位于该区域内时都将陷入耳聋。此外，该区域内无法施展需要言语成分的法术。</t>
  </si>
  <si>
    <t>Silence</t>
  </si>
  <si>
    <t>写入空中</t>
  </si>
  <si>
    <t>视野内</t>
  </si>
  <si>
    <t>·你令你能看见的天空中的一个部分出现至多10个字。文字看起来是由云彩构成的，并在法术的持续时间内留在原位。文字将会在法术终结时消失。强风可以吹散云彩，令法术提前终止。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</si>
  <si>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</si>
  <si>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</si>
  <si>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</si>
  <si>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·在距离之内的，一个由你指定的点上，大量的魔法雪球喷涌而出。以该点为中心，5尺半径的球形区域内的所有生物必须进行一次敏捷豁免检定。检定失败则受到3d6点冷冻伤害，成功者只受到上述伤害的一半。
·升环施法效应。当你使用3环或更高的法术位施放该法术时，使用的法术位每高一环，伤害便增加1d6。</t>
  </si>
  <si>
    <t>Snilloc's Snowball Swarm</t>
  </si>
  <si>
    <t>蛛行术</t>
  </si>
  <si>
    <t>一滴沥青和一只蜘蛛</t>
  </si>
  <si>
    <t>·你触碰一个自愿的生物，并使其在法术终止前能够在垂直表面上下或横向移动，其甚至可以在天花板上倒挂着移动而不需要用到双手。另外，目标获得与步行速度相等的攀爬速度。</t>
  </si>
  <si>
    <t>Spider Climb</t>
  </si>
  <si>
    <t>荆棘丛生</t>
  </si>
  <si>
    <t>七根棘刺或七根嫩枝，每根都要削尖</t>
  </si>
  <si>
    <t>·以施法距离内一点为中心周围20尺的地面扭曲变形，大片坚硬的棘刺破土而出。该区域在法术持续时间内视为困难地形。而生物进入该区域或在其中移动时，其每移动5尺就要受到2d4点穿刺伤害。
·法术导致的地面变形经过刻意的掩饰，使其看起来并无异样。如果生物在你施展该法术时不能看见该区域，则它必须进行一次感知（察觉）检定，检定成功则能发现该区域隐藏的危险。</t>
  </si>
  <si>
    <t>Spike Growth</t>
  </si>
  <si>
    <t>灵体武器</t>
  </si>
  <si>
    <t>·你在施法距离内的一点创造出一把浮空的虚幻武器，并使其持续到法术持续时间结束或你再次施展该法术为止。施展该法术时，你可以对该武器周围5尺内的一个生物发动一次近战法术攻击。若命中，则目标受到1d8＋你的施法关键属性调整值点力场伤害。
·你可以在自己回合内以一个附赠动作让该武器移动至多20尺，并再对它周围5尺内的一个生物发动一次同样的攻击。
·该武器的外形由你决定。而如果施法的牧师侍奉的是一位和特定武器有关的神祇（例如圣库斯伯特的钉头锤、托尔的锤子），则该法术创造出武器的外形与该武器类似。
·升环施法效应。使用3环或更高法术位施展该法术时，你使用的法术位每比2环高两环，法术的伤害就增加1d8。</t>
  </si>
  <si>
    <t>Spiritual Weapon</t>
  </si>
  <si>
    <t>一条蛇舌，加上一小块蜂巢或一滴甜油</t>
  </si>
  <si>
    <t>专注,至多8小时</t>
  </si>
  <si>
    <t>·你以魔法影响施法距离内一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该目标必须进行一次感知豁免，豁免失败者将尽其所能地从事你所描述的行为。你所暗示的行为可能会在法术持续时间内始终一直进行。而如果你所暗示的活动可以用更短的时间完成，则此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·若你或你同伴中任何人伤害了受术者，则该法术随即终止。</t>
  </si>
  <si>
    <t>Suggestion</t>
  </si>
  <si>
    <t>野兽召唤术/召唤野兽灵魄</t>
  </si>
  <si>
    <t>至少价值200gp的一根羽毛，一捆毛皮和一条装在镀金橡果中的鱼尾</t>
  </si>
  <si>
    <t>·你召来一只野兽的灵魄。此灵魄在施法距离内你可见的一个未占据位置化为实体。这一实体使用下面的野兽灵魄Aberrant Spirit的数据。当你施展法术时，从天空Air，陆地Land或海洋Water中选择一个环境。此生物的外形属于你所选环境的一种动物，其资料表中的部分特性也受此影响。当其生命值降到0或法术结束时，生物消失。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·升环施法效应。使用3环或更高法术位施展该法术时，该生物数据中使用更高的法术环阶。
野兽灵魄 Bestial Spirit
小型野兽
AC：11+法术环阶（天生护甲)
HP：20（仅限天空）或30（仅限陆地和海洋）+5每比2环高的法术环阶
速度：30尺，攀爬30尺（仅限陆地），飞行60尺（仅限天空），游泳30尺（仅限海洋）
力量18（+4）  敏捷11（+0） 体质16（+3）
智力4（-4)   感知14（+2）  魅力5（-3）
感官：黑暗视觉60尺，被动察觉12
语言：懂你说的语言
挑战等级：—
熟练加值：与你相等
飞掠Flyby（仅限天空）。野兽以飞行离开敌人的触及范围时不会引发对方的借机攻击。
集群战术Pack Tactics（仅限陆地和海洋）。野兽至少有一个未处于失能的盟友在目标生物5尺内时，它对该生物发动的攻击检定有优势。
水下呼吸Water Breath（仅限海洋）。野兽可以在空气和水中呼吸
动作
多重攻击Multiattack。野兽发动等同于法术环阶一半的次数的攻击（向下取整）。
撕咬Maul。近战武器攻击：命中+你的法术攻击调整值，触及5尺，单一目标。伤害：1d8+4+法术环阶点穿刺伤害。</t>
  </si>
  <si>
    <t>Summon Beast</t>
  </si>
  <si>
    <t>塔莎心灵鞭</t>
  </si>
  <si>
    <t>·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·升环施法效应。使用3环或更高法术位施展该法术时，你使用的法术位每比2环高一环，法术就能多影响一个目标。而各目标之间距离不能超过30尺。</t>
  </si>
  <si>
    <t>Tasha’s Mind Whip</t>
  </si>
  <si>
    <t>守护之链</t>
  </si>
  <si>
    <t>一对单个价值至少50gp的铂金戒指，并由你和目标在法术持续时间内一直佩戴</t>
  </si>
  <si>
    <t>·你触碰一个自愿的生物，并让该法术的魔力保护它。该法术在你和目标之间建立一种神秘的连接，并一直持续至法术终止。目标位于你身边60尺内时，其AC和豁免检定具有 +1 加值，且对所有伤害具有抗性。此外，每当目标受到伤害时，你也会受到同样的伤害。
·如果你的生命值降至0，或你与目标距离超过60 尺，则该法术终止。如果该法术被再次施放于两个已被连接生物中的任意一方，则原法术即时终止。你还可以用一个动作主动解除该法术。</t>
  </si>
  <si>
    <t>Warding Bond</t>
  </si>
  <si>
    <t>守护之风</t>
  </si>
  <si>
    <t>·一阵强风（风速每小时20尺）在你周围10尺半径内回旋并能随着你移动，始终以你为中心。这股风将在法术的持续时间内持续存在。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</si>
  <si>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</si>
  <si>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蛛网术</t>
  </si>
  <si>
    <t>少量蜘蛛网</t>
  </si>
  <si>
    <t>·你在施法距离内指定一点，并召唤出一大片粘厚的网状物。蛛网覆盖以该点为源点的20尺立方区域，并在法术持续时间内维持存在。蛛网使该区成为困难地形并造成轻度遮蔽。
·如果蛛网没有被固定在两个固体中间（例如墙和树）或跨在一片地板、墙壁、天花板中间，则你召唤出的蛛网会自动坍塌，而导致法术在你的下一回合开始时终止。摊在平面上的蛛网深度为5尺。
·任何在蛛网中开始其回合或在其回合中进入蛛网的生物必须进行一次敏捷豁免。豁免失败者将被束缚在网中，直至其离开蛛网或挣脱束缚。
·被蛛网束缚的生物可以用一个动作尝试挣脱。该生物必须进行一次对抗法术豁免DC的力量检定，检定成功则不再被束缚。这些蛛网都是可燃物。每5尺立方的蛛网触及明火时将在1轮内被烧尽。而任何在燃烧区域内开始其回合的生物将因此受2d4点火焰伤害。</t>
  </si>
  <si>
    <t>Web</t>
  </si>
  <si>
    <t>魔袋术</t>
  </si>
  <si>
    <t>·你轻弹手腕, 让你手中的一件物品消失。这件只有你能持握的，重量不超过五磅物件会被传送到一个异次元空间，它会在法术持续时间内一直停留在那里。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</si>
  <si>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</si>
  <si>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诚实之域</t>
  </si>
  <si>
    <t>·你创造一个抵御谎言的魔法区域，该区域以施法距离内一点为中心，覆盖该点周边15尺半径的球状区域。在法术终止前，生物在其回合内第一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·受影响的生物可以意识到该效果的存在，因此它可以主动回避回答那些通常会以谎言答复的问题。该生物在回答问题时可以闪烁其词、避重就轻，但只要不超出实话的范围就没有问题。</t>
  </si>
  <si>
    <t>Zone of Truth</t>
  </si>
  <si>
    <t>巧舌如簧</t>
  </si>
  <si>
    <t>1反应，当你与另一个生物说话时采取</t>
  </si>
  <si>
    <t>·据说是吉姆·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</si>
  <si>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</si>
  <si>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吉姆的发光硬币</t>
  </si>
  <si>
    <t>一枚硬币。版税成分：2gp</t>
  </si>
  <si>
    <r>
      <rPr>
        <sz val="11"/>
        <color rgb="FF000000"/>
        <rFont val="仿宋"/>
        <charset val="134"/>
      </rPr>
      <t>·在魔术大师、大冒险家吉姆·达克马奇运用过的许多骗术中，“发光的旧硬币”是其中最为经典的。当你施法时，你将作为法术材料成分的硬币丢往法术距离内任意一点。这枚硬币将会像处于法术</t>
    </r>
    <r>
      <rPr>
        <i/>
        <sz val="11"/>
        <color rgb="FF000000"/>
        <rFont val="仿宋"/>
        <charset val="134"/>
      </rPr>
      <t>光亮术light</t>
    </r>
    <r>
      <rPr>
        <sz val="11"/>
        <color rgb="FF000000"/>
        <rFont val="仿宋"/>
        <charset val="134"/>
      </rPr>
      <t>影响一般闪闪发光。在硬币周围30尺内，你所能看到、并且由你选择的每一个生物必须通过一次感知豁免，否则将会在持续时间内被硬币所分心。在被分心时，生物在感知（察觉）检定和先攻检定中具有劣势。</t>
    </r>
  </si>
  <si>
    <t>Jim's Glowing Coin</t>
  </si>
  <si>
    <t>纳撒尔恶作剧</t>
  </si>
  <si>
    <t>一块苹果派的饼皮</t>
  </si>
  <si>
    <t>·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</si>
  <si>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</si>
  <si>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</si>
  <si>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莱姆束缚之霜</t>
  </si>
  <si>
    <t>自身(30尺锥状)</t>
  </si>
  <si>
    <t>一瓶冰雪融化而成的水</t>
  </si>
  <si>
    <t>·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·升环施法效应。当你用3环或更高的法术位施展该法术时，你使用的法术位每比2环高一环，法术的伤害便增加1d8。</t>
  </si>
  <si>
    <t>Rime's Binding lce</t>
  </si>
  <si>
    <t>借鉴才学</t>
  </si>
  <si>
    <t>一本价值至少25gp的书</t>
  </si>
  <si>
    <t>·你从往昔的魂灵中获取知识。选择一项你没有熟练的技能。在法术的持续时间里，你拥有所选技能的熟练项。如果你再次释放该法术，该法术会提前结束。</t>
  </si>
  <si>
    <t>Borrowed Knowledge</t>
  </si>
  <si>
    <t>动力短行</t>
  </si>
  <si>
    <t>·你用舞蹈般的步姿魔法地增强你的移动，在持续时间内你获得以下增益: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</si>
  <si>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</si>
  <si>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</si>
  <si>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t>·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·升环施法效应。当你使用3环或更高的法术位施展该法术时，法术位每比2环高1环，施法距离便增加30尺。</t>
  </si>
  <si>
    <t>Vortex Warp</t>
  </si>
  <si>
    <t>靡叶生华</t>
  </si>
  <si>
    <t>枯萎的藤蔓，弯折成环形</t>
  </si>
  <si>
    <t>·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</si>
  <si>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</si>
  <si>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操纵死尸</t>
  </si>
  <si>
    <t>一滴血，一块肉，以及一点骨灰</t>
  </si>
  <si>
    <t>·该法术创造一个不死生物仆从。在施法距离内指定一具中型或小型类人生物遗骨或遗体，并以该法术将污秽的虚假生命力量注入其中，将之唤起为一个不死生物。如果你选择的是遗骨，则目标变为骷髅 skeleton；选择的是遗体则变为僵尸 zombie。该生物的具体游戏资料由DM掌控。
·在你的任一回合内，你可以使用一个附赠动作并以精神命令操纵60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则只会对敌对生物作出自卫行为。一旦被下达命令，该生物会持续执行命令直到任务完成。
·这些受操纵生物只会在24小时内服从你的命令。如果你在当前的24小时时间段终止前再施展该法术，则你对这些生物的操纵时间再延长24小时。法术的此种用法只能延长你对至多四个你使用此法术所创造生物的控制时间，而不会创造新的生物。
·升环施法效应。使用4环或更高法术位施展该法术时，你使用的法术位每比3环高一环，就会多唤起两只不死生物，或是多延长对两只不死生物的控制。你无法用同一具骸骨或遗体唤起多个不死生物。</t>
  </si>
  <si>
    <t>Animate Dead</t>
  </si>
  <si>
    <t>活力灵光</t>
  </si>
  <si>
    <t>自身(30尺半径)</t>
  </si>
  <si>
    <t>·你身上发出的治愈能量形成半径30尺的灵光。法术持续时间内灵光将以你为中心随你移动。你可以用一个附赠动作为灵光范围内的一名生物（包括你自己）恢复2d6的生命值。</t>
  </si>
  <si>
    <t>Aura of Vitality</t>
  </si>
  <si>
    <t>希望信标</t>
  </si>
  <si>
    <t>·该法术带来活力与希望。在施法距离内指定任意数量的生物，并使其在法术持续时间内进行的感知豁免和死亡豁免具有优势。此外，其获得治疗时均以骰子最大值来决定其恢复的生命值。</t>
  </si>
  <si>
    <t>Beacon of Hope</t>
  </si>
  <si>
    <t>降咒</t>
  </si>
  <si>
    <t>·你触碰一名生物。该生物必须进行一次感知豁免并成功通过，否则将在法术持续时间内被诅咒。施展法术时，你从以下诅咒选项选择其一：
→选择一个属性值。受诅咒影响时，目标进行该属性的豁免检定和属性检定时具有劣势。
→受诅咒影响时，目标对你进行的攻击检定具有劣势。
→受诅咒影响时，目标必须在其每回合开始时进行一次感知豁免，豁免失败则浪费掉该回合的动作。
→受诅咒影响时，你的攻击和法术对目标额外造成1d8点黯蚀伤害。
·法术移除诅咒可终止此法术的效应。DM也可以让你选择其他诅咒，但它们不该比上表更强大。诅咒效应最终由DM裁定。
·升环施法效应。使用4环或更高法术位施展该法术时，法术的持续时间变为：专注，至多10分钟。使用5环或更高法术位时，变为8小时。使用7环或更高法术位时，变为24小时。使用9环法术位时，法术将持续到被解除。使用5环或更高法术位施展此法术时无需在其持续时间内维持专注。</t>
  </si>
  <si>
    <t>Bestow Curse</t>
  </si>
  <si>
    <t>致盲斩</t>
  </si>
  <si>
    <t>·你在法术终止前的下一次武器攻击命中某生物时将爆发出强光，并对目标额外造成3d8点光耀伤害。此外，目标必须进行一次体质豁免，豁免失败则陷入目盲直至法术终止。
·受法术目盲效应影响的生物在其每个回合结束时可以再进行一次体质豁免，豁免成功则其目盲状态终止。</t>
  </si>
  <si>
    <t>Blinding Smite</t>
  </si>
  <si>
    <t>闪现术</t>
  </si>
  <si>
    <t>·你在法术持续时间内每次自己回合结束时掷一次d20。如果结果大于等于11，则你从所处位面消失并出现在以太位面（如果你已经在以太位面，则法术失败且被消耗）。在你每次自己回合开始以及法术终止时，如果你身处以太位面，则你在之前消失的位置10尺内自选一处未被占据且你能看见的空间出现。如果范围内没有未被占据的空间，则你随机出现在最近的一处未被占据空间里。你可以用一个动作解除该法术。
·身处以太位面时，你可以听见和看见原位面，但只限于60尺之内，且所有事物都是黑白画面。其他生物只有当其身处以太位面时才能对你产生影响，或者被你影响。不处于以太位面的生物无法察觉你也无法和你交流，除非其具有相应的能力。</t>
  </si>
  <si>
    <t>Blink</t>
  </si>
  <si>
    <t>召雷术</t>
  </si>
  <si>
    <t>·你在头顶100尺高的上空指定一个能看见的点，并在该处生成一片高10尺、半径60尺的柱状雷云区域。如果你无法看到空中雷云可能形成的位置，则法术失败（例如，当你身处一间不够高大的房间内时）。
·施法时，指定施法距离内一处你能看见的点。再令一束闪电从云端射向该点。在该点5尺内的生物必须进行一次敏捷豁免。豁免失败者将受到3d10点闪电伤害，豁免成功则伤害减半。直至法术终止前，你都可以在自己回合内使用动作再次发射闪电，并在攻击前指定同一点或另选一点。
·若施法时你身处室外暴风雨环境，则此法术令你得以控制空中的暴雨云而非创一朵新雷云。且法术伤害增加1d10。
·升环施法效应。使用4环或更高法术位施展该法术时，你使用的法术位每比3环高一环，法术的伤害就增加1d10。</t>
  </si>
  <si>
    <t>Call Lighting</t>
  </si>
  <si>
    <t>假寐术</t>
  </si>
  <si>
    <t>一撮沙子</t>
  </si>
  <si>
    <t>·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·升环施法效应。当你使用4环或更高的法术位施放该法术时，使用的法术位每高一环，你就可以多指定一个额外的自愿生物作为目标。</t>
  </si>
  <si>
    <t>Catnap</t>
  </si>
  <si>
    <t>鹰眼术</t>
  </si>
  <si>
    <t>1里</t>
  </si>
  <si>
    <t>价值至少100gp的法器，选择聆听时用一个以珠宝装饰的号角，选择观察时用一颗玻璃眼珠</t>
  </si>
  <si>
    <t>·你在施法距离内某处创造一个隐形的传感器，该处可以是你熟悉的地点（你曾到访过或看见过的地方），也可以是你不熟悉的显眼处（比如一扇门后，拐角位置或树林里）。该传感器在法术持续时间内停留在该地且无法被攻击或与之互动。
·施展该法术时，你可以选择进行观察或是聆听。你可以通过传感器以所选的感官方式感测目标空间。你也可以用一个动作在观察和聆听之间切换。
·可以看见传感器的生物（比如生物具有增益如看破隐形 See Invisibility或真实视觉时）会看到检测点是一个拳头大小发着微光的半透球体。</t>
  </si>
  <si>
    <t>Clairvoyance</t>
  </si>
  <si>
    <t>召唤动物</t>
  </si>
  <si>
    <t>·你召唤以野兽形态存在的精魂，并使其显现在施法范围内一处你能看见但未被占据的空间。选择以下选项之一作为显现的生物：
→一只挑战等级2或者更低的野兽
→两只挑战等级1或者更低的野兽
→四只挑战等级1/2或更低的野兽
→八只挑战等级1/4或更低的野兽
·每只野兽同时视为精类生物，并且在生命值降至0时，或者法术终止时消失不见。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·升环施法效应。使用更高法术位施展该法术时，选择上文所述召唤选项之一，并显现更多生物：5环法术位显现两倍生物，7环法术位显现三倍生物，9环法术位显现四倍生物。</t>
  </si>
  <si>
    <t>Conjure Animals</t>
  </si>
  <si>
    <t>召唤箭雨</t>
  </si>
  <si>
    <t>自身(60尺锥状)</t>
  </si>
  <si>
    <t>一发弹药或一把投掷武器</t>
  </si>
  <si>
    <t>·你向空中射出一发非魔法的弹药或者掷出一把非魔法的投掷武器，并以之为原型向前方锥状区域内射出一片同样的武器，而这些创造出的武器将在攻击完成后消失不见。前方60 尺锥状区域内的每个生物都必须进行一次敏捷豁免，豁免失败者将受到3d8点伤害，豁免成功则伤害减半。法术所造成伤害的类型与用作法术成分材料的弹药或武器相同。</t>
  </si>
  <si>
    <t>Conjure Barrage</t>
  </si>
  <si>
    <t>法术反制</t>
  </si>
  <si>
    <t>1反应，当你看见身边60尺范围内一个生物施展法术时执行</t>
  </si>
  <si>
    <t>·你试图打断一个生物正在施展的一个法术。如果该生物正在施展3环或更低环阶法术，则其法术失败且不产生任何效应。如果该生物正在施展4环或更高环阶法术，则你以施法关键属性进行一次属性检定，其检定DC等于10＋目标法术的环阶。检定成功则目标法术失败且不产生任何效应。
·升环施法效应。使用4环或更高法术位施展该法术时，如果被打断法术的环阶不高于你所用的法术位环阶，则该目标法术直接被打断。</t>
  </si>
  <si>
    <t>Counterspell</t>
  </si>
  <si>
    <t>造粮术</t>
  </si>
  <si>
    <t>·你在施法距离内的地面或容器上创造45磅的食物和30加仑的水，其总量可以满足十五个类人生物或者五匹坐骑24小时的补给需求。食物非常清淡但营养丰富，并且如果24小时内不食用即会变坏。创造的水清洁可饮用且不会以该方式变质。</t>
  </si>
  <si>
    <t>Create Food and Water</t>
  </si>
  <si>
    <t>十字军披风</t>
  </si>
  <si>
    <t>·神圣的能量自你身上发出并形成30尺半径的灵光，并为友方生物激励勇气。在法术持续时间内，灵光将以你为中心随你移动。灵光范围内的非敌对生物（包括你自己）的武器攻击命中时将额外造成1d4点光耀伤害。</t>
  </si>
  <si>
    <t>Crusader's Mantle</t>
  </si>
  <si>
    <t>昼明术</t>
  </si>
  <si>
    <t>·你在施法距离内指定一点，并从中释放光亮蔓延至半径60尺的球状区域。法术产生的光亮为区域内提供明亮光照并向其外提供60尺的微光光照。
·如果你将作为法术目标的点设置于你正持握或未被穿着携带的物件，则光亮将从物件周围漫出并跟随物件移动。将该物件完全掩盖时（比如用碗或头盔盖住），也会将其漫出的光亮隔绝。
·如果法术区域内有任何3环或更低环阶法术创造的黑暗，则
这些造暗的法术将被解除。</t>
  </si>
  <si>
    <t>Daylight</t>
  </si>
  <si>
    <t>解除魔法</t>
  </si>
  <si>
    <t>·在施法距离内指定一个生物、一个物件或一处魔法效应，并终止所有影响该目标的3环或更低环阶法术。每个影响目标的4环或更高环阶法术都需要以你的施法关键属性进行一次属性检定，其DC等于10＋目标法术的环阶，检定成功时目标法术终止。
·升环施法效应。使用4环或更高法术位施展该法术时，你直接终止目标身上小于等于该施法环阶的法术效应。</t>
  </si>
  <si>
    <t>Dispel Magic</t>
  </si>
  <si>
    <t>元素武器</t>
  </si>
  <si>
    <t>·你触碰的一把非魔法武器并使其变成魔法武器。选择以下伤害类型其中之一：强酸、冷冻、火焰、闪电、雷鸣。在法术持续时间内，该武器进行攻击检定时将获得+1加值，且在命中时额外造成1d4点所选类型的伤害。
·升环施法效应。使用5环或6环法术位施展该法术时，攻击检定的加值变为+2，额外伤害变为2d4。使用7环或更高法术位施展该法术时，攻击检定的加值变为+3，额外伤害变为3d4。</t>
  </si>
  <si>
    <t>Elemental Weapon</t>
  </si>
  <si>
    <t>敌群环绕</t>
  </si>
  <si>
    <t>·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</si>
  <si>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</si>
  <si>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</si>
  <si>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</si>
  <si>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·升环施法效应。当你使用4环或更高的法术位施放该法术时，使用的法术位每高一环，伤害便增加1d12。</t>
  </si>
  <si>
    <t>Erupting Earth</t>
  </si>
  <si>
    <t>恐惧术</t>
  </si>
  <si>
    <t>一片白羽毛或一颗母鸡心</t>
  </si>
  <si>
    <t>·你制造一个目标最惧怕的幻象，并迫使30尺锥状区域内的所有生物进行一次感知豁免，豁免失败者将丢弃其所有持握物，并在法术持续时间内陷入恐慌。
·被法术恐慌的生物必须在其回合内执行疾走 Dash 动作，并以此寻找最安全的路线远离施法者，直至其无路可走为止。如果该生物在施法者视野外结束其回合，则其可以再进行一次感知豁免，豁免成功则法术对该生物的效应终止。</t>
  </si>
  <si>
    <t>Fear</t>
  </si>
  <si>
    <t>假死术</t>
  </si>
  <si>
    <t>一把坟土</t>
  </si>
  <si>
    <t>·你触碰一自愿生物并将其变得如死去一样的僵直状态。
你可以用一个动作再次触碰该目标以终止该法术。在法术持续时间内，对目标进行的任何肉体检查和法术检测都显示目标已处于死亡状态。该状态下的目标陷入目盲以及失能状态，且其移动速度降低为0。目标对除了心灵伤害外的所有伤害类型具有抗性。如果目标在受术时正陷入疾病或中毒状态，或者在法术生效时陷入疾病或中毒状态，则这些状态在该法术持续时间内受抑制而无效，直至法术终止时再回复生效。</t>
  </si>
  <si>
    <t>Feign Death</t>
  </si>
  <si>
    <t>火球术</t>
  </si>
  <si>
    <t>150尺</t>
  </si>
  <si>
    <t>一小球蝙蝠粪及硫磺</t>
  </si>
  <si>
    <t>·明亮的闪光从你的指间飞驰向施法距离内你指定的一点，并随着一声低吼迸成一片烈焰。目标点周围半径20尺球状区域内的每个生物必须进行一次敏捷豁免。豁免失败者将受到8d6点火焰伤害，豁免成功则伤害减半。
·迸发的火焰将绕过拐角扩散。并点燃区域内所有未被着装或携带的可燃物件。
·升环施法效应。使用4环或更高法术位施展该法术时，你使用的法术位每比3环高一环，其伤害就增加1d6。</t>
  </si>
  <si>
    <t>Fireball</t>
  </si>
  <si>
    <t>火箭</t>
  </si>
  <si>
    <t>·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·升环施法效应。当你使用4环或更高的法术位施放该法术时，使用的法术位每高一环，你能以此法术影响的弹药的数量便增加2发。</t>
  </si>
  <si>
    <t>Flame Arrows</t>
  </si>
  <si>
    <t>飞行术</t>
  </si>
  <si>
    <t>任何鸟类翅膀上的羽毛</t>
  </si>
  <si>
    <t>·你触碰一个自愿生物，并使该目标在法术持续时间内获得60尺的飞行速度。法术终止时，如果目标仍在空中则随即坠落。
·升环施法效应。使用4环或更高法术位施展该法术时，你使用的法术位每比3环高一环，就可以额外再指定一个生物作为法术目标。</t>
  </si>
  <si>
    <t>Fly</t>
  </si>
  <si>
    <t>气化形体</t>
  </si>
  <si>
    <t>一小片薄纱和一缕清烟</t>
  </si>
  <si>
    <t>·在法术持续时间内，你将触碰到的一个自愿生物连同其穿着携带物一起转化为一团云雾。如果生物的生命值降至0则法术终止。非实体的生物不受该效应影响。
·在该形态下，目标唯一的移动方式即是10尺的飞行速度。该目标可以进入并占据一个已有生物占据的空间。其拥有非魔法伤害的抗性，且进行力量、敏捷和体质豁免时具有优势。该目标可以穿过小洞、狭隙、甚至裂缝，但他会将液态物质视为固体表面。目标即使处于震慑或者失能状态时，也不会坠落并且保持在空中悬浮。
·云雾形态的目标不能讲话或操作物件，其随身携带或持握的物件不会掉落，也不能被使用或与之互动。另外，目标也不能攻击或施法。</t>
  </si>
  <si>
    <t>Gaseous Form</t>
  </si>
  <si>
    <t>守卫刻文</t>
  </si>
  <si>
    <t>熏香和至少200gp的钻石粉，作为法术的耗材</t>
  </si>
  <si>
    <t>直至被解除或被触发</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</si>
  <si>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开超过10尺，则其符纹被破坏且法术不被触发即刻终止。
·结界符纹近乎隐形，其需要以法术的豁免DC 进行一次智力（调查）检定才能被发现。
·你在施法时设定结界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符纹一旦被触发，则该法术终止。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·刻画符纹时，你可以从爆炸符文和法术符纹两者中选择其一。
·爆炸符文 Explosive Runes：符文被触发时将在半径20尺球状区域内将爆发魔法能量，并绕过角落扩散。区域内的每个生物必须进行一次敏捷豁免。豁免失败者将受到5d8的强酸，冷冻，火焰，闪电，或雷鸣伤害（你在制造符纹时指定），豁免成功则伤害减半。
·法术符纹 Sprll Glyph：你可以施展一个准备好的3环或更低环阶法术，并将其储备在所创造的符纹中。所储备法术必须以一个生物或一个区域为目标，而其以该方式施展时并不会立即生效。符文被触发时将随即施展所储备的法术。如果法术指向一个目标，则以触发符纹的生物为目标；如果法术影响一个区域，则该区域以此生物为中心；如果法术召唤敌对生物或创造伤害性质的物件或陷井，则这些造物将显现在可能靠近触发者的地方并攻击它。如果法术需要专注，则其效应将在其最大持续时间内维持。
·升环施法效应。使用4环或更高法术位施展该法术时，你使用的法术位每比3环高一环，一个爆炸符文的伤害就增加1d8。如果你创造一个法术符纹，则其储备法术的环阶可以与你施放守卫刻文时使用的法术位相同。</t>
  </si>
  <si>
    <t>Glyph of Warding</t>
  </si>
  <si>
    <t>加速术</t>
  </si>
  <si>
    <t>一片甘草根切片</t>
  </si>
  <si>
    <t>·指定施法距离内一个你能看见的自愿生物。直至法术终止前，你使目标速度翻倍；其AC获得 +2 加值；其进行敏捷豁免时具有优势；其每个回合都可作出一个额外的动作，但该动作只能发动攻击（只限一次武器攻击），或者疾行、撤离、躲藏和使用物件。
·法术终止时，目标将泛起一阵倦意使其不能移动也无法执行动作，并持续至其下一回合结束。</t>
  </si>
  <si>
    <t>Haste</t>
  </si>
  <si>
    <t>哈达之欲</t>
  </si>
  <si>
    <t>一条酸洗过的章鱼触须</t>
  </si>
  <si>
    <t>·你打开一个通道，并连接到群星间黑暗处某个遍布未知恐怖之物的领域。以施法距离内一点为中心，一个半径20尺，漆黑而寒冷的球状区域显现并持续至该法术终止。这个虚无区域外30尺范围内能听到充斥在空气中的不谐耳语和啜嚼噪音。任何光照，魔法或其他手段都无法照亮这个区域，而完全进入该区域内的生物将陷入目盲状态。
·虚无扭曲了空间的结构，使该区域内成为困难地形。任何在区域内开始其回合的生物将受到2d6点冷冻伤害。任何在区域内结束其回合的生物必须进行一次敏捷豁免，豁免失败者将因异界软体触手的触碰而受到2d6点强酸伤害。</t>
  </si>
  <si>
    <t>Hunger of Hadar</t>
  </si>
  <si>
    <t>催眠图纹</t>
  </si>
  <si>
    <t>一根点燃的熏香或一个装有磷光材料的水晶小瓶</t>
  </si>
  <si>
    <t>·你在施法距离内一处边长30尺的立方区域内创造出一个在空中舞动旋转的彩色图纹。图纹在出现片刻后消失，然后迫使区域内每个看到它的生物进行一次感知豁免，豁免失败者将在法术持续时间内被魅惑。被该法术魅惑的生物陷入失能状态，且速度降为0。
·如果受术生物受到任何伤害，或者他人将其从恍惚中摇醒，则该法术在其身上的效应终止。</t>
  </si>
  <si>
    <t>Hypnotic Pattern</t>
  </si>
  <si>
    <t>智能堡垒</t>
  </si>
  <si>
    <t>·在法术持续时间内，你或一个施法距离内的可见生物获得对心灵伤害的抗性，同时在智力、感知和魅力豁免检定上具有优势。
·升环施法效应。使用4环或更高法术位施展该法术时，你使用的法术位每比3环高一环，就可以多选择一个生物作为目标。而各目标之间距离不能超过30尺。</t>
  </si>
  <si>
    <t>Intellect Fortress</t>
  </si>
  <si>
    <t>李欧蒙小屋</t>
  </si>
  <si>
    <t>自身(10尺半径半球状)</t>
  </si>
  <si>
    <t>一个小水晶珠子</t>
  </si>
  <si>
    <t>·一个半径10尺的半球形力场出现在你周围和上方，并在法术持续时间内保持固定。当你离开该区域时法术将随之终止。
·半球可以容纳你和九个中型或更小的生物。如果区域内容纳了一个体型更大的生物或者容纳了多于九个生物，则法术失效。在施展此法术时即处于半球内的生物和物件可以自由进出半球。而所有其他生物和物件都将被阻挡而无法进出。法术和其他魔法效应既无法延伸至穿过半球，也无法直接穿过半球施放。半球内的空气干爽舒适，而无论外侧气候如何。
·你可以在法术终止前使半球内的光照变为微光或黑暗。半球从外侧看是不透明的，并且呈现出由你选定的颜色，但从内侧看它则是透明的。</t>
  </si>
  <si>
    <t>Leomund's Tiny Hut</t>
  </si>
  <si>
    <t>生命转换</t>
  </si>
  <si>
    <t>·你牺牲自己的部分健康来修复其他生物的伤口。你受到4d8无视伤害抗性与伤害免疫点黯蚀伤害，同时施法距离内一个由你选择的可见生物恢复生命值，数值等于你承受点黯蚀伤害的两倍。
·升环施法效应。当你使用4环或更高的法术位施放该法术时，使用的法术位每高一环，黯蚀伤害就增加1d8。</t>
  </si>
  <si>
    <t>Life Transference</t>
  </si>
  <si>
    <t>闪电箭</t>
  </si>
  <si>
    <t>·你在法术持续时间内下一次进行的远程武器攻击时，该武器的弹药或该武器本身（如果该武器是投掷武器）变为一束闪电。以正常方式进行攻击检定，若该攻击命中则目标受到4d8点闪电伤害，若未命中则伤害减半。即以该闪电伤害代替武器正常伤害。
·无论你的攻击是否命中，目标周围10尺范围内的每个生物都必须进行一次敏捷豁免，豁免失败则受到2d8点闪电伤害，豁免成功则伤害减半。
·在此之后，该弹药或武器变回其正常形态。
·升环施法效应。使用4环或更高法术位施展该法术时，你使用的法术位每比3环高一环，上述两种闪电伤害就各增加1d8。</t>
  </si>
  <si>
    <t>Lightning Arrow</t>
  </si>
  <si>
    <t>闪电束</t>
  </si>
  <si>
    <t>自身(100尺线状)</t>
  </si>
  <si>
    <t>一些皮毛和琥珀质、水晶质或玻璃质的一根棒子</t>
  </si>
  <si>
    <t>·一束100尺长，5尺宽的的线状闪电从你的位置向你指定的任意方向爆发迸出。在线状区域内的每个生物必须进行一次敏捷豁免，豁免失败者将受到8d6点闪电伤害，豁免成功则伤害减半。
·闪电会将区域内未被着装或携带的可燃物件点燃。
·升环施法效应。使用4环或更高法术位施展该法术时，你使用的法术位每比3环高一环，伤害就增加1d6。</t>
  </si>
  <si>
    <t>Lightning Bolt</t>
  </si>
  <si>
    <t>防护法阵</t>
  </si>
  <si>
    <t>总价值至少100gp的圣水或银、铁粉，作为该法术的耗材</t>
  </si>
  <si>
    <t>·指定施法距离内地面上你能看见的一点，并在该处创造了一个10尺半径、20尺高的柱状魔法能量。而承载能量柱的地面或其他平面上则会显现出闪光的符文。
·指定以下生物类型中的一种或多种：天界生物、元素生物、精类生物、邪魔、不死生物。法阵将会对被指定类型的生物产生以下效应：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
·施展该法术时，你可以选择让魔法作用于相反的方向来阻止特定种类的生物离开柱状区域内，以保护区域外的目标。
·升环施法效应。使用4环或更高法术位施展该法术时，你使用的法术位每比3环高一环，法术持续时间就增加1小时。</t>
  </si>
  <si>
    <t>Magic Circle</t>
  </si>
  <si>
    <t>高等幻影</t>
  </si>
  <si>
    <t>·你创造一个影像，其形象来自一个大小不超过边长20尺立方体的物件，生物或其他的可视现象。影像出现在施法距离内你能看见的一处位置并在法术持续时间内持续存在。它看起来完全是真实的，并且还具有相应的声音、气味和温度。你不能创造出足以造成伤害的酷热或严寒，也不能创造出音量大到足以造成雷鸣伤害或者震聋生物的声响，同样不能创造出会使生物恶心的气味（近似战蜥人的恶臭那种）。
·你在此幻术的施法距离内时，可以用你的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·由于影像无法被碰到，任何与该影像进行的物理互动都会暴露其幻象的本质。一个生物用其动作调查影像时，它可以进行一次对抗你的法术豁免DC 的智力（调查）检定，以判定是否看穿幻象。辨出幻象的生物可以看破该影像，而影像的其他感官效应在该生物看来会变得微弱而模糊。
·升环施法效应。使用6环或更高法术位施展该法术时，法术会持续至解除且不需要你保持专注。</t>
  </si>
  <si>
    <t>Major Image</t>
  </si>
  <si>
    <t>群体治愈真言</t>
  </si>
  <si>
    <t>·你高声诵出复原的真言，并指定施法距离内至多六个你能看见的生物，使其各自恢复一定的生命值，其数值等于1d4＋你的施法关键属性调整值。该法术对不死生物和构装生物无效。
·升环施法效应。使用4环或更高法术位施展该法术时，你使用的法术位每比3环高一环，其治疗量就增加1d4。</t>
  </si>
  <si>
    <t>Mass Healing Word</t>
  </si>
  <si>
    <t>融身入石</t>
  </si>
  <si>
    <t>·你进入一个足以完全容纳你身体的石制物件或石材表面内，使你自己和你携带的所有装备在法术持续时间内与石头融为一体。你可以在移动时从一个你能接触到的位置进入石中。此后，任何非魔法的感官都无法看到或侦测到你的存在。
·与石头融合后，你看不到外界发生了什么，并且你为了聆听外界声音而进行的任何感知（察觉）检定都具有劣势。与石头融合时，你仍能感觉到时间的流逝，也可以对自己施展法术。此时你无法移动，不过可以从进入石头的地方以移动的方式离开石内并终止该法术。
·石头所受的轻微损伤不会对你造成伤害，不过石头部分损毁或者形状改变时（改变到不再适合容纳你的程度），会将你从石中排挤出并对你造成6d6点钝击伤害。石头完全损毁（或材质改变）时，也会将你从石中排挤出并对你造成50点钝击伤害。被排挤出石头时，你将被摔至距离第一次进入石头处最近一处未被占据的空间位置，并陷入倒地状态。</t>
  </si>
  <si>
    <t>Meld into Stone</t>
  </si>
  <si>
    <t>马友夫微流星</t>
  </si>
  <si>
    <t>由松木盛着的硝石和硫磺，外形为小珠子</t>
  </si>
  <si>
    <t>·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·升环施法效应。当你使用4环或更高的法术位施放该法术时，使用的法术位每高一环，创造出的流星数量就增加两颗。</t>
  </si>
  <si>
    <t>Melf's Minute Meteors</t>
  </si>
  <si>
    <t>回避侦测</t>
  </si>
  <si>
    <t>一撮价值至少25gp的钻石粉末，撒在目标身上作为该法术的耗材</t>
  </si>
  <si>
    <t>·在法术持续时间内，你触碰一个目标并使其躲开来自预言魔法的侦测。目标可以是一个自愿生物，一处地点或一个在各个方向上不超过10尺的物件。目标在持续时间内不能成为预言魔法的目标，也不能通过魔法探知传感器被感测到。</t>
  </si>
  <si>
    <t>Nondetection</t>
  </si>
  <si>
    <t>魅影驹</t>
  </si>
  <si>
    <t>·你指定施法距离内一处未被占据空间，并从中显现一只似幻似真的马形生物。该生物的外形由你决定，但它必须装备着鞍座和辔具。而这些随法术创造的装备一旦离开战驹10尺即化作一阵烟消失不见。
·在法术持续时间内，你或者一个你指定的生物可以骑乘此战驹。战驹使用骑乘用马的属性数据，不过其具有速度100尺，其每小时路程普通时可达10里，以快速步调行进时可达13里。法术终止时，战驹会慢慢消失，让骑手有1分钟的时间下马结束骑乘。你用一个动作解散战驹，或是当战驹受到伤害时，法术也将随即终止。</t>
  </si>
  <si>
    <t>Phantom Steed</t>
  </si>
  <si>
    <t>植物滋长</t>
  </si>
  <si>
    <t>1动作/8小时</t>
  </si>
  <si>
    <t>·该法术将活力引导给特定区域中的植物。该法术有两种用法，其一可产生即时增益，另一种则产生长期的增益。
·用1动作施展该法术时，你指定施法距离内一点，该点周边半径100尺内的普通植物将变的粗壮和茂盛。一个穿过该区域的生物每移动1尺必须花费4尺的移动力。
·你可以在该法术范围内空出一块或多块任意大小的区域，使其排除在法术效应影响之外。
·用8小时施展该法术时，你可以使这片土地肥沃。你指定施法距离内一点，该点周边半径半里的的植物将在1年内变的茂盛。这些植物收获时将产出两倍于正常产量的作物。</t>
  </si>
  <si>
    <t>Plant Growth</t>
  </si>
  <si>
    <t>防护能量伤害</t>
  </si>
  <si>
    <t>·受你触碰的一个自愿生物在法术持续时间内对下列你指定的一种伤害类型具有抗性：强酸、冷冻、火焰、闪电、雷鸣。</t>
  </si>
  <si>
    <t>Protection from Energy</t>
  </si>
  <si>
    <t>脉冲波动</t>
  </si>
  <si>
    <t>·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·另外，完全处于锥形范围内的未被着装或携带的物件也会被向你被拉进或者被推开15尺。
·升环施法效应。当你使用4环或更高环的法术位施展该法术时，每比3环高出一环的法术位就能使法术的伤害增加1d6，并使推拉的距离增加5尺。</t>
  </si>
  <si>
    <t>Pulse Wave</t>
  </si>
  <si>
    <t>移除诅咒</t>
  </si>
  <si>
    <t>·你的触碰立即为一个生物或一个物件解除其身上的所有诅咒。如果目标物体是一件被诅咒的魔法物品则其上的诅咒不会因此解除，不过该法术可以打破诅咒物品与其所有者之间的同调，使其所有者可以将其卸下或丢弃。</t>
  </si>
  <si>
    <t>Remove Curse</t>
  </si>
  <si>
    <t>回生术</t>
  </si>
  <si>
    <t>消耗总价值至少300gp的钻石</t>
  </si>
  <si>
    <t>·你触碰一个在前一分钟内刚刚死去的生物，使该生物以1点生命值重生。该法术不能复活老死的生物，也不能恢复失去的身体部位。</t>
  </si>
  <si>
    <t>Revivify</t>
  </si>
  <si>
    <t>短讯术</t>
  </si>
  <si>
    <t>无限</t>
  </si>
  <si>
    <t>一小段细铜线</t>
  </si>
  <si>
    <t>·你向你所熟识的一个生物发送一小段二十五个单词以内的信息。该生物将在心中听到你的信息，他可以认出你是发讯人（如果他认识你），还可以用同样的方式立即回复一讯息。对方的智力值必须至少为1才能理解你的信息。
·你的传讯可以跨越任意长的距离，甚至能跨越位面。但如果目标和你不在同一个存在位面，则短讯术有5%的概率无法到达。</t>
  </si>
  <si>
    <t>Sending</t>
  </si>
  <si>
    <t>雪雨暴</t>
  </si>
  <si>
    <t>一撮灰尘和几滴水</t>
  </si>
  <si>
    <t>·你指定施法距离内一点,并使以该点为中心，半径40尺、高20尺的区域内降下寒冷刺骨的冻雨和冰雹直至法术终止。该区域将造成重度遮蔽，且该区域内的一切开放的明火都将被浇熄。
·该区域的地面上覆着一层光滑的冰，使地面变成困难地形。生物在一个回合内第一次进入该区域或在区域内开始其回合时，必须进行一次敏捷豁免，豁免失败则失足倒地。
·如果法术区域内有一个生物正进行专注，则该生物必须进行一次对抗你法术豁免DC的体质豁免，豁免失败则其专注被打断。</t>
  </si>
  <si>
    <t>Sleet Storm</t>
  </si>
  <si>
    <t>缓慢术</t>
  </si>
  <si>
    <t>一滴糖浆</t>
  </si>
  <si>
    <t>·你在施法距离内一处40尺立方区域内指定至多六个生物并扭曲其周围的时间流。每个目标都要进行一次感知豁免，豁免失败则受到该法术影响直至法术终止。
·受术生物的速度减半，而其AC和敏捷豁免都具有－2减值，且不能执行反应。该生物在其回合内可以执行一个动作或一个附赠动作，但不能在一回合内同时执行以上两者。不论该生物拥有何种能力或魔法物品，它在其回合内只能发动一次近战或远程攻击。
·如果该生物尝试施展一个施法时间为1动作的法术，则需掷一次d20。如果结果是11或更高，则该生物的法术直至其下一回合才会生效，且该生物必须在此时再使用一个动作来完成法术。如果它做不到则它的法术就此浪费掉。
·受术生物在其回合结束时要可以再进行一次感知豁免，豁免成功则其身上该法术的效应终止。</t>
  </si>
  <si>
    <t>Slow</t>
  </si>
  <si>
    <t>死者交谈</t>
  </si>
  <si>
    <t>燃烧的香</t>
  </si>
  <si>
    <t>·你给施法距离内一具尸体赋予少许生命与智力，让其可回答你的问题。这具尸体必须还有一张嘴，且不能是不死生物。若目标尸体在最近十日内曾被作为该法术的目标，则本次施法失败。
·你可以在法术终止前向尸体提出最多五个问题。尸体的知识仅限于其生前所知，包括它所讲的语言。回答通常是简短，含糊或重复的语句，而且如果你对尸体抱有敌意或者尸体认为你是其敌人，它也不必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</si>
  <si>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</si>
  <si>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</si>
  <si>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·你给周围30尺内的植物赋予有限的知觉与活力，使其能够与你沟通和按你的命令行事。你可以向植物询问最近一日里该区域发生的事，由此了解曾路过这里的生物、天气和其他状况。
·你可以让区域内因植物生长形成的困难地形（如灌木丛）在法术持续时间内变为普通地形。你也可以将有植物生长的普通地形变成困难地形（如让藤蔓树枝阻碍身后的追兵）。
·根据DM的判断，植物也可能会为你做其他的事情。虽然该法术并不能让植物拔根而起或自由移动，但它们可以自由活动自己的树枝、藤蔓和茎秆。
·如果法术区域内有一个植物生物，你可以如同你们有共同语言一般与其交流，但你并没有任何能影响它立场的魔力。
·该法术能让纠缠术 Entangle创造出来的植物放开一个被束缚的生物。</t>
  </si>
  <si>
    <t>Speak with Plants</t>
  </si>
  <si>
    <t>灵体卫士</t>
  </si>
  <si>
    <t>自身(15尺半径)</t>
  </si>
  <si>
    <t>一面圣徽</t>
  </si>
  <si>
    <t>·你唤来灵体作你的守卫，并使其在法术持续时间内在你周围15尺内四处飞舞。如果你属于善良或中立阵营，则它们飘渺的身形看起来像是天使或精类生物（由你选择）。如果你属于邪恶阵营，则它们将形如邪魔。
·施展该法术时，你可以选择视野内任意数量的生物让其不受该法术影响。受术生物在该区域内其速度减半，且当它在一个回合内第一次进入该区域或在区域内开始其回合时，必须进行一次感知豁免。豁免失败则受到3d8点光耀伤害（如果你属于善良或中立）或3d8点黯蚀伤害（如果你属于邪恶），豁免成功则伤害减半。
·升环施法效应。使用4环或更高法术位施展该法术时，你使用的法术位每比3环高一环，法术的伤害就增加1d8。</t>
  </si>
  <si>
    <t>Spirit Guardians</t>
  </si>
  <si>
    <t>魂灵环绕</t>
  </si>
  <si>
    <t>·你唤来亡者的魂灵，令它们在法术持续时间内环绕于你的身边。这些魂灵无形且不可伤害。
·直到法术终止前，你所有命中你10尺内生物的攻击造成1d8点额外伤害。伤害类型为光耀、黯蚀或冷冻（由你在施展法术的时候选择）。任何受到此伤害的生物无法恢复生命值，直到你下回合开始。
·此外，任何你身边10尺内且你可见的生物回合开始时，你可以使其速度降低10尺，直到你下回合开始。
·升环施法效应。使用4环或更高法术位施展该法术时，你使用的法术位每比3环高两环，其伤害就增加1d8。</t>
  </si>
  <si>
    <t>Spirit Shroud</t>
  </si>
  <si>
    <t>臭云术</t>
  </si>
  <si>
    <t>一个臭鸡蛋或几根臭菘草</t>
  </si>
  <si>
    <t>·你以施法距离内一点为中心创造出一团半径20尺的黄色恶心气体云团。云团会绕过拐角扩散，并能造成重度遮蔽。在法术持续时间结束前云团都会一直在空气中徘徊。
·如果一个生物在其回合开始时完全位于云团内，则它必须进行一次对抗毒素的体质豁免。豁免失败则该生物必须因呕吐和蹒跚浪费掉其本回合的动作。如果生物不需要呼吸或对毒素免疫，则其检定直接判定为成功。
·云团被和风（风速至少每小时10里）吹袭4轮后消散。而强风（风速至少每小时20里）只需1轮就能将其吹散。</t>
  </si>
  <si>
    <t>Stinking Cloud</t>
  </si>
  <si>
    <t>精类召唤术/召唤精类灵魄</t>
  </si>
  <si>
    <t>一朵至少价值300gp的镀金花</t>
  </si>
  <si>
    <t>·你唤来一个精类灵魄。其在施法距离内你可见的一个未占据位置化为实体。这一实体使用下面的精类灵魄Fey Spirit的数据。当你施展法术时，从诡诈Tricksy，愤怒Fuming或欢乐Mirthful中选择一种情绪。此生物的外形为一个受你所选情绪所影响的精类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精类灵魄Fey Spirit
小型精类
AC：12+法术环阶 (天生护甲)
HP：30+10每比3环高的法术环阶
速度：40尺
力量13（+1）  敏捷16（+3）  体质14（+2）
智力14（+2)   感知11（+0）  魅力16（+3）
状态免疫：魅惑
感官：黑暗视觉60尺，被动察觉10
语言：木族语，懂你说的语言
挑战等级：—
熟练加值：与你相等
动作
多重攻击Multiattack。精类生物发动等同于法术环阶一半的次数的攻击（向下取整）。
短剑Shortsword。近战武器攻击：命中+你的法术攻击调整值，触及5尺，单一目标。伤害：1d6+3+法术环阶点穿刺伤害+1d6点力场伤害。
附赠动作
精类步Fey Step。精类生物魔法性地传送至一处30尺内其可见且未被占据的空间。并根据你施展法术时的选择，适用以下情绪效应之一。
愤怒Fuming。在使用精类步后，精类生物立即在它回合结束前的下一个攻击检定具有优势。
诡诈Tricksy。在使用精类步后，精类生物可以立即令魔法黑暗充斥于它5尺内的一个5尺立方区域，魔法黑暗持续直到精类生物的下回合结束。
欢乐Mirthful。在使用妖精步后，精类生物可以立即选择它10尺内可见的一个生物，强迫其进行一次感知豁免对抗你的法术豁免DC，豁免失败则其将被你及精类生物魅惑，持续1分钟或目标受到任何伤害。</t>
  </si>
  <si>
    <t>Summon Fey</t>
  </si>
  <si>
    <t>召唤次级恶魔</t>
  </si>
  <si>
    <t>来自一个于24小时之内被杀的类人生物身上的一剂血液</t>
  </si>
  <si>
    <t>·你吐出污秽的词语，从无底深渊的无尽混沌中召唤来恶魔。遵从下表Roll点来决定什么生物出现。
    D6    被召唤的恶魔
    1-2   2个挑战等级为1或更低的恶魔
    3-4   4个挑战等级为1/2或更低的恶魔
    5-6   8个挑战等级为1/4或更低的恶魔
·DM选择恶魔的种类，例如原魔Manes或者怯魔dretches，然后你选择施法距离内可见的未被占据空间让它们出现。被召唤的恶魔在生命值降低为0或法术结束时消失。
·恶魔对包括你在内的所有生物抱有敌意。它们拥有自己的回合，将它们整体视作一组来投掷先攻。恶魔会花费它的回合用于追逐和攻击最近的非恶魔生物，尽其所能。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·升环施法效应。当你使用6环或7环的法术位施放该法术时，被召唤的恶魔数量变为两倍。当你使用8环或9环的法术位施放该法术时，被召唤的恶魔数量变为三倍。</t>
  </si>
  <si>
    <t>Summon Lesser Demon</t>
  </si>
  <si>
    <t>暗影衍体召唤术/召唤暗影灵魄</t>
  </si>
  <si>
    <t>至少价值300gp的包有眼泪的宝石</t>
  </si>
  <si>
    <t>·你唤来一个暗影灵魄。其在施法距离内你可见的一个未占据位置化为实体。这一实体使用下面的暗影灵魄Shadow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</si>
  <si>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</si>
  <si>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不死生物召唤术/召唤不死灵魄</t>
  </si>
  <si>
    <t>一个至少价值300gp的镀金头骨</t>
  </si>
  <si>
    <t>·你唤来一个不死生物灵魄。其在施法距离内你可见的一个未占据位置化为实体。这一实体使用下面的不死灵魄Undead Spirit的数据。当你施展法术时，从虚灵Ghostly，腐尸Putrid或骷髅Skeletal中为此生物选择一个外形。此生物的外形为你所选形态的不死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不死灵魄Undead Spirit
中型不死生物
AC：11+法术环阶 (天生护甲)
HP：30（仅限虚灵或腐尸）或20（仅限骷髅）+10每比3环高的法术环阶
速度：40尺，飞行40尺（悬浮）（仅限虚灵）
力量12（+1）  敏捷16（+3）  体质15（+2）
智力4（-3)    感知10（+0）  魅力9（-1）
伤害免疫：黯蚀，毒素
状态免疫：力竭，恐慌，麻痹，中毒
感官：黑暗视觉60尺，被动察觉10
语言：懂你说的语言
挑战等级：—
熟练加值：与你相等
腐灭灵光Festering Aura（仅限腐尸）。除你之外的所有生物，在不死生物5尺内开始其回合时必须进行一次体质豁免对抗你的法术豁免DC，豁免失败则在其下个回合开始前中毒。
虚体移动Incorporeal Movement（仅限于虚灵）。灵魄可以虚体化并如同穿过困难地形一样穿过其他生物和物件。如果它在自己的回合结束时仍处在物件内部，则被挪到距离最近的未被占据的位置，且每虚体移动5尺便受到1d10点力场伤害。
动作
多重攻击Multiattack。灵魄发动等同于法术环阶一半的次数的攻击（向下取整）。
致死之触Deathly Touch（仅限于虚灵）。近战武器攻击：命中+你的法术攻击调整值，触及5尺，单一生物。伤害：1d8+3+法术环阶点黯蚀伤害，且目标生物必须进行一次感知豁免对抗你的法术豁免DC，豁免失败则对不死生物恐慌直到目标下回合结束。
坟冢射线Grave Bolt（仅限于骷髅）。远程法术攻击：命中+你的法术攻击调整值，射程150尺，单一目标。伤害：2d4+3+法术环阶点黯蚀伤害。
腐烂爪击Rotting Claw（仅限于腐尸）。近战武器攻击：命中+你的法术攻击调整值，触及5尺，单一目标。伤害：1d6+3+法术环阶点挥砍伤害。如果目标处于中毒状态，其必须进行一次体质豁免对抗你的法术豁免DC，否则麻痹直到目标下回合结束。</t>
  </si>
  <si>
    <t>Summon Undead</t>
  </si>
  <si>
    <t>雷霆步</t>
  </si>
  <si>
    <t>·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·升环施法效应。当你使用4环或更高的法术位施放该法术时，使用的法术位每高一环，伤害就会增加1d10。</t>
  </si>
  <si>
    <t>Thunder Step</t>
  </si>
  <si>
    <t>潮涌</t>
  </si>
  <si>
    <t>一滴水</t>
  </si>
  <si>
    <t>·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</si>
  <si>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</si>
  <si>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</si>
  <si>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你接触一个微型的非魔法物体，它没有附在另一个物体或表面之上，也没有被其他生物所携带。目标被活化并长出细小的胳膊和腿脚，并成为处于你控制之下的生物，直到法术结束或者降低至0HP。参考以下版块得知它的数据。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·当这个生物的生命值降低至0点，它恢复至原来的形态，并且任何剩余的伤害会由那个形态承担。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</si>
  <si>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</si>
  <si>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巧言术</t>
  </si>
  <si>
    <t>一个陶制阶梯金字塔小模型</t>
  </si>
  <si>
    <t>·该法术赋予你所触碰生物听懂任何语言的能力。此外，当目标生物说话时，任何能听见其话语且掌握至少一门语言的生物都能听懂它的话。</t>
  </si>
  <si>
    <t>Tongues</t>
  </si>
  <si>
    <t>吸血鬼之触</t>
  </si>
  <si>
    <t>·你的手上环绕着阴影，只要触碰一下就可以吸取他人的生命力来为自己疗伤。对你触及范围内的一个生物进行一次近战法术攻击。若命中，则目标受到3d6点黯蚀伤害，而你则回复数值等于所造成黯蚀伤害一半的生命值。你可以在该法术终止前的每个回合内以一个动作完成一次这样的攻击。
·升环施法效应。使用4环或更高法术位施展该法术时，你使用的法术位每比3环高一环，法术的伤害就增加1d6。</t>
  </si>
  <si>
    <t>Vampiric Touch</t>
  </si>
  <si>
    <t>沙墙术</t>
  </si>
  <si>
    <t>一捧沙</t>
  </si>
  <si>
    <t>·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</si>
  <si>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</si>
  <si>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</si>
  <si>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</si>
  <si>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</si>
  <si>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水中呼吸</t>
  </si>
  <si>
    <t>一根芦苇或稻草</t>
  </si>
  <si>
    <t>·在法术终止前，该法术让施法距离内你能看见的至多十个自愿生物获得在水下呼吸的能力。此外，受术者依然保有正常的呼吸能力。</t>
  </si>
  <si>
    <t>Water Breathing</t>
  </si>
  <si>
    <t>水面行走</t>
  </si>
  <si>
    <t>一个软木塞</t>
  </si>
  <si>
    <t>·使受术者行走于任何液体表面（例如流水、酸液、泥浆、雪地、流沙、熔岩）都如履平地。（但走在熔岩上的生物仍会因高热而受伤）。你可以将此能力赋予施法距离内你能看见的至多十个自愿生物，并使其在法术持续时间内拥有该能力。
·如果你选择一个浸没在水中的生物作为该法术的目标，则受术者将会以每轮60尺的速度上升，直至浮上液面。</t>
  </si>
  <si>
    <t>Water Walk</t>
  </si>
  <si>
    <t>风墙术</t>
  </si>
  <si>
    <t>一把小扇和一根稀有生物的羽毛</t>
  </si>
  <si>
    <t>·指定施法距离内地面上一点并从中升起了一道强风形成的墙壁。你可以造出长度至多50尺、高度至多15尺、厚度至多1尺的风墙。你可以自由塑造该墙的形状，不过它必须沿着地面形成一条连续的轨道。风墙持续存在至法术终止。
·风墙出现时，所有位于风墙区域内的生物必须进行一次力量豁免。豁免失败者，将受到3d8点钝击伤害，豁免成功则伤害减半。
·强风可以阻隔浓雾、烟尘和其他气体。体型为小型或更小的飞行生物或物件无法飞过风墙。重量轻的未被携带物质带进风墙中时将被向上吹飞。对墙后目标射出的箭、矢和其他普通飞行物会被朝上吹走而直接判为未命中（巨人或攻城器械投出的巨石和类似的飞行物不受影响）。处于气化形态的生物无法穿过风墙。</t>
  </si>
  <si>
    <t>Wind Wall</t>
  </si>
  <si>
    <t>快速交友</t>
  </si>
  <si>
    <t>·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</si>
  <si>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</si>
  <si>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</si>
  <si>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</si>
  <si>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·受影响的目标每个回合结束时，可以再进行一次感知豁免检定。如果它成功，对于那个目标的效果将结束。</t>
  </si>
  <si>
    <t>Incite Greed</t>
  </si>
  <si>
    <t>励志演讲</t>
  </si>
  <si>
    <t>·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</si>
  <si>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</si>
  <si>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阿莎德隆奔行</t>
  </si>
  <si>
    <t>·巨龙汹涌的火焰从你的脚边喷涌而出，赋予你爆炸般的速度。法术持续时间内，你的速度提升20尺，并且移动不会触发借机攻击。
·当你移动至一个生物或未被着装或携带的物件5尺内时，其被你的灼热尾迹灼烧，受到1d6点火焰伤害。一个生物或物件每回合只会承受一次此伤害。
·升环施法效应。当你用4环或更高的法术位施展该法术时，你使用的法术位每比3环高一环，你的移动速度额外增加5尺，法术造成的伤害便增加1d6。</t>
  </si>
  <si>
    <t>Ashardalon's Stride</t>
  </si>
  <si>
    <t>秘法眼</t>
  </si>
  <si>
    <t>一点蝙蝠毛皮</t>
  </si>
  <si>
    <t>·你在施法距离内创造出一个漂浮在空中的隐形魔法眼。
·秘法眼拥有30尺普通视觉和黑暗视觉且可以观察任何方向。你通过精神连接接收秘法眼传来的视觉信息。
·你可以使用一个动作让秘法眼向任意方向移动30尺。秘法眼远离你的距离没有限制，但它无法进入另一个位面。固体障碍物会阻挡秘法眼的移动，但它可以穿过任何直径大于1尺的缝隙。</t>
  </si>
  <si>
    <t>Arcane Eye</t>
  </si>
  <si>
    <t>生命灵光</t>
  </si>
  <si>
    <t>·护佑的能量自你身上发出并形成30尺半径的灵光，在法术持续时间内，灵光将以你为中心随你移动。灵光范围内的非敌对生物（包括你自己）获得对黯蚀伤害的抗性，其生命值上限也无法被降低。另外，生命值为0的非敌对活体生物，在灵光范围内开始其回合时会恢复1点生命值。</t>
  </si>
  <si>
    <t>Aura of Life</t>
  </si>
  <si>
    <t>净化灵光</t>
  </si>
  <si>
    <t>·净化的能量自你身上发出并形成30尺半径的灵光，在法术持续时间内，灵光将以你为中心随你移动。灵光范围内的非敌对生物（包括你自己）不会陷入疾病状态，并获得对毒素伤害的抗性，其进行对抗下列状态的豁免时具有优势：目盲、魅惑、耳聋、恐慌、麻痹、中毒和震慑。</t>
  </si>
  <si>
    <t>Aura of Purify</t>
  </si>
  <si>
    <t>放逐术</t>
  </si>
  <si>
    <t>一件令目标厌恶的物品</t>
  </si>
  <si>
    <t>·你试图将一名你能看见的生物送往另一位面。目标必须进行一次魅力豁免并成功通过，否则将被放逐。
·如果目标是你所处位面的原住民，则他被放逐到一个无害的半位面。在半位面期间该生物处于失能状态。法术终止时，目标重新出现在被放逐前的空间。如果该空间被占据，则它将出现在最近的未被占据空间。
·如果目标不是你所处位面的原住民，则他会伴随着轻微的“啪”一声被放逐回其家园位面。如果法术在1分钟过去之前终止，则目标将在他被放逐前的空间重新出现。如果该空间被占据，则他在最近的未被占据空间出现。如果法术在持续1 分钟后终止，则目标不会回到原地。
·升环施法效应。使用5环或更高法术位施展该法术时，你使用的法术位每比4环高一环，就能多指定一个目标。</t>
  </si>
  <si>
    <t>Banishment</t>
  </si>
  <si>
    <t>枯萎术</t>
  </si>
  <si>
    <t>·死灵魔法的能量袭向一个施法距离内你能看见的生物，并榨取他的水分和活力。目标必须进行一次体质豁免，豁免失败者将受到8d8点黯蚀伤害，豁免成功则伤害减半。该法术对构装生物和不死生物无效。
·如果目标为植物类生物或魔法植物，则其豁免检定具有劣势，且法术伤害取最大值。
·如果目标为非魔法非生物的植物，如一棵树或灌木，则它无需进行豁免而直接枯萎死去。
·升环施法效应。使用5环或更高法术位施展该法术时，你使用的法术位每比4环高一环，法术的伤害就增加1d8。</t>
  </si>
  <si>
    <t>Blight</t>
  </si>
  <si>
    <t>魅惑怪物</t>
  </si>
  <si>
    <t>·你尝试魅惑施法距离内的某个你能看见的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·升环施法效应。使用5环或更高法术位施展该法术时，你使用的法术位每比4环高一环，法术就能多影响一个目标。而各目标之间距离不能超过30尺。</t>
  </si>
  <si>
    <t>Charm Monster</t>
  </si>
  <si>
    <t>强迫术</t>
  </si>
  <si>
    <t>·指定施法距离内你能看到，且能听到你声音的若干生物并迫使其分别进行一次感知豁免。其中无法被魅惑的目标将直接豁免成功，而豁免失败者将受到该法术效应的影响。直至该法术终止前，你可以在你每个回合中用一个附赠动作指向某个水平方向。随后，每个受术目标在其下一回合里必须使用其所有的移动力尽可能的向该方向移动。目标可以在移动前执行其动作，而完成这些移动行为后它可以再进行一次感知豁免以终止该效应。
·每个目标不会被强令走向明显致命的危害物中，比如火堆或陷坑里，不过目标在向指定方向移动时同样可以引起借机攻击。</t>
  </si>
  <si>
    <t>Compulsion</t>
  </si>
  <si>
    <t>困惑术</t>
  </si>
  <si>
    <t>三颗坚果壳</t>
  </si>
  <si>
    <t>·此法术冲击并扭曲生物的意志，并使其产生错觉并引发不受控的行动。在施法距离内指定一点，以该点为中心的10 尺半径球状区域内的生物必须进行一次感知豁免并成功通过，否则将受到该法术的影响。
·受术目标不能执行反应并且必须在其回合开始时掷一次d10以决定该生物本回合的行为。
·行受术目标不能执行反应并且必须在其回合开始时掷一次d10以决定该生物本回合的行为。
→D10对应行为
→1    该生物使用其所有移动力向一个随机方向移动。你可以掷一次d8并设定每个骰值代表的方向以决定其最终移动方向。该生物本回合不执行任何动作。
→2-6  该生物本回合不移动也不执行任何动作。
→7-8  该生物使用其动作对可触及范围内一个随机目标发动一次近战攻击。如果没有生物在其触及范围内，则该生物本回合什么都不做。
·受术生物在其每回合结束时可以在进行一次感知豁免。如果该豁免成功，则该目标身上该法术的效应终止。
·升环施法效应。使用5环或更高法术位施展该法术时，你使用的法术位每比4环高一环，球状区域半径就增加5尺。</t>
  </si>
  <si>
    <t>Confusion</t>
  </si>
  <si>
    <t>召唤次级元素生物</t>
  </si>
  <si>
    <t>·你召唤元素生物并使其显现在施法范围内一处你能看见但未被占据的空间。选择以下选项之一作为显现的生物：
→一个挑战等级2或更低的元素生物
→两个挑战等级1或更低的元素生物
→四个挑战等级1/2或更低的元素生物
→八个挑战等级1/4或更低的元素生物
·每个被该法术召唤的元素生物在生命值降至0，或者法术终止时消失不见。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·升环施法效应。使用更高法术位施展该法术时，选择上文所述召唤选项之一，并显现更多生物：6环法术位显现两倍生物，8环法术位显现三倍生物。</t>
  </si>
  <si>
    <t>Conjure Minor Elementals</t>
  </si>
  <si>
    <t>召唤林地之精</t>
  </si>
  <si>
    <t>每个被召唤生物一枚冬青浆果</t>
  </si>
  <si>
    <t>·你召唤精类生物并使其显现在施法范围内一处你能看见但未被占据的空间。选择以下选项之一作为显现的生物：
→一个挑战等级2或更低的精类生物
→两个挑战等级1或更低的精类生物
→四个挑战等级1/2或更低的精类生物
→八个挑战等级1/4或更低的精类生物
·每个被该法术召唤的精类生物在生命值降为0，或者法术终止时消失不见。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·升环施法效应。使用更高法术位施展该法术时，选择上文所述召唤选项之一，并显现更多生物：6环法术位显现两倍生物，8环法术位显现三倍生物。</t>
  </si>
  <si>
    <t>Conjure Woodland Beings</t>
  </si>
  <si>
    <t>操控水体</t>
  </si>
  <si>
    <t>一滴水和一撮土</t>
  </si>
  <si>
    <t>·你在法术终止前控制任一片独立的水体，控制范围为你指定的一处边长100尺的立方区域。施展该法术时，你可以从以下效应中选择其一生效。在你之后的每个自己回合中，你可以用一个动作重复生效同一效应，或是选择实现另一效应。
·上涨 Flood：你使控制区域内水位上涨至多20尺。如果该区域包含有滨岸，则水体漫过涨水覆盖的干土。
  如果你指定的区域是一片大水体中的一部分，则你改为制造一片20尺高的波浪，并从区域的一边扑向另一边再拍下水面。波浪中任何巨型或更小的载具都会被带到水浪行进的另一边。且所有巨型或更小的载具都有25%的几率被倾覆。
  直至法术终止或你选择另一个效应前，水位的上涨情况将保持不变。如果该效应用以产生波浪，则波浪在你下一回合开始时再次进行翻打。
·分水 Part Water：你使区域内的水体分开并形成一条水体的沟壑。沟壑从法术区域的一头延伸到另一头，而被分开的水体则在两边形成两道水墙。沟壑维持至法术终止或直至你选择另一个效应。该效应终止时，沟壑会在接下来的一轮里慢慢的恢复成通常的水位。
·转向 Redirect Flow：你使区域内的水体向一个你自选的方向流动。使其绕过障碍，或沿着墙壁向上流，甚至流向一些不太可能的方向，区域内的水体都遵照你指使的方向流动，但一旦其流出法术区域，则恢复为其所在地形的流向。水体持续向你所选方向流动，直至法术终止或直至你选择另一效应。
·漩涡 Whirlpool：该效应需要水体至少为50尺的方形区域并且至少有25尺深。你在区域中央形成一个漩涡。其形态为底部宽5尺顶部宽50尺，且25尺高。水中任何在漩涡25尺范围内的生物或物件将被漩涡向自身拉动10尺。受影响的生物可以进行一次力量（运动）检定来对抗你的法术DC，以通过游泳脱离漩涡控制。
  任何生物在一个回合内第一次进入漩涡或者在漩涡内开始其回合时，必须进行一次力量豁免。豁免失败者将受到2d8点钝击伤害，并被拖入漩涡中心直至法术终止。豁免成功则伤害减半，且不会被拖入漩涡。被拖入漩涡中心的生物可以用其动作尝试游泳来离开漩涡（如上文所述），但它此时进行的力量（运动）检定具有劣势。
·物件在一回合里第一次进入漩涡时受2d8点钝击伤害；如果物件保持在漩涡内，该伤害就会在每轮持续发生。</t>
  </si>
  <si>
    <t>Control Water</t>
  </si>
  <si>
    <t>防死结界</t>
  </si>
  <si>
    <t>·你触碰一个生物，并给予其对死亡的防护。
·目标第一次生命值因承受伤害而降至0时，改为生命值降至1，并终止本法术效应。
·法术生效时，如果目标受到不造成伤害但直接致死效应影响时，改为该致死效应被取消，并终止本法术效应。</t>
  </si>
  <si>
    <t>Death Ward</t>
  </si>
  <si>
    <t>任意门</t>
  </si>
  <si>
    <t>500尺</t>
  </si>
  <si>
    <t>·你将自己从当前位置传送至施法距离内的任意地点，并准确到达该目的地。法术的目的地可以是你能看见的、可想象的地点，也可以是通过距离和方向说明的地点，比如“径直向下200尺”，“西北向上45度300尺”。
·进行传送时，你的随身物件不能超过你的负重。你还可以带上一个自愿的生物，且其体型不能比你大，而他的随身物件也不能超过其负重。该生物在你施法时必须在你5尺内。
·如果你的目的地已经被生物或物件占据，则你以及任何与你一起传送的生物都将受到4d6点力场伤害，且法术传送失败。</t>
  </si>
  <si>
    <t>Dimension Door</t>
  </si>
  <si>
    <t>预言术</t>
  </si>
  <si>
    <t>适合你宗教信仰的熏香和祭品，总共价值至少25金币，作为该法术的耗材</t>
  </si>
  <si>
    <t>·你的魔法和贡品让你得以与一名神祇或神仆取得联络。你可以就某个特定的目标、事件或活动提问一个与其7日内状况相关的问题。DM 将给予你真实的答复，这个答复可能是一段短语、一节神秘的短诗或是一个预兆。
·此法术的回答并不会顾及所有可能影响结果的情况。比如其他法术的影响，或者同伴的加入和离开等状况。
·若你在两次长休之间两次或更多次的施展该法术，则法术有概率会给出随机的结果。此概率从第二次施展起每次累计25％。其具体结果由DM暗骰决定。</t>
  </si>
  <si>
    <t>Divination</t>
  </si>
  <si>
    <t>支配野兽</t>
  </si>
  <si>
    <t>·你试图安抚一头施法距离内你能看见的野兽，目标野兽必须成功通过一次感知豁免，否则将在法术持续时间内被你魅惑。若它正与你或你的友方生物战斗，则其进行该豁免时具有优势。
·该野兽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·升环施法效应。使用5环法术位施展该法术时，持续时间变为：专注，至多10分钟。使用6环法术位施展该法术时，持续时间变为：专注，至多1 小时。使用7环或更高法术位施展该法术时，持续时间变为：专注，至多8小时。</t>
  </si>
  <si>
    <t>Dominate Beast</t>
  </si>
  <si>
    <t>元素灾祸</t>
  </si>
  <si>
    <t>·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·升环施法效应。使用5环或更高法术位施放该法术时，你使用的法术位每比4环高一环，就能多指定一个目标。而各目标之间距离不能超过30尺。</t>
  </si>
  <si>
    <t>Elemental Bane</t>
  </si>
  <si>
    <t>艾伐黑触手</t>
  </si>
  <si>
    <t>巨章鱼或巨鱿鱼的一条触须</t>
  </si>
  <si>
    <t>·你指定一处施法距离内你能看见的20尺方形区域，使其内布满蠕动的乌黑触须，进而使该区域成为困难地形。
·任何生物在一个回合内第一次进入该区域，或者在区域内开始其回合时，必须进行一次敏捷豁免。豁免失败者将受到3d6点钝击伤害，并且被触须束缚直至法术终止。生物在区域内开始其回合时，如果已受触须束缚则受到3d6点钝击伤害。
·受触须束缚的生物可以使用动作进行一次对抗法术豁免DC的力量检定或敏捷检定（自选其一），检定成功则挣脱束缚。</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</si>
  <si>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</si>
  <si>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</si>
  <si>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大型或更小的物件（至多占据10尺立方区域或八个相邻的5尺立方区域）。如果你的目标材料是金属、石料或者其他矿石材料，那么被制造的物件不能大于中型（至多占据5尺立方区域），制成品的质量和原材料质量相同。
·生物或魔法物品不能作为该法术的原料或成品。你只有对制作某物品的工匠工具拥有熟练项时，才能使用该法术制作相应需要高工艺水平制作的物品，如珠宝、武器、玻璃、护甲等。</t>
  </si>
  <si>
    <t>Fabricate</t>
  </si>
  <si>
    <t>召唤高等坐骑</t>
  </si>
  <si>
    <t>·你召唤一个圣魂并呈现出忠诚的、雄伟的坐骑外观。坐骑显现在施法距离内未被占据的空间，其外形由你从以下形态中选择：狮鹫Griffon、飞马Pegasus、鹿鹰兽Peryton、恐狼Dire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</si>
  <si>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Find Greater Steed</t>
  </si>
  <si>
    <t>火焰护盾</t>
  </si>
  <si>
    <t>一小块磷或者一只萤火虫</t>
  </si>
  <si>
    <t>·微薄的烈焰在法术持续时间内环绕你的身体，散发出10尺半径的明亮光照，以及该范围外10尺的微光光照。你可以提前以一个动作解散该效应并终止该法术。
·你选择该烈焰生成一副温暖护盾或冻寒护盾。温暖护盾将为你提供冷冻伤害抗性，冻寒护盾则提供火焰伤害抗性。
·此外，任何生物在你周围5尺范围内对你发动近战攻击时，护盾将对其迸出烈焰，温暖护盾将对攻击者造成2d8点火焰伤害，而冻寒护盾则对其造成2d8点冷冻伤害。</t>
  </si>
  <si>
    <t>Fire Shield</t>
  </si>
  <si>
    <t>行动自如</t>
  </si>
  <si>
    <t>一条绑在手臂或其他肢体上的皮带</t>
  </si>
  <si>
    <t>·你触碰一个自愿生物，并使目标在法术持续时间内移动时不受困难地形限制，并使任何降低目标速度，或者使目标陷入麻痹或束缚的法术或魔法效应对其无法生效。
·该目标还可以花费5尺移动力直接从非魔法的束缚中挣脱（诸如镣铐或生物的擒抱等）。此外，目标在水下进行移动和攻击时不再受减益规则的限制。</t>
  </si>
  <si>
    <t>Freedom of Movement</t>
  </si>
  <si>
    <t>巨虫术</t>
  </si>
  <si>
    <t>·你指定施法距离内至多十只蜈蚣，或三只蜘蛛，或五只黄蜂，或一只蝎子作为法术目标，在法术持续时间内你将其转化为它们自然形态的巨大版本。蜈蚣变成巨型蜈蚣，蜘蛛变成巨型蜘蛛，黄蜂变成巨型黄蜂，蝎子变成巨型蝎子。
·每只生物都将服从你的口头命令。在战斗中，它们每轮在你的回合行动。这些生物的属性数据及其动作选项和移动能力均由DM掌控。
·在法术持续时间内，目标生物将维持其巨大的体型，直到其生命值降至0或你用一个动作解除其身上的效应为止。DM可能会允许你指定不同的生物作为法术目标。例如，如果你转化一只蜜蜂，则其巨大版本可能会使用与巨黄蜂一样的属性数据。</t>
  </si>
  <si>
    <t>Giant Insect</t>
  </si>
  <si>
    <t>擒抱藤</t>
  </si>
  <si>
    <t>·你指定施法距离内一个你能够看见的未被占据空间，并召唤一条藤蔓使其从该空间的地面上破土而出。施展该法术时，你可以指使该藤蔓抽拉其30尺范围内一个你能看见的生物。该生物必须进行一次敏捷豁免，豁免失败则被往藤蔓所在方向拉近20尺。
·直至该法术终止前，你可以在你的回合里用一个附赠动作指使藤蔓抽拉同一生物或者转向抽拉另一个生物。</t>
  </si>
  <si>
    <t>Grasping Vine</t>
  </si>
  <si>
    <t>引力裂沟</t>
  </si>
  <si>
    <t>一块黑色的大理石</t>
  </si>
  <si>
    <t>·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·升环施法效应。当你使用5环或者更高环位的法术位施展该法术时，每比4环高出一环的法术位可以使该法术的伤害增加1d10。</t>
  </si>
  <si>
    <t>Gravity Sinkhole</t>
  </si>
  <si>
    <t>高等隐形术</t>
  </si>
  <si>
    <t>·你或一个你触碰的生物变为隐形，直至法术终止。任何保持在目标身上的着装物和携带物也可以维持隐形状态。</t>
  </si>
  <si>
    <t>Great Invisibility</t>
  </si>
  <si>
    <t>信仰守卫</t>
  </si>
  <si>
    <t>·一个大型的幽灵守护者出现在施法距离内一个你能看见且由你指定的未被占据空间，并在法术持续时间内在该处悬浮。占据该空间的守护者除了一把闪光的剑和饰有你守护神标志的盾牌外，其他部位都只是一片模糊。
·任何与你敌对的生物在一回合内第一次进入守护者身边10尺范围内时必须进行一次敏捷豁免。豁免失败者将受到20点光耀伤害，豁免成功则伤害减半。守护者在造成总共60点伤害后随即消失。</t>
  </si>
  <si>
    <t>Guardian of Faith</t>
  </si>
  <si>
    <t>自然守卫</t>
  </si>
  <si>
    <t>·自然之魂回应你的呼唤并将你转变为一个强大的守卫。转变持续到法术结束。你选择以下形态之一取得：原始猛兽或战争巨树。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</si>
  <si>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</si>
  <si>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幻景</t>
  </si>
  <si>
    <t>一块石头、一枝嫩枝和一小片绿色植物</t>
  </si>
  <si>
    <t>·你使施法距离内一处150尺立方区域内的自然地形在视觉、听觉、嗅觉上都像是另一种自然地形。因此，开阔的平原或者一条路可能会变得像是一片沼泽，或是丘陵、裂谷以及其他困难地形，甚至是无法通过的地形。一个池塘可能变得看起来像一片草地，一个悬崖像是一个缓坡，或者使一条乱石沟像是一条宽阔平坦的道路。区域内经过加工的建筑、设备或生物的外表不会改变。
·地形的触觉特征不会改变，所以进入这片区域的生物可能会看穿幻象。如果触觉区别不明显，一个认真调查幻象的生物可以尝试进行一次对抗法术豁免DC的智力（调查）检定以揭穿幻象。对于一个识破了幻象本体的生物，幻象看起来就像是一层模糊的图像叠加在真实地形上。</t>
  </si>
  <si>
    <t>Hallucinatory Terrain</t>
  </si>
  <si>
    <t>冰风暴</t>
  </si>
  <si>
    <t>一撮尘土和几滴水</t>
  </si>
  <si>
    <t>·以施法距离内一点为中心的一处半径20尺，高40尺的柱状区域内，岩石般坚硬的冰雹重重地砸向地面。每个处在范围内的生物都必须进行一次敏捷豁免，豁免失败者将受到2d8点钝击伤害和4d6点冷冻伤害，豁免成功则伤害减半。
·冰雹使风暴影响的区域变为困难地形，直至你的下一回合结束。
·升环施法效应。使用5环或更高法术位施展该法术时，你使用的法术位每比4环高一环，钝击伤害就增加1d8。</t>
  </si>
  <si>
    <t>Ice Storm</t>
  </si>
  <si>
    <t>李欧蒙秘藏箱</t>
  </si>
  <si>
    <t>一个3尺×2尺×2尺，由稀有材料制成的精致箱子至少价值5,000gp；以及由同样材料制成的一个箱子的微缩模型至少价值50gp</t>
  </si>
  <si>
    <t>·你将一个箱子及其内容物藏在以太位面。你必须同时接触箱子和作为法术材料成分的微缩模型。箱子最多可容纳12立方尺的非活体物质（3尺×2尺×2尺）。
·箱子处于以太位面时，你可以用一个动作并触碰箱子的模型来召回箱子。箱子出现在你5尺内一个未被占据空间的地面。随后，你可以使用一个动作并同时触碰箱子与复制品来把箱子送回以太位面。
·60日之后，法术的效应会每日累计5%的概率自动结束。如果你再次施展该法术或箱子的模型被摧毁，又或者以一个动作终止该法术时，该法术的效应将随之终止。如果法术终止时箱子处于灵界，则其将不可挽回地丢失。</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</si>
  <si>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</si>
  <si>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</si>
  <si>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个体，不过你需要在30尺的近距离内看到过该类生物至少一次。如果被点名或描述的生物并不处于其原本的形态（例如正被一个变形术 Polymorph的法术效应影响时），则该法术无法定位该生物。
·如果至少10尺宽的流水横亘于你和被定位生物之间阻挡了二者间的通路，则该生物也无法被该法术所定位。</t>
  </si>
  <si>
    <t>Locate Creature</t>
  </si>
  <si>
    <t>魔邓肯忠犬</t>
  </si>
  <si>
    <t>一只微型银质哨子、一块骨头和一根线</t>
  </si>
  <si>
    <t>·指定施法距离内一处你能看见且未被占据的空间，你在该处创造出一只幻影守护犬。守护犬会在法术持续时间内留在原地，直到你使用一个动作将其解散，或者直到你移动到距它100尺外。
·除你之外的所有生物视守护犬处于隐形状态，且无法对其造成伤害。当一个小型或更大的生物进入守护犬30尺内时，如果该生物无法说出你在施法时设定的口令，守护犬则会开始大声吠叫。守护犬能看见隐形生物，也可以观察到以太位面，并且无视幻术的影响。
·在你的每回合开始时，守护犬会尝试啮咬其5尺范围内一个与你敌对的生物。它的攻击加值等于你施法关键属性调整值＋你的熟练加值。若命中，则造成4d8点穿刺伤害。</t>
  </si>
  <si>
    <t>Mordenkaine's Faithful Hound</t>
  </si>
  <si>
    <t>魔邓肯私人密室</t>
  </si>
  <si>
    <t>一片薄铅片、一块不透明的玻璃、一小块棉花或布料和贵橄榄石粉末</t>
  </si>
  <si>
    <t>·你对施法距离内一片区域施以魔法防护。该区域为一立方区域，其边长小至5尺，大至100尺。该法术一直持续至持续时间结束或施法者以一个动作主动解除。
·施展该法术时，其生效的保护内容由你决定。在以下几项属性中作选择，你可以选择若干项或者全部选择：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·每日在同一个位置施展此法术，持续一年，会使这些效果成为永久性效果。
·升环施法效应。使用5环或更高法术位施展此法术时，你使用的法术位每比4环高一环，你就可以将被保护的立方区域边长增加100尺。比如使用5环法术位时，你就能保护边长至多200尺的立方区域。</t>
  </si>
  <si>
    <t>Mordenkaine's Private Sanctum</t>
  </si>
  <si>
    <t>欧提路克弹力法球</t>
  </si>
  <si>
    <t>一块透明的半球形水晶和一块与之形状相配的半球形阿拉伯胶</t>
  </si>
  <si>
    <t>·一个微微发光的力场球将施法距离内一个大型或更小的生物或物件封在其中。一个非自愿的生物必须进行一次敏捷豁免，豁免失败则该生物在法术持续时间内被关封在球体中。
·任何事物——包括实体物件、能量或其它法术效应都不能穿透力场球的障壁进出其内，不过生物在球内仍可以正常呼吸。球体免疫一切伤害，且球内的生物或物件不能被来自球外的攻击或效果所伤害，球内的生物也不能对球外的事物造成伤害。
·该球体没有重量，而其尺寸刚好可以容纳球内的生物或物件。被封住的生物可以使用其动作推动球壁并以该生物速度的一半滚动球体。另外，球体也可以被其他生物拿起或移动。
·对球体施展解离术 Disintegrate后可以摧毁球体而不伤害球内的任何事物。
·补充：设计师说明类似任意门、雷霆步这样的【传送】效应可以在力场墙内外进出。</t>
  </si>
  <si>
    <t>Otiluke's Resilient Sphere</t>
  </si>
  <si>
    <t>魅影杀手</t>
  </si>
  <si>
    <t>·你指定施法距离内一个你能看见的生物，并窥探其噩梦以具象其最深的恐惧，依此创造一个只有目标能看见的幻象化身。目标生物必须进行一次感知豁免。豁免失败时，目标将在法术持续时间内陷入恐慌。在法术终止前，目标必须在其每回合结束时进行一次感知豁免，豁免失败则受4d10点心灵伤害。豁免成功则法术终止。
·升环施法效应。使用5环或更高的法术位施展该法术时，你使用的法术位每比4环高一环，伤害就增加1d10。</t>
  </si>
  <si>
    <t>Phantasmal Killer</t>
  </si>
  <si>
    <t>变形术</t>
  </si>
  <si>
    <t>一个毛毛虫茧</t>
  </si>
  <si>
    <t>·该法术将一个施法距离内你能看见的生物变化为一个新的形态。一个非自愿的生物必须进行一次感知豁免来避免此效应。该法术无法对变形生物或生命值为0的生物生效。
·法术产生的变化在法术持续时间内得以维持，或直至目标的生命值降为0或死亡。新形态可以是任何挑战等级小于等于目标本身的野兽（如果目标没有挑战等级，则以其等级为基准）。目标的游戏资料以及心智相关的属性值都将被所选定野兽的属性数据取代。而其阵营和个性则仍然保留。
·目标使用其新形态的生命值。当它变回正常形态时，则立即恢复变化前的生命值。如果目标因为生命值降至0而变回正常形态，则其正常形态需要承受所有的溢出伤害。只要溢出的伤害没有将该生物正常形态的生命值降为0，它就不会因打击而陷入昏迷。
·该生物可作出的动作因其新形态而有所限制。它不能说话，不能施法，也不能作出其他需要用手和需要说话的动作。
·目标的装备融入新形态中，但其不能启动，使用，挥舞或以其他方式从其装备上获得增益。</t>
  </si>
  <si>
    <t>Polymorph</t>
  </si>
  <si>
    <t>莫伊之影</t>
  </si>
  <si>
    <t>至少价值150gp的镶嵌在宝石里的不死生物的眼睛</t>
  </si>
  <si>
    <t>·如同火焰般的暗影完全笼罩住你的身体，使你对于其他人处于重度遮蔽，直到法术结束。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</si>
  <si>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</si>
  <si>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</si>
  <si>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·淡绿色的光线以你选择的距离内一点为中心扩散成半径30尺的球体。光线会蔓延过拐角，并一直持续到法术结束。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</si>
  <si>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</si>
  <si>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惊惧斩</t>
  </si>
  <si>
    <t>·你在法术持续时间内下一次用近战武器攻击命中某个生物时你的武器将同时贯穿对方的身体与心智。该攻击对目标造成额外4d6点心灵伤害。该目标必须进行一次感知豁免，豁免失败则目标进行攻击检定和属性检定时具有劣势，且不能执行反应直至其下一回合结束。</t>
  </si>
  <si>
    <t>Staggering Smite</t>
  </si>
  <si>
    <t>塑石术</t>
  </si>
  <si>
    <t>软粘土，必须捏成你想塑造的大致形状</t>
  </si>
  <si>
    <t>·你触碰一个体积为中型或更小的石质物件或某块岩石长宽高都不超过5尺的一部分，并将其塑造成你想要的任意形状。比如你可以将一块大石头变成一件武器、一尊塑像、一具棺材，也可以在石墙上开出一条小通道，前提是墙的厚度不能超过5尺。你也可以使一扇石门或石质门框变形来将门封死。你创造的物件最多可以有两条铰链和一道闩，除此之外不能以该法术能塑造出更复杂的机械结构。</t>
  </si>
  <si>
    <t>Stone Shape</t>
  </si>
  <si>
    <t>石肤术</t>
  </si>
  <si>
    <t>价值100gp的钻石粉尘作为该法术的耗材</t>
  </si>
  <si>
    <t>·该法术使你触碰的一个自愿生物皮肤变得硬如岩石。目标在法术终止前对非魔法的钝击、穿刺和挥砍伤害具有抗性。</t>
  </si>
  <si>
    <t>Stoneskin</t>
  </si>
  <si>
    <t>暴风球</t>
  </si>
  <si>
    <t>·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·在球体周围30尺内的生物在用于聆听的感知（观察）检定中具有劣势。
·升环施法效应。当你使用5环或更高的法术位施放该法术时，使用的法术位每比4环高一环，所有效应产生的伤害便各增加1d6。</t>
  </si>
  <si>
    <t>Storm Sphere</t>
  </si>
  <si>
    <t>异怪召唤术/召唤异怪灵魄</t>
  </si>
  <si>
    <t>至少价值400gp的一条腌制触手和一颗装在白金瓶中的眼球</t>
  </si>
  <si>
    <t>·你从遥远国度或另一个疯狂魔域召来一个灵魄。此灵魄在施法距离内你可见的一个未占据位置化为实体。这一实体使用下面的异怪灵魄Aberrant Spirit的数据。当你施展法术时，从类眼魔Beholderkin，史拉蟾Slaadi或星之子Star Spawn中选择一个。此生物的外形与你所选一致，其资料表中的部分特性也受此影响。当其生命值降到0或法术结束时，生物消失。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·升环施法效应。使用5环或更高法术位施展该法术时，该生物数据中使用更高的法术环阶。
异怪灵魄 Aberrant Spirit
中型异怪
AC：11+法术环阶（天生护甲)
HP：40+10每比4环高的法术环阶
速度 30尺，飞行30尺（仅限类眼魔，悬浮）
力量16（+3）  敏捷10（+0）  体质15（+2）
智力16（+3)   感知10（+0）  魅力6（-2）
伤害免疫：心灵
感官：黑暗视觉60尺，被动察觉10
语言：深潜语，懂你说的语言
挑战等级：—
熟练加值：与你相等
再生Regeneration（仅限史拉蟾）。异怪在其自己的回合开始时恢复5点生命值，前提是它至少有1点生命值。
低语灵光Whispering Aura（仅限星之子）。在异怪每个回合的开始时，其5尺内的每个生物必须成功通过一次对抗你的法术豁免DC的感知豁免，否则受到2d6点心灵伤害。
动作
多重攻击Multiattack。异怪发动等同于法术环阶一半的次数的攻击（向下取整）。
爪击Claws（仅限史拉蟾）。近战武器攻击：命中+你的法术攻击调整值，触及5尺，单一目标。伤害：1d10+3+法术环阶点挥砍伤害。如果目标是生物，其直到异怪下回合开始不能恢复生命值。
眼波射线Eye Ray（仅限类眼魔）。远程法术攻击：命中+你的法术攻击调整值，射程30尺，单一生物。伤害：1d8+3+法术环阶点心灵伤害。
灵能猛击Psychic Slam（仅限星之子）。近战法术攻击：命中+你的法术攻击调整值，触及5尺，单一生物。伤害：1d6+3+法术环阶点心灵伤害。</t>
  </si>
  <si>
    <t>Summon Aberration</t>
  </si>
  <si>
    <t>构装体召唤术/召唤构装灵魄</t>
  </si>
  <si>
    <t>至少价值400gp的一块华丽的石头和一个金属密码箱</t>
  </si>
  <si>
    <t>·你唤来一个构装生物灵魄。其在施法距离内你可见的一个未占据位置化为实体。这一实体使用下面的构装体灵魄Construct Spirit的数据。当你施展法术时，从粘土Clay，金属Metal或石Stone中选择一个材质。此生物的外形为一个你选定材质的魔像Golem或魔冢Modron，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构装体灵魄Construct Spirit
中型构装生物
AC：13+法术环阶 (天生护甲)
HP：40+15每比3环高的法术环阶（原文如此）
速度：30尺
力量18（+4）  敏捷10（+0）  体质18（+4）
智力14（+2)   感知11（+0）  魅力5（-3）
伤害抗性：毒素
状态免疫：魅惑，力竭，恐慌，失能，麻痹，石化，中毒
感官：黑暗视觉60尺，被动察觉10
语言：理解你说的语言
挑战等级：—
熟练加值：与你相等
灼热之躯Heated Body（仅限金属）。当一个生物在构装生物周边5尺范围内触碰或对其发动近战攻击命中时，将受1d10点火焰伤害。
石迷昏眠Stony Lethargy（仅限石）。当一个构装生物可见的生物在其10尺距离内开始回合时，构装生物可以强迫其进行一次感知豁免对抗你的法术豁免DC，豁免失败则其直到其下个回合开始前不能使用反应，且速度减半。
动作
多重攻击Multiattack。构装生物发动等同于法术环阶一半的次数的攻击（向下取整）。
猛击Slam。近战武器攻击：命中+你的法术攻击调整值，触及5尺，单一目标。伤害：1d8+4+法术环阶点钝击伤害
反应
狂怒乱击Berserk Lashing（仅限粘土）。当构装生物受到伤害时，对其5尺内的随机一个生物进行一次猛击攻击。如果在其触及范围内没有生物，则该构装生物会以其一半的速度朝着其可见的一个敌人移动，且不会引发借机攻击。</t>
  </si>
  <si>
    <t>Summon Construct</t>
  </si>
  <si>
    <t>召唤高等恶魔</t>
  </si>
  <si>
    <t>·你吐出污秽的词语，从无底深渊的无尽混沌中召唤来一只恶魔。你选择挑战等级为5或更低的一种恶魔类型，例如影魔Shadow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·升环施法效应。当你使用5环或更高的法术位施放该法术时，使用的法术位每比4环高一环，允许召唤的恶魔挑战等级就+1。</t>
  </si>
  <si>
    <t>Summon Greater Demon</t>
  </si>
  <si>
    <t>浓酸球</t>
  </si>
  <si>
    <t>一滴巨型蜗牛的胆汁</t>
  </si>
  <si>
    <t>·你指定距离之内的一点，一颗发光的1尺直径的强酸球飞向那里爆炸，酸液飞溅到20尺半径内的球形区域。在该区域中的每个生物必须进行一次敏捷豁免检定。若检定失败，其受到10d4点强酸伤害，并在其下个回合结束时再受到5d4点强酸伤害。若豁免成功，该生物只受到初始伤害的一半且不会在其下个回合结束时受到伤害。
·升环施法效应。当你使用5环或更高的法术位施放该法术时，使用的法术位每比4环高一环，初始伤害便增加2d4。</t>
  </si>
  <si>
    <t>Vitriolic Sphere</t>
  </si>
  <si>
    <t>火墙术</t>
  </si>
  <si>
    <t>一小块磷</t>
  </si>
  <si>
    <t>·你在施法距离内一块实体地面上创造出一面火墙。你可以选择创造长不过60尺、高不过20尺、厚不过1尺的直线型火墙；或是直径不过20尺、高不过20尺、厚不过1尺的环形火墙。火墙不透明，且将持续存在至法术终止。
·火墙出现时，所有位于火墙区域内的生物必须进行一次敏捷豁免。豁免失败者将受到5d8点火焰伤害。豁免成功则伤害减半。
·施展该法术时，你要必须选择火墙的哪一侧会造成伤害。生物在火墙伤害侧10尺内或在火墙区域内结束其回合时，将受到5d8点火焰伤害。生物在一个回合内第一次进入火墙或在火墙内结束其回合时也会受到同样的伤害。火墙的另一侧则不造成任何伤害。
·升环施法效应。使用5环或更高法术位施展该法术时，你使用的法术位每比4环高一环，法术的伤害就增加1d8。</t>
  </si>
  <si>
    <t>Wall of Fire</t>
  </si>
  <si>
    <t>碧水球</t>
  </si>
  <si>
    <t>·你在距离之内，你能看见的一点上召唤出一个半径5尺的水球。水球可以悬浮于空气中，但其离地高度不能超过10尺。水球将在法术的持续时间内持续存在。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·水球可以容纳至多4个中型（或更小的）生物，或是1个大型生物。若水球束缚了一个超过上限的生物，一个已经被束缚的随机生物将被排除，在水球周围5尺范围内摔倒。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·当此法术终止时，水球会掉落在地，熄灭其周围30尺内的所有普通火焰。任何被水球束缚的生物会在摔落点成为摔倒状态。随后水流会消失。</t>
  </si>
  <si>
    <t>Watery Sphere</t>
  </si>
  <si>
    <t>元素召唤术/召唤元素灵魄</t>
  </si>
  <si>
    <t>至少价值400gp的装有空气，一块鹅卵石，灰烬和水的黄金瓶</t>
  </si>
  <si>
    <t>·你唤来一个元素灵魄。其在施法距离内你可见的一个未占据位置化为实体。这一实体使用下面的元素灵魄Elemental Spirit的数据。当你施展法术时，从气Air，土Earth，火Fire或水Water中选择一个元素。此生物的外形如同一个周身缠绕着你所选元素的模糊二足人影，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·升环施法效应。使用5环或更高法术位施展该法术时，该生物数据中使用更高的法术环阶。
元素灵魄Elemental Spirit
中型元素生物
AC：11+法术环阶 (天生护甲)
HP：50+10每比4环高的法术环阶
速度：40尺，掘地40尺（仅限土），飞行40尺（悬浮）（仅限气），游泳40尺（仅限水）
力量18（+4）  敏捷15（+2）  体质17（+3）
智力4（-3)    感知10（+0）  魅力16（+3）
伤害抗性：强酸（仅限水），闪电和雷鸣（仅限气），穿刺和挥砍（仅限土）
伤害免疫：毒素，火焰（仅限火）
状态免疫：力竭，麻痹，石化，中毒，昏迷
感官：黑暗视觉60尺，被动察觉10
语言：原初语，懂你说的语言
挑战等级：—
熟练加值：与你相等
不定形态Amorphous Form（仅限风，火和水）。元素生物能够轻松穿过最窄1寸宽的狭窄空间而不用挤进去。
动作
多重攻击Multiattack。元素生物发动等同于法术环阶一半的次数的攻击（向下取整）。
猛击Slam。近战武器攻击：命中+你的法术攻击调整值，触及5尺，单一目标。伤害：1d10+4+法术环阶点钝击伤害（仅限气，土和水）或火焰伤害（仅限火）</t>
  </si>
  <si>
    <t>术Summon Elemental</t>
  </si>
  <si>
    <t>劳洛希姆心灵长枪</t>
  </si>
  <si>
    <t>·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·目标必须成功通过一次智力豁免，否则将受到7d6点心灵伤害并陷入失能，直至你的下回合开始。豁免成功则伤害减半且不会失能。
·升环施法效应。当你用5环或更高的法术位施展此法术时，你使用的法术位每比4环高一环，法术的伤害便增加1d6。</t>
  </si>
  <si>
    <t>Raulothim's Psychic Lance</t>
  </si>
  <si>
    <t>活化物件</t>
  </si>
  <si>
    <t>·物件在你的命令下“活”了过来。在施法距离内指定至多十个未被持用或穿戴的非魔法物件作为法术目标。其中，中型目标视为两个物件，大型目标视为四个物件，而巨型目标则视为八个物件，而你无法活化比巨型更大的物件。施法后，每个目标被唤起为受你控制的生物直至法术终止，或直至该生物生命值降至0。
·你可以使用一个附赠动作并以精神命令操纵500尺内任何你用此法术唤起的生物（如果你操纵多个生物，则你的命令可以
同时传达给它们全部或是其中的某几个，不过只能使用同一种命令）。你决定被操纵生物下回合的动作和移动。或者，你也可以选择下达宽泛的命令（比如守护某个房间或走廊）。没有接受到你命令的生物只会对敌对生物作出自卫行为。一旦被下达命令，该生物会持续执行命令直到任务完成。
·活化物件属性资料见额外信息
·被活化物件的AC、HP、攻击，以及力量和敏捷值由其体型决定。其体质为10，智力和感知为3，魅力为1。其速度为30尺，如果它没有腿或者类似的构造，则改为30尺的飞行速度并且可以悬浮。如果该物件被牢牢固定在某个表面或更大的物件上（例如被铁链拴在墙上），则其速度为0。其拥有30尺盲视感官，该感官范围之外则视为目盲状态。被活化物件的生命值降至0 时，即变回普通的物件，且以物件形态承受所有溢出的伤害。
·如果你命令活化物件发动攻击，则它可以对其5尺内的一个生物发动一次近战攻击。它将发动一记猛击并造成钝击伤害，相应的攻击加值和伤害由其体型决定。此外，DM还可以认定某些物件可以造成挥砍或穿刺伤害。
·升环施法效应。使用6环或更高法术位施展该法术时，你使用的法术位每比5环高一环，就多唤起两个物件。</t>
  </si>
  <si>
    <t>Animate Object</t>
  </si>
  <si>
    <t>防活物护罩</t>
  </si>
  <si>
    <t>·闪光的屏障环绕你周边10尺内的区域并以你为中心移动，其阻绝除不死生物和构装生物之外的生物类型。护罩持续存在至法术终止。
·护罩阻止受影响的生物穿过或进入其内，但受影响的生物可以使用法术，远程武器或长武器对护罩内部发动攻击。
·若你移动时迫使受影响生物进入护罩内，则法术随之终止。</t>
  </si>
  <si>
    <t>Antilife Shell</t>
  </si>
  <si>
    <t>启蒙术</t>
  </si>
  <si>
    <t>一块价值至少1000gp的玛瑙</t>
  </si>
  <si>
    <t>·利用施法的8小时引导一块昂贵宝石中的魔法回路后，你触碰一个巨型或更小的野兽或植物作为法术目标。目标必须没有智力值或智力小于等于3。受术后其智力变为10，且学会说一门你所掌握的语言。如果目标是植物，则他获得使用枝、根、藤、蔓或类似部位移动的能力，并获得类似于人类的感官。DM为启蒙植物决定属性数据，例子可参考怪物图鉴的启蒙灌木和启蒙树。
·被启蒙的植物或野兽在30日内处于被你魅惑的状态，或是直到你或你的盟友做出任何伤害它的举动。魅惑终止后，启蒙生物将根据你对待他的方式决定是否对你保持友善。</t>
  </si>
  <si>
    <t>Awaken</t>
  </si>
  <si>
    <t>放逐斩</t>
  </si>
  <si>
    <t>·你在法术终止前的下一次近战武器攻击命中某生物时将从武器中爆发巨力，使该次攻击对目标额外造成5d10点力场伤害。此外，如果本攻击将目标的生命值降低至50以下，则该生物被放逐。如果目标不是你所处位面的原住民，则他将被放逐回其家园位面。如果目标是你所处位面的原住民，则他将被放逐到一个无害的半位面。在半位面期间，该生物处于失能状态。直至法术终止时，目标将出现在其被放逐前的位置。如果该位置被占据，则目标将出现在距离该位置最近的一个未被占据空间。</t>
  </si>
  <si>
    <t>Banishing Smite</t>
  </si>
  <si>
    <t>毕格比之手</t>
  </si>
  <si>
    <t>一块蛋壳和一只蛇皮手套</t>
  </si>
  <si>
    <t>·你在施法距离内指定一处你能看见且未被占据的空间，并在该处创造出一只闪烁着微光的巨手。巨手在法术持续时间内维持存在，并听从你的命令模仿你手掌移动的方式进行移动。
·巨手视为一个大型物件，其AC为20，生命值等于你的生命值上限。如果它的生命值降至0则法术提前终止。其力量为26（+8），敏捷为10（+0）。巨手并不占据其所在的空间。
·施展此法术时，你可以令巨手移动至多60尺远并造成下列效应之一。你也可以在自己随后的回合里以一个附赠动作完成该效应。
·金刚拳Clenched Fist：巨手对自身5尺内的一个生物或物件发动打击。用你自身的游戏资料发动一次近战法术攻击，并在命中时造成4d8点力场伤害。
·飞击掌 Forceful Hand：巨手尝试对自身5尺内的一个生物进行推挤。用巨手的力量检定与目标的力量（运动）检定作对抗。如果目标为中型或更小的生物则你的检定具有优势。你胜出对抗时，目标将被推开数尺，其具体尺数等于5加上你施法关键属性调整值得五倍。巨手随着目标一起移动，并与之保持5尺的距离。
·擒拿掌 Grasping Hand：巨手尝试对自身5尺内的一个巨型或更小的生物进行擒抱。该擒抱的计算数据使用巨手的力量值。如果目标体型为中型或更小，则你的检定具有优势。在巨手擒抱目标期间，你可以使用一个附赠动作命令巨手对其进行挤压，并对目标造成2d6＋你的施法关键属性调整点钝击伤害。
·护身掌 Interposing Hand：巨手阻挡在你和一名你所选生物中间，直到你给他另一个命令为止。巨手不断移动保持在你和目标中间，使得你相对目标处于半身掩护。如果目标的力量值小于或等于巨手的力量值，则其无法穿过巨手的阻挡。如果其力量值高于巨手，则目标可以穿过巨手所在的空间，不过该空间必须被目标视为困难地形。
·升环施法效应。使用6环或更高法术位施展该法术时，你使用的法术位每比5 环高一环，则金刚拳的伤害提高2d8，擒拿掌的伤害提高2d6。</t>
  </si>
  <si>
    <t>Bigby's Hand</t>
  </si>
  <si>
    <t>原力法阵</t>
  </si>
  <si>
    <t>·你身上发出神圣能量并以扭曲散溢的魔法能量构成一个半径30尺的球状力场。法术持续时间内力场将以你为中心随你移动。力场范围内的友方生物（包括你自己）为对抗法术或其他魔法效应而进行的豁免检定具有优势。此外，受该法术效应影响的生物在对抗豁免成功则伤害减半的法术或魔法效应时，若成功则不受伤害。</t>
  </si>
  <si>
    <t>Circle of Power</t>
  </si>
  <si>
    <t>死云术</t>
  </si>
  <si>
    <t>·你在施法距离内指定一点，并以该点为中心创造一片20尺半径的球状黄绿色剧毒浓雾，且该浓雾会围绕拐角扩散。雾气在法术持续时间内维持存在，但仍会被强风吹散。而其存在区域则视为重度遮蔽。
·任何生物在一个回合内第一次进入法术区域，或者在区域内开始其回合时，必须进行一次体质豁免。豁免失败者将受到5d8点毒素伤害，豁免成功则伤害减半。该生物就算屏住呼吸或者不需要呼吸也会受到浓雾效应的影响。
·浓雾在你每回合开始时沿着地面向远离你的方向移动10尺。雾气比空气重，因此会沉落低洼地面甚至渗进地隙中。
·升环施法效应。使用6环或更高法术位施展该法术时，你使用的法术位每比5环高一环，法术的伤害就增加1d8。</t>
  </si>
  <si>
    <t>Cloudkill</t>
  </si>
  <si>
    <t>通神术</t>
  </si>
  <si>
    <t>焚香和一小瓶圣水或邪水</t>
  </si>
  <si>
    <t>·你与所信奉神祇或其代理人进行联系，并询问至多三个能以“是”或“否”回答的问题。你必须在法术终止前完成提问，并在随后分别获得每个问题的答案。
·这些神能存在也并非全知全能，因此当问题涉及的信息超过神祇的认知范围时，你可能会得到一句“不确定”作为回答。另外当一个单词可能引致误导，或者与神祇的兴致相违背时，DM可能会提供一句短语作为答案。
·若你在两次长休之间两次或更多次的施展该法术，则法术有一定的几率不给任何答复。此概率从第二次施展起每次累计25％。其具体结果由DM暗骰决定。</t>
  </si>
  <si>
    <t>Commune</t>
  </si>
  <si>
    <t>问道自然</t>
  </si>
  <si>
    <t>·你短暂的成为大自然的一部分并以此获得周围地形的信息。在户外时，该法术可以让你了解3里内大地的状况。在洞穴和其他天然地下场所中，其范围缩小为300 尺半径区域内。自然环境中被建筑覆盖的区域里（比如地下城或城镇中）法术无法生效。
·你立即获得的自然资讯至多与该地域三个方面的主题相关，在以下项目中进行选择。
→地形和水体
→区域内分布的植物，矿物，动物或人物
→强大的天界生物，精类生物，邪魔，元素生物或者不死生物
→受其他存在位面的影响
→建筑物
·例如，你可以侦测到某个强大不死生物在区域中的位置，干净安全的水源所在地，以及附近城镇的方位。</t>
  </si>
  <si>
    <t>Commune with Nature</t>
  </si>
  <si>
    <t>寒冰锥</t>
  </si>
  <si>
    <t>一个小水晶或玻璃锥</t>
  </si>
  <si>
    <t>·一片冷空气从你手上迸发而出。在60尺锥状区域内的每个生物必须进行一次体质豁免。豁免失败者将受到8d8点冷冻伤害，豁免成功则伤害减半。
·被该法术杀死的生物将成为一尊冰冻塑像并持续至被解冻。
·升环施法效应。使用6环或更高法术位施展该法术时，你使用的法术位每比5环高一环，法术伤害就增加1d8。</t>
  </si>
  <si>
    <t>Cone of Cold</t>
  </si>
  <si>
    <t>召唤元素生物</t>
  </si>
  <si>
    <t>气元素为点燃的焚香，土元素为陶土，火元素为硫和磷，水元素为水和沙子</t>
  </si>
  <si>
    <t>·你召唤出一个元素生物仆从。在施法距离内指定一处充满气、土、火、水四物质其一的10尺立方区域作为法术目标。例如，一只火元素从篝火中成型，而一只土元素则从地面上浮现。一个挑战等级5或者更低的元素生物从目标区域成型，并显现在该区域10尺内一处未被占据空间。该生物在生命值降至0时，或者法术终止时消失不见。
·被召唤的元素生物对你和你的伙伴保持友善关系。你为召唤出来的元素生物掷先攻权，并依此获得其自己的行动回合。该元素生物服从你发出的所有语言命令（不需要你作动作）。如果你不发出任何命令，该生物会在敌对生物前保护自己，如果没有敌对生物则不执行任何动作。
·如果你专注被打断，该元素生物并不会因此消失不见，但你会因此失去该元素生物的控制权。失控的元素生物对你和你的伙伴变为敌对，并随时准备发动攻击。不受控的元素生物无法被你解散，并在你的召唤开始算起1小时后消失不见。
·该元素生物的具体数值由DM掌控。
·升环施法效应。使用6环或更高法术位施展该法术时，你使用的法术位每比5环高一环，召唤生物挑战等级就增加1。</t>
  </si>
  <si>
    <t>Conjure Elemental</t>
  </si>
  <si>
    <t>万箭齐发</t>
  </si>
  <si>
    <t>·你向空中用远程武器射出一发非魔法的弹药或者掷出一把非魔法的投掷武器，并指定施法距离内一点，随后，无数以所发射弹药或武器为原型的复制体向该点倾盆而下，并在完成攻击后消失不见。箭雨充斥以目标点为中心半径40尺，高20尺的柱状区域，其内的每个生物都必须进行一次敏捷豁免，豁免失败者将受到8d8点伤害，豁免成功则伤害减半。法术所造成伤害的类型与用作法术成分材料的弹药或武器相同。</t>
  </si>
  <si>
    <t>Conjure Volley</t>
  </si>
  <si>
    <t>异界探知</t>
  </si>
  <si>
    <t>·你与一名半神，或者一个古老的贤者亡魂，又或是其他异位面的神秘实体建立了精神的连接。与这些跨位面亚种生物进行的知性接触可能会增加你的精神负担，甚至导致精神崩溃。当你施展此法术时，进行一个DC15的智力豁免。豁免失败时，你受到6d6点心灵伤害并因此而变得错乱，直至完成一个长休以结束该状态。处于错乱状态时，你不能执行动作，不能理解其他生物说的话也无法阅读，你说出口的也都是一些含糊不清的语句。对你施放法术高等复原术 Greater Restoration可以直接终止该效应。
·豁免成功时，你可以询问该实体五个问题。你必须在法术结束前提出你的问题。而你所提出的每条问题DM都可以用一个单词作回答，比如“是”“不是”“可能”“不可能”“没关系”或是“不清楚”（如果该实体不知道该问题答案时）。如果一个单词的答案可能导致误导，DM可能会用一句短语来作为问题的答案。</t>
  </si>
  <si>
    <t>Contact Other Plane</t>
  </si>
  <si>
    <t>疫病术</t>
  </si>
  <si>
    <t>7日</t>
  </si>
  <si>
    <t>·你的触碰带着疾病。你对触及范围内一个生物发动一次近战法术攻击。命中时，你选择使该生物承受以下描述的疾病之一。
·被触碰生物在每回合结束时必须进行一次体质豁免。在累计三次豁免失败后，该疾病效应将维持至法术持续时间结束，且该生物不再进行相应的体质豁免。在累计三次豁免成功后，该生物从疾病中恢复，并终止法术的效应。
·由于法术对目标引发的是自然疾病，因此任何移除疾病或改善疾病状况的效应都可以对受术生物产生影响。
·失明症 Blinding Sickness：痛苦缠绕着患病者的意志，并使其眼睛变成奶白色。患病生物进行感知检定和感知豁免时具有劣势，并且承受目盲状态。
·腐热症 Filth Fever：患者身体发起严重的高烧。患病生物进行力量检定和力量豁免时，以及发动基于力量的攻击检定时具有劣势。
·烂肉症 Flesh Rot：患者的肌肤逐渐腐朽。患病生物进行魅力检定时具有劣势，并且具有所有伤害类型的伤害易受。
·脑热症 Mindfire：患者头脑发热。患病生物进行智力检定和智力豁免时具有劣势，并且其在战斗中视为受到困惑术效应影响。
·癫痫症 Seizure：患者全身颤抖不止。患病生物进行敏捷检定和敏捷豁免时，以及发动基于敏捷的攻击检定时具劣势。
·恶心症 Slimy Doom：患者开始不受控地流血。患病生物进行体质检定和体质豁免时具有劣势。另外每当该生物受到伤害时都会陷入震慑状态，直至其下一回合结束。</t>
  </si>
  <si>
    <t>Contagion</t>
  </si>
  <si>
    <t>操控风力</t>
  </si>
  <si>
    <t>·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</si>
  <si>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</si>
  <si>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造物术</t>
  </si>
  <si>
    <t>所创造物品的一小部分</t>
  </si>
  <si>
    <t>特殊</t>
  </si>
  <si>
    <t>·你从堕影冥界取来一些暗影物质，并在施法距离内创造一个非活体的物件。你可以创造一个植物质（类似纺织品、绳索、木质等）的物件。也可以创造一个矿物质（类似石质、水晶、金属等）的物件。创造出来的物件大小必需在5尺立方内，且其形态与材质你必需曾经见过。
·法术的持续时间由所创造物件的材质决定。如果所创造物件由多种材质组合而成，则其存在时间取其中最短者。
材质                       持续时间
植物质vegetable matter      1日
石质stone或水晶crystal      12小时
贵金属precious metals       1小时
宝石gems                    10分钟
精金adamantine或秘银mithral 1分钟
·施展其他法术时，如果以这些创造物作为其材料成分将会使该法术施法失败。
·升环施法效应：使用6环或更高法术位施展该法术时，你使用的法术位每比5环高一环，创造物尺寸的立方边长就加大5尺。</t>
  </si>
  <si>
    <t>Creation</t>
  </si>
  <si>
    <t>骷髅之舞</t>
  </si>
  <si>
    <t>·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·你对这些生物的控制持续到法术结束，在那之后它们立即变回无生命状态。
·升环施法效应。当你使用6环或更高的法术位施放该法术时，使用的法术位每比5环高一环，你就可以活化额外的两具尸体。</t>
  </si>
  <si>
    <t>Danse Macabre</t>
  </si>
  <si>
    <t>拂晓</t>
  </si>
  <si>
    <t>价值至少100gp的旭日坠饰</t>
  </si>
  <si>
    <t>·拂晓之光落在施法距离内你指定的地点，形成一道30尺半径、40尺高度的明亮光柱。这个光芒被视为阳光。
·当光柱出现时，每个处于其中的生物都必须进行体质豁免，失败将受到4d10光耀伤害，成功则只承受一半。在光柱中结束回合的生物也必须再次进行这个豁免。
·如果你在光柱60尺内，你可以在你的回合以一个附赠动作将它移动60尺。</t>
  </si>
  <si>
    <t>Dawn</t>
  </si>
  <si>
    <t>湮灭波</t>
  </si>
  <si>
    <t>·你击打地面，并从身上爆发出一阵神圣能量。30尺范围内每个你所指定的生物都必须进行一次体质豁免。豁免失败者将受到5d6点雷鸣伤害以及5d6点光耀或黯蚀伤害（由你选择）并应击倒地，豁免成功则伤害减半且不会应击倒地。</t>
  </si>
  <si>
    <t>Destructive Wave</t>
  </si>
  <si>
    <t>反制善恶</t>
  </si>
  <si>
    <t>圣水或银铁粉末</t>
  </si>
  <si>
    <t>·发光的能量环绕着你，并保护你免受来自精类生物、不死生物和源于主物质位面外异域生物的伤害。天界生物、元素生物、精类生物、邪魔、不死生物对你发动攻击检定时具有劣势。
·你可以通过以下方式提前终止此法术。
·破除惑控 Break Enchantment：你使用动作触碰一个触及范围内的生物。如果该生物受天界生物、元素生物、精类生物、邪魔或不死生物影响而陷入魅惑、恐慌，或是被附身状态，则生物的这些状态即时结束。
·驱逐 Dismissal：你使用动作发动一次近战法术攻击，攻击一个天界生物、元素生物、精类生物、邪魔或不死生物。命中时，你可以尝试将该生物驱逐回其原属位面。该生物必须成功通过一此魅力豁免，否则将强制返回其原属位面（若已在原属位面则无效）。比如精类生物会返回妖精荒野，不死生物会返回堕影冥界。</t>
  </si>
  <si>
    <t>Dispel Evil and Good</t>
  </si>
  <si>
    <t>支配人类</t>
  </si>
  <si>
    <t>·你试图安抚一个施法距离内你能看见的类人生物，目标生物必须必须成功通过一次感知豁免，否则将在法术持续时间内被你魅惑。若它正与你或你的友方生物战斗，则其进行该豁免时具有优势。
·目标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6环法术位施展该法术时，持续时间变为：专注，至多10分钟。使用7环法术位施展该法术时，持续时间变为：专注，至多1小时。使用8环或更高法术位施展该法术时，持续时间变为：专注，至多8小时。</t>
  </si>
  <si>
    <t>Dominate Person</t>
  </si>
  <si>
    <t>托梦术</t>
  </si>
  <si>
    <t>一把沙子，一点墨水，和一支从沉睡的鸟儿身上拔下的可书写羽毛</t>
  </si>
  <si>
    <t>·此法术将塑造一个生物的梦境。指定一个你已认知且与你同处一个位面的生物。那些不睡眠的生物（比如精灵），则不会被该法术影响。你或一个被你触碰的自愿生物，将作为信使进入出神状态。该状态下，信使能够意识到自己周围的状况，但是不能执行动作或进行移动。
·如果目标正睡着，则信使可以进入其梦中并在其沉睡期间与之交流。信使可以在法术持续时间内在梦中创造景观、物件和其他影像。信使可以随时结束出神状态并提前终止法术效应。而目标在完全醒来后，可以回忆其梦境的内容。如果你施法时目标醒着，则信使可以了解到这点。此时信使可以终止出神和法术，或是等待目标入睡再进入其梦境。
·你可以让信使以可怕的形象出现。但此时信使只能提供不超过十个单词的信息，而且目标必须成功通过一次感知豁免。豁免失败时，怪影萦绕的噩梦就会影响目标的睡眠，使其无法从休息中获益。并且在其醒来时受到3d6点心灵伤害。
·如果你拥有目标身体的部分，比如头发，指甲或类似的东西。则目标进行该豁免时具有劣势。</t>
  </si>
  <si>
    <t>Dream</t>
  </si>
  <si>
    <t>汲能术</t>
  </si>
  <si>
    <t>·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·每次法术对目标造成伤害，你都可以恢复目标受到点黯蚀伤害量的一半生命值。
·升环施法效应。当你使用6环或更高的法术位施放该法术时，使用的法术位每比5环高一环，伤害便增加1d8。</t>
  </si>
  <si>
    <t>Enervation</t>
  </si>
  <si>
    <t>渺远步</t>
  </si>
  <si>
    <t>·你传送至60尺内一处你可见且未被占据的空间。在法术结束之前你的每个回合，你都可以用附赠动作再次通过这个方法传送。</t>
  </si>
  <si>
    <t>Far Step</t>
  </si>
  <si>
    <t>焰击术</t>
  </si>
  <si>
    <t>一小撮硫磺</t>
  </si>
  <si>
    <t>·一支圣火立柱从天堂带着呼啸降落在你指定的一处地点。圣火以施法距离内指定点为源点形成一处半径10尺、高40尺柱状区域，其内的每个生物必须进行一次敏捷豁免。豁免失败者将受到4d6 点火焰伤害和4d6点光耀伤害，豁免成功则伤害减半。
·升环施法效应。使用6环或更高法术位施展该法术时，你使用的法术位每比5环高一环，其火焰伤害或光耀伤害（自选其一）就增加1d6。</t>
  </si>
  <si>
    <t>Flame Strike</t>
  </si>
  <si>
    <t>指使术</t>
  </si>
  <si>
    <t>30日</t>
  </si>
  <si>
    <t>·你对施法距离内你能看见的一个生物置入一条魔法命令，并强迫其执行相应的某种服务或克制某种行为，甚至遵照你的要求行动。如果该生物可以理解你的意思，则它必须成功通过一次感知豁免，否则将在法术持续时间内被你魅惑。被魅惑生物每次作出与你的命令相悖的行为时，即受到5d10点心灵伤害。该伤害一日至多生效一次。且不能理解你意思的生物不受该法术影响。
·除了涉及导致必死结果的行为外，你向目标下达的任何命令都会生效。如果你发布自杀指令则法术即时终止。
·你可以用一个动作解除命令并终止法术。法术如移除诅咒 Remove Curse，高等复原术 Greater Restoration或祈愿术 Wish同样可以终止该法术。
·升环施法效应。使用7环或8环法术位施展该法术时，持续时间变为1年。使用9环法术位施展该法术时，法术将一直持续至被上文提及的法术所终止。</t>
  </si>
  <si>
    <t>Geas</t>
  </si>
  <si>
    <t>高等复原术</t>
  </si>
  <si>
    <t>价值至少100gp的钻石粉，作为该法术的耗材</t>
  </si>
  <si>
    <t>·你为一个触碰到的生物灌注正能量来解除一项弱化效应。你可以使目标的力竭等级降低一级，或者选择终止目标身上的下列效应之一：
→一项影响目标的魅惑或石化效应
→一项诅咒，包括目标与一件被诅咒魔法物品的调谐
→对目标某项属性值的减损
→一项降低目标生命值上限的效应</t>
  </si>
  <si>
    <t>Great Restoration</t>
  </si>
  <si>
    <t>圣居</t>
  </si>
  <si>
    <t>价值至少1,000gp的草药、油与熏香，作为该法术的耗材</t>
  </si>
  <si>
    <t>·你触碰一点并将神圣（或邪秽）的力量注入该点周围。区域半径至多60尺，若此区域内包含了已被另一个圣居术影响的区域，则此次施法失败。受法术影响的区域具有以下效应。
·首先，天界生物、元素生物、精类生物、邪魔和不死生物无法进入该区域，这些生物也不能对区域内的生物进行魅惑，恐慌或附身。任何被这些生物魅惑，恐慌或附身的生物只要进入该区域后将不再处于魅惑，恐慌或被附身的状态。你可以从上述生物类别中选择一种或更多，使之不受该效应影响。
·其次，你可以为该区域绑定一种额外效应。从下列效应选项中选择其一，或从DM提供的效应中选择其一生效。其中某些影响区域内生物的效应可以被设定为影响所有生物，影响追随某特定神明或领袖的生物，或是只影响特定生物种类（例如兽人或巨魔）。当一个可受影响生物在一个回合里首次进入该区域，或是在区域内开始其回合时，它可以进行一次魅力豁免。豁免成功则该生物无视此额外效果直至其离开该区域。
·勇气 Courage：区域内的受影响生物不受恐慌。
·黑暗 Darkness：区域内处于黑暗环境，普通光源以及比本法术施展法术位更低环阶法术所创造的光源均无法照亮该区域。
·昼明 Daylight：区域内处于明亮光照，比本法术施展法术位更低环节法术所创造的黑暗无法掩盖亮光。
·能量防护 Energy Protection：区域内受影响生物对一种由你指定的伤害类型具有抗性，所选类型不包括钝击、穿刺和挥砍。
·能量易伤 Energy Vulnerability：区域内的受影响生物对一种由你指定的伤害类型具有易伤，所选类型不包括钝击、穿刺和挥砍。
·永恒安息 Everlasting Rest：区域内埋葬的尸体不能被转化成不死生物。
·次元干涉 Extradimensional Interference：受影响生物不能通过传送，也不能通过异次元或跨位面途径作移动和旅行。
·恐惧 Fear：区域内的受影响生物陷入恐慌。
·沉默 Silence：声音无法从区域内发出，区域外的声音也不能传到区域内。
·巧言 Tongues：受影响生物与区域内的任何其他生物即使语言不通也可以随意交流。</t>
  </si>
  <si>
    <t>Hallow</t>
  </si>
  <si>
    <t>怪物定身术</t>
  </si>
  <si>
    <t>·指定施法距离内一个你能看见的生物。该目标必须进行一次感知豁免，豁免失败则其在法术持续时间内陷入麻痹。该效应对不死生物无效。目标在其每回合结束时可以再进行一次感知豁免，豁免成功则终止其身上该法术的效应。
·升环施法效应。使用6环或更高法术位施展该法术时，你使用的法术位每比5环高一环，你就可以额外指定一个生物。指定目标时，每个目标生物必须身处其他目标30尺范围内。</t>
  </si>
  <si>
    <t>Hold Monster</t>
  </si>
  <si>
    <t>神圣武器</t>
  </si>
  <si>
    <t>·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</si>
  <si>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</si>
  <si>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</si>
  <si>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·若此法术造成的伤害杀死了目标，目标化为灰烬。</t>
  </si>
  <si>
    <t>Immolation</t>
  </si>
  <si>
    <t>地狱呼唤</t>
  </si>
  <si>
    <t>一块价值至少999gp的红宝石</t>
  </si>
  <si>
    <t>·说出黑暗的咒语，你从九狱之中召唤来魔鬼。你选择挑战等级在6或更低的一种魔鬼的类型，例如猬魔Barbed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·如果你的专注在法术到达完整的持续时间之前中断，且魔鬼已经免疫了你的口头命令，那么它不会立即消失，而是在消失之前以它选择任何方式活动3d6分钟。
·如果你拥有某个特定的魔鬼邪符，并且它的挑战等级在法术允许的适当范围+1里，你可以召唤那个魔鬼，它会遵从你的命令而你无需魅力检定。
·升环施法效应。当你使用6环或更高的法术位施放该法术时，使用的法术位每比5环高一环，允许召唤的魔鬼挑战等级就+1。</t>
  </si>
  <si>
    <t>Infernal Calling</t>
  </si>
  <si>
    <t>疫病虫群</t>
  </si>
  <si>
    <t>少许糖，一些脱壳的谷粒和一抹油脂</t>
  </si>
  <si>
    <t>·你指定施法距离内一点，并以该点为中心使半径20尺的球状区域内堆满成群的噬人蝗虫。虫群会绕过拐角扩散并使整个区域成为困难地形，且处于轻度遮蔽。虫群在法术终止前都会持续存在。
·当虫群显现时，其区域内的每个生物都必须进行一次体质豁免，豁免失败则受到4d10点穿刺伤害，豁免成功则伤害减半。生物在一个回合内第一次进入该区域内，或者在区域内结束其回合时，也必须进行该豁免。
·升环施法效应。使用6环或更高法术位施展该法术时，你使用的法术位每比6环高一环，伤害就增加1d10。</t>
  </si>
  <si>
    <t>Insect Plague</t>
  </si>
  <si>
    <t>通晓传奇</t>
  </si>
  <si>
    <t>价值至少250gp的熏香，作为法术的耗材。以及每块价值至少50gp的四块象牙板</t>
  </si>
  <si>
    <t>·点名或描述一个人物，或一处地点、一个物件。并用法术在你脑海中形成一段关于该事物重要传闻的简单概述。传闻可能是最近的流言，也可能是被遗忘的故事或不曾为人知晓的秘闻。如果该事物没有任何传奇事迹，则你不会获得任何信息。你掌握目标越多的信息，所得到的信息就越精确细致。
·你由此得到的信息必定是准确的，但仍可能会以隐晦的话语表达。例如，如果你拿着一把神秘的魔法斧，则该法术可能会给你如下信息：“斧头嫉恶如仇，触碰其之邪恶者即受其苦痛惩戒，哪怕仅是光身斧柄也会反噬恶人之手。斧头的真正威力正在沉睡，唯有真正的石之子——那些爱慕着摩拉丁又被其眷恋之人在双唇咏出圣言鲁那格Rudnogg时才能将其唤醒。”</t>
  </si>
  <si>
    <t>Legend Lore</t>
  </si>
  <si>
    <t>大漩涡</t>
  </si>
  <si>
    <t>漏斗形状的纸张或叶片</t>
  </si>
  <si>
    <t>·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</si>
  <si>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</si>
  <si>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群体疗伤术</t>
  </si>
  <si>
    <t>·一波治愈的能量从施法距离内你指定的一点奔涌而出。你在该点周边30尺半径的球状区域内指定至多六个生物，并使每个目标生物回复一定的生命值，其数值等于3d8＋你的施法关键属性调整值。该法术对不死生物和构装生物无效。
·升环施法效应。使用6环或更高法术位施展该法术时，你使用的法术位每比5环高一环，其治疗量就增加1d8。</t>
  </si>
  <si>
    <t>Mass Cure Wounds</t>
  </si>
  <si>
    <t>假象术</t>
  </si>
  <si>
    <t>·你变为隐形，同时在你站的地方出现一个和你一样的幻象分身。分身会持续存在至法术持续时间结束；但如果你发动攻击或施展法术，则终止该隐形效应。
·你可以用你的动作将分身以至多两倍于你的速度移动，并且可以让他打手势、说话，以及以任何你指定的方式行事。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t>
  </si>
  <si>
    <t>Mislead</t>
  </si>
  <si>
    <t>篡改记忆</t>
  </si>
  <si>
    <t>·你尝试重塑另一个生物的记忆。迫使一个你能看见的生物进行一次感知豁免。如果你正与该生物战斗，则它进行该豁免时具有优势。豁免失败时，该生物会在法术持续时间内被你魅惑。被魅惑的目标陷入失能状态且无法感知周边的事物，但它仍然能听到你的声音。如果它受到任何伤害或者成为另一个法术的目标，则该法术终止且目标的记忆不会被修改。
·该魅惑状态持续时，你可以改变目标关于过去24小时内经历的一个持续时间不超过十分钟的事件记忆。你可以永久地消除所有关于该事件的记忆，也可以让目标完美清晰地回忆起该事件的所有细节，甚至可以改变目标关于该事件记忆细节，或创造一段关于其他事情的记忆。
·你必须通过话语来描述如何改变目标的记忆，并且目标必须能够听懂你的语言以便你植入被改变后的记忆。目标的意识会将你描述中所有缺失的细节填补完全。如果法术在你描述完被修改的记忆前就结束，则目标的记忆不会被改变，否则修改过的记忆会在法术终止时根植于目标心中。
·修改过的记忆不一定会影响生物的行为，特别是当修改后的记忆违背了目标的天性，阵营或信仰时。如果植入一段不合逻辑的记忆（例如你灌输给目标关于它有多么享受在强酸中泡澡的记忆），则目标会直接忽视该记忆，或者将其视为自己作的一场噩梦。DM也可以判定某段修改过的记忆太过荒谬，而无法影响生物的关键行为。
·对目标施展法术移除诅咒 Remove Curse或高等复原术 Greater Restoration后即可使目标恢复真实的记忆。
·升环施法效应。使用6环或更高法术位施展该法术时，你可以改变目标关于过去7日内（6环）、30日内（7环）、1年内（8环）或者在过去任意时刻（9环）所发生事件的记忆。</t>
  </si>
  <si>
    <t>Modify Memory</t>
  </si>
  <si>
    <t>负能量洪流</t>
  </si>
  <si>
    <t>一块破碎的骨头和一块方形的黑色丝绸</t>
  </si>
  <si>
    <t>·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·如果你以不死生物作为目标使用该法术，目标不需要进行豁免检定，取而代之的是目标得到5d12的一半作为临时生命。</t>
  </si>
  <si>
    <t>Negative Energy Flood</t>
  </si>
  <si>
    <t>穿墙术</t>
  </si>
  <si>
    <t>一撮芝麻</t>
  </si>
  <si>
    <t>·你指定施法距离内你能看见的表面上一点，并使该处在法术终止前持续显现一条通道。所选表面必须属于木质，灰质或石质（比如墙，屋顶或地面）。而开口的大小则由你指定：其尺寸至多5尺宽，8尺高，20尺深。另外，该通道并不会使其周围结构产生不稳定。
·开口消失时，任何还留在该通道中的生物或物件都会被安全的弹至距受术表面最近的未占据空间。</t>
  </si>
  <si>
    <t>Passwall</t>
  </si>
  <si>
    <t>异界誓缚</t>
  </si>
  <si>
    <t>一枚价值至少1000gp的宝石，作为该法术的耗材</t>
  </si>
  <si>
    <t>·你尝试以该法术与一个生物建立誓约使其为你服务，该生物可以是天界生物、元素生物、精类或邪魔。该生物在整个施法过程中必须在法术的施法距离内。典型的情况下，在施展该法术前，生物会先被召唤到一个反向作用的防护法阵 Magic Circle中困住。施法完成后，目标必须进行一次魅力豁免。豁免失败则目标在法术持续时间内与你建立誓约并服务于你。如果该生物由其他法术所召唤或创造，则维持其存在的法术持续时间被延长至符合本法术的持续时间。
·一个已建立誓约的生物必须尽其最大的能力遵从你的指示。你可以命令该生物在你冒险时陪伴你，或守卫一个地点，又或者传递一个信息。该生物将遵从你所下达指示的字面意义，但是如果此生物与你敌对，则它会努力曲解你的字面意思来达到它自己的目标。如果生物在法术终止前全部完成了你的指示而你们仍处于同一位面时，则它会到你面前向你汇报。如果你们处与不同位面，则它会回到其建立誓约之地，并呆停留该处直至法术终止。
·升环施法效应。使用6环法术位施展该法术时，法术持续时间增为10日，7环则增为30日，8环为180日，9环为一年零一日。</t>
  </si>
  <si>
    <t>Planar Binding</t>
  </si>
  <si>
    <t>死者复活</t>
  </si>
  <si>
    <t>一颗至少价值500gp的钻石，作为该法术的耗材</t>
  </si>
  <si>
    <t>·你触碰一个已死的生物，使其复活。该生物的死亡时间必须不超过10日。如果该生物的灵魂愿意并且能够回到其身体中，则它将以1点生命值重生。该法术同样会中和该生物生前体内的毒素以及罹患的非魔法疾病，但对于魔法造成的疾病、诅咒和类似的效应则无能为力；如果没有在复活前治愈这些效应，则它们在该生物重获生命的时候继续生效。该法术不能复活不死生物。
·该法术能治愈所有致命伤，但无法恢复失去的身体部位。如果该生物缺失了它生存所必要的身体部位或器官（比如头），则该法术自动失败。
·死而复生是一个痛苦的体验。复活的目标在随后进行攻击检定、豁免检定和属性检定时具有－4减值。该目标每完成一次长休，其减值就减少1，依次叠加直至减值完全消失。</t>
  </si>
  <si>
    <t>Raise Dead</t>
  </si>
  <si>
    <t>拉瑞心灵联结</t>
  </si>
  <si>
    <t>两种不同生物的蛋壳碎片</t>
  </si>
  <si>
    <t>·你与施法距离内至多八个自愿生物建立心灵连线。在法术持续时间内，连线的每个生物的心灵都和其他全部受术生物相连。智力值为2或更低的生物不受该法术影响。
·在该法术终止前，所有受术生物都可以通过心灵连线与其他受术生物进行心灵交流，而不论他们是否语言相通。该交流方式可以跨越任意远近的距离但不能跨位面进行。</t>
  </si>
  <si>
    <t>Rary's Telepathic Bond</t>
  </si>
  <si>
    <t>转生术</t>
  </si>
  <si>
    <t>价值至少1000gp的稀有油和软膏，作为该法术的耗材</t>
  </si>
  <si>
    <t>·你触碰一个类人生物的遗体或遗体的一部分，以此创造出一具新的成年身体，并呼唤该生物的灵魂进入此新身躯。该生物死亡时间必须不超过10日。此外，如果目标生物的灵魂此时不能或者不愿意完成该过程，则法术失败。
·该法术要为目标生物创造出一具新的身体，因此很可能导致该生物的种族发生变动。DM可以投一个d100来判定该生物以何种形态复生，也可以直接由DM选择一种形态。
d100  种族
01~04 龙裔
05~13 丘陵矮人
14~21 山地矮人
22~25 黑暗精灵
26~34 高等精灵
35~42 木精灵
43~46 林侏儒
47~52 岩侏儒
53~56 半精灵
57~60 半兽人
61~68 轻足半身人
69~76 强魄半身人
77~96 人类
97~00 提夫林
·转生后的生物保留其前生记忆和经验。受术者保留原形的一切能力，不过其种族特性将以新种族的相应特性做更替。</t>
  </si>
  <si>
    <t>Reincarnate</t>
  </si>
  <si>
    <t>探知</t>
  </si>
  <si>
    <t>一个至少价值1,000gp的聚焦镜，例如水晶球、银镜、圣水盆</t>
  </si>
  <si>
    <t>·你能看见和听见一个和你处于同一存在位面上的生物。目标生物必须进行一次感知豁免；该豁免的调整值与你对目标的了解程度有关，也与你和目标之间的物理联系程度有关。如果目标知道你在施展该法术，而它又愿意被你观察，则它可以自愿放弃该豁免。
了解程度                      豁免调整值
二手信息（你曾经听说过受术者） +5
直接信息（你曾经见过受术者）   +0
熟悉（你对受术者很了解）       -5
联系程度                      豁免调整值
肖像或图像                     -2
所有物或衣物                   -4
身体部位，头发，指甲或类似物件 -10
·如果对方豁免成功，则目标不受该法术影响，并且在24小时内你不能尝试探知同一个目标。如果对方豁免失败，则你在目标身边10尺内创造出一个隐形的传感器。通过传感器，你可以身临其境地看见和听见周围的环境。传感器会跟随目标移动，并在法术持续时间内始终保持在目标10尺之内。在能够看破隐形的生物眼中，你的探传感器是
一个拳头大小的光球。
·除生物之外，你也可以选择一个你以前见过的地点作为该法术的目标。这时，传感器会出现在目标地点且不会移动。</t>
  </si>
  <si>
    <t>Scrying</t>
  </si>
  <si>
    <t>伪装术</t>
  </si>
  <si>
    <t>·该法术允许你修改施法距离内你能看见的任意数量生物的外观。你对指定的每个目标生物分别赋予一个虚假的新外貌。不愿意受该法术影响的目标可以进行一次魅力豁免，豁免成功则不受该法术影响。
·该法术能改变生物的物理外观，也能伪装出服装、护甲、武器和装备。肉眼看来目标的身高可以有1尺的增减，体态可胖可瘦可匀称。但是你不能改变身体的形状，所以目标变形的样子必须有四肢或类似的生理结构。此外，你可以随意改变其他的外观特征。该法术一直持续至持续时间结束，不过你可以用一个动作提前将其解除。
·此法术产生的变化无法应对物理检查。比如，你用此法术添了一顶帽子，那么现实物件会穿过帽子，且触碰帽子的人会摸不到任何东西或摸到的是目标的头和头发。若你用该法术让目标变得消瘦，别人用手触碰该目标时，看起来就像用手摸着空气。
·一个生物可以使用其动作仔细观察一个目标，并进行一次对抗法术豁免DC的智力（调查）检定以。检定成功则观察者将一时到目标进行了伪装。</t>
  </si>
  <si>
    <t>Seeming</t>
  </si>
  <si>
    <t>授予技能</t>
  </si>
  <si>
    <t>·你的魔法加深了生物对自己才华的理解。你触碰一个自愿生物，并给予它你选择的一项技能的专精；直到法术结束之前，生物每次在使用选择的技能进行属性检定时都可以将它的熟练值加倍。
·你所选择的技能必须是目标已经熟练的并且没有受益于其他类似将熟练值加倍的效果，例如专精Expertise。</t>
  </si>
  <si>
    <t>Skill Empowerment</t>
  </si>
  <si>
    <t>钢风斩</t>
  </si>
  <si>
    <t>一把价值至少1sp的近战武器</t>
  </si>
  <si>
    <t>·你舞动用于施法的武器，随后忽然消失并发起袭击，恰如同一阵钢铁的疾风。选择施法距离内最多5个可见生物。进行一次近战法术攻击检定对抗每个生物。若击中，每个目标承受6d10力场伤害。
·在这之后，你可以传送到一个你击中或未击中的生物周围5尺内，你可以看见的未被占据的空间。</t>
  </si>
  <si>
    <t>Steel Wind Strike</t>
  </si>
  <si>
    <t>天界生物召唤术/召唤天界灵魄</t>
  </si>
  <si>
    <t>一个至少价值500gp的金制圣物匣</t>
  </si>
  <si>
    <t>·你从上层位面召来一个灵魄。此灵魄在施法距离内你可见的一个未占据位置化为实体。这一实体使用下面的天界灵魄Celestial Spirit的数据。当你施展法术时，从复仇圣灵Avenger或守护圣灵Defender中选择一个。此生物资料表中的攻击方式由你的选择决定。当其生命值降到0或法术结束时，生物消失。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·升环施法效应。使用6环或更高法术位施展该法术时，该生物数据中使用更高的法术环阶。
天界灵魄 Celestial Spirit
大型天界生物
AC：11+法术环阶 (天生护甲)+2（仅限守护圣灵）
HP：40+10每比5环高的法术环阶
速度：30尺，飞行40尺
力量16（+3）  敏捷14（+2）  体质16（+3）
智力10（+0)   感知14（+2）  魅力16（+3）
伤害抗性：光耀
状态免疫：魅惑，恐慌
感官：黑暗视觉60尺，被动察觉12
语言：天界语，懂你说的语言
挑战等级：—
熟练加值：与你相等
动作
多重攻击Multiattack。天界生物发动等同于法术环阶一半的次数的攻击（向下取整）。
光耀之弓Radiant Bow（仅限复仇圣灵）。远程武器攻击：命中+你的法术攻击调整值，射程150/600尺，单一目标。伤害：2d6+2+法术环阶点光耀伤害。
光耀之锤Radiant Mace（仅限守护圣灵）。近战武器攻击：命中+你的法术攻击调整值，触及5尺，单一目标。伤害：1d10+3+法术环阶点光耀伤害，且天界生物可选择自己或其10尺内可见的另一生物。选定生物获得1d10点临时生命值。
治愈之触Healing Touch（1/日）。天界生物触碰另一生物。目标魔法性地恢复目标等同于2d8+法术环阶点生命值。</t>
  </si>
  <si>
    <t>Summon Celestial</t>
  </si>
  <si>
    <t>迅捷箭袋</t>
  </si>
  <si>
    <t>一个箭袋，其内至少要有一发弹药</t>
  </si>
  <si>
    <t>·你对箭袋施展该法术，使其可以凭空创造出无尽的非魔法弹药，而你只要把手伸进箭袋里就会有弹药自己跳到你的手中。
·直至法术结束前，你的每一回合都可以用一个附赠动作发动两次攻击，但用以发动攻击的武器必须使用受术箭袋中的弹药。你每次完成这种攻击时，箭袋上的魔法便会自动创造出一发同样的非魔法弹药作为补充。法术终止时，该法术创造出来的所有弹药都将自行分解消失。当你不再持有该箭袋时，该法术也即刻终止。</t>
  </si>
  <si>
    <t>Swift Quiver</t>
  </si>
  <si>
    <t>突触静止</t>
  </si>
  <si>
    <t>·你选择距离内的一点，并在那里引发心灵能量的爆炸。以那一点为圆形，20尺半径球形范围内的每个生物必须进行一次智力豁免检定。智力值为2或更低的生物不受该法术的影响。豁免失败的生物受到8d6心灵伤害，成功则只承受一半。
·豁免失败生物的思想会在1分钟内变得混乱。在持续时间中，投掷一个d6，每次它进行攻击检定、属性检定和因为维持专注进行体质豁免检定时，它都要从结果上减去这个数值。在目标的每个回合结束它都可以重新进行智力豁免检定，若成功将结束这个效果对自己的影响。</t>
  </si>
  <si>
    <t>Synaptic Static</t>
  </si>
  <si>
    <t>心灵遥控</t>
  </si>
  <si>
    <t>·你获得以意念移动操纵生物或物件的能力。施展该法术时，你可以对施法距离内一个你能看见的生物或物件以你的意念造成下列详述的效应。你也可以在随后法术持续时间内的自己的任一回合里以一个动作实现该行为。你可以一轮接一轮地影响同一个目标，也可以在任何时候选择一个新的目标。如果你改变了目标，则之前的目标将不再受该法术影响。
·生物 Creature：你可以尝试移动一个巨型或更小的生物。以你的施法关键属性进行一次属性检定，并与目标生物的力量检定进行对抗。如果你在对抗中胜出，则你可以使该生物朝任何方向（包括竖直向上）移动30尺，但不能让它离开施法距离。在你的下一回合结束前，该生物将被你的遥控抓握束缚。而被朝正上方抬起的生物会在半空中悬停。
  在随后的回合中，你可以再次进行前面进行过的对抗来尝试继续抓住该生物（消耗一个动作）。
·物件 Object：你可以尝试移动一个重量不超过1000磅的物件。如果该物品没有被任何生物所着装或携带，则你可以自动使它朝任何方向移动30尺，但不能让它离开施法距离。
  如果该物件已被着装或携带，则你必须以你的施法关键属性进行一次属性检定，并与该生物的力量检定进行对抗。如果你在对抗中胜出，则你可以把目标物件从该生物身上拿走，并且使该物体朝任意方向移动30尺（但不能让它离开施法距离）。
·你可以使用心灵遥控来对物体进行精密操作，例如操纵一件简单的工具，打开一扇门或一个容器，把东西放进或拿出一个打开的容器中，或是把一个小瓶子里的东西倒出来。</t>
  </si>
  <si>
    <t>Telekinesis</t>
  </si>
  <si>
    <t>传送法阵</t>
  </si>
  <si>
    <t>稀有粉笔和浸有价值50gp珍稀宝石的墨水，作为该法术的耗材</t>
  </si>
  <si>
    <t>·施展该法术时，你在地上画出一个直径十尺的圆圈，并在其周围画出符文。这个圆形法阵将你所处的位置与你选择的一个与你处在同个位面上的永久传送法阵相连（你必须知道该法阵的符文序列）。圆圈中将打开一个发光的传送门，并一直维持到你的下一回合结束。任何进入传送门的生物将立即出现在目标法阵附近5尺内（如果该空间已被占据，则出现在最靠近目标法阵的未被占据空间）。
·许多神殿、公会和其他重要的场所都在其中某处设有永久的传送法阵。这种法阵各有自己的符文序列——按特定顺序排列的一串魔法符文。当你最初获得施放该法术的能力时，你会知道物质位面上两个永久法阵的符文序列（由DM决定），随后你还可以在旅途中习得更多的符文序列。你只要花一分钟仔细研究一个新的符文序列就能够将其记录下来。
·当你在一年里对同一地点每日连续施展该法术后，将创造出一个永久的传送法阵。而你在如此创造法阵时并不需要使用该法阵进行传送。</t>
  </si>
  <si>
    <t>Teleportation Circle</t>
  </si>
  <si>
    <t>时流刹转</t>
  </si>
  <si>
    <t>1反应，当你看到一个生物进行一次攻击掷骰或开始施展一个法术时使用</t>
  </si>
  <si>
    <t>·你以触发法术的生物为目标,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·升环施法效应。当你使用6环或更高环位的法术位施展该法术时，每比5环高出一环的法术位可以使你多指定一个目标。但所有的目标都需要在互相的30尺内。</t>
  </si>
  <si>
    <t>Temporal Shunt</t>
  </si>
  <si>
    <t>转化岩石</t>
  </si>
  <si>
    <t>陶土和水</t>
  </si>
  <si>
    <t>·你选定距离内，你能看到的，不超过40立方尺区域内的岩石或泥土，并选择下述效果之一。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</si>
  <si>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</si>
  <si>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树跃术</t>
  </si>
  <si>
    <t>·你能够进入树木中，并从树木内部移动到500尺内的一棵同类树木内。两棵树必须都是活的，而且至少要和你一样大。你进入一棵树时必须消耗5尺移动力。你将在进入树木后知道附近500尺内所有同类树木的位置。作为进入树木所用移动的一部分，你可以移动到这些同类树木的其中一棵，或走出你所在的树木。你会出现在作为目的地的树木5尺范围内自选的一点，并因此消耗5尺移动力。如果你的移动力已经耗尽，则你将出现在你进入的树木周围5尺范围内某处。
·你可以在法术持续时间内的每轮里使用一次这样的传送能力。而且你必须在树外结束你的回合。</t>
  </si>
  <si>
    <t>Tree Stride</t>
  </si>
  <si>
    <t>力场墙</t>
  </si>
  <si>
    <t>由纯净的宝石原石碾成的一小撮粉末</t>
  </si>
  <si>
    <t>·一面看不见的力墙出现在施法距离内你指定的一点。这面力墙的方向由你决定：你可以使力墙成为水平或垂直的结界，亦可以使它形成一定倾角。它可以浮在空中，也可以立于地上。你可以将它塑成半球状或球状（半径最长10尺），也可以塑成一个由十个10尺×10尺的方板块构成的平面，而每块板块都必须要和至少一块其他板块相连。不管形状如何，力墙的厚度总是1/4寸。力场墙将持续存在至法术终止。如果力墙形成时穿过了某个生物所占据的空间，则该生物会被推到力墙的一侧（由你决定推到哪一侧）。
·没有任何事物可以通过物理方式穿过力墙。力墙免疫所有伤害，也不能被解除魔法 Dispel Magic所解除，但法术解离术 Disintegrate可以使其立即摧毁。力墙能够延伸进以太位面，因此可以阻断进入以太位面穿过墙壁旅行。
·补充：设计师说明类似任意门这样的【传送】效应可以在力场墙内外进出。</t>
  </si>
  <si>
    <t>Wall of Force</t>
  </si>
  <si>
    <t>光墙术</t>
  </si>
  <si>
    <t>一面手镜</t>
  </si>
  <si>
    <t>·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·升环施法效应。当你使用6环或更高的法术位施放该法术时，使用的法术位每比5环高一环，伤害便增加1d8。</t>
  </si>
  <si>
    <t>Wall of Light</t>
  </si>
  <si>
    <t>石墙术</t>
  </si>
  <si>
    <t>一小块花岗岩</t>
  </si>
  <si>
    <t>·一面坚硬的非魔法石墙出现在施法距离内你指定的一点。该石墙厚达6寸，由十个10尺×10尺的方板块组成。每块板块都必须要和至少一块其他板块相连。另外你也可以选择以十个10尺×20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豁免成功者将得以执行一个反应来以正常速度移动，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悬空石板的跨度超过20尺时需要支撑，因此石板的面积需减半。你可以对石墙进行粗略塑形，造出锯齿、城垛等结构。
·该墙是一个可以因受到伤害而被打破的石制物件。每块板块的AC为15，每寸厚得石墙具有30点生命值。当一块板块的生命值降至0时则该板块被摧毁，而且与它相连的板块也可能会崩塌（具体由DM判断）。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</si>
  <si>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</si>
  <si>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自然之怒</t>
  </si>
  <si>
    <t>·你唤醒自然界的精魂对抗你的敌人。选择施法距离内你可见的一点，精魂令那一点为中心60尺立方区域内的树木、岩石和草丛被活化，直到法术结束。
·草丛和灌木Grasses and Undergrowth：立方区域内被草丛或灌木覆盖的地面对你的敌人而言是困难地形。
·树木Trees：在你的每个回合开始，在立方区域内的任何树木周围10尺范围内的每个你的敌人都必须成功进行敏捷豁免检定，否则会因为树枝的挥打受到4d6挥砍伤害。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</si>
  <si>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</si>
  <si>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龙类精魄召唤术</t>
  </si>
  <si>
    <t>一件带有巨龙图案的物品，价值至少500gp</t>
  </si>
  <si>
    <t>·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·该生物对你和你的同伴友善。在战斗中，该生物与你共享先攻，它在你的回合结束后行动。它听从你的口头命令（无需动作）。如果你不发出指令，该生物执行回避动作，并用自己的移动力来回避危险。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</si>
  <si>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</si>
  <si>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秘法门</t>
  </si>
  <si>
    <t>·你创造两个相连的传送门。指定地面上你能看见的两点，一点在你身边10尺内，另一点则在500尺内。随后，10尺直径的圆形传送门将分别在两点打开。如果你选择的点被生物占据，则法术失败且被消耗。
·传送门边缘为闪烁的二维环形，其内布满迷雾，且整个垂直的悬浮在离地几尺处。环形只有一面可见（由你选择），那一面即是传送门生效的一面。
·任何进入其中一个传送门的生物将从另一个传送门走出，如同两个传送门邻接一样。从传送门不生效的那一面走过则不会有任何效果。门中满布的迷雾阻挡了视线因此无法看到任何影像。你可以在自己的回合里使用一个附赠动作改变传送门的朝向。</t>
  </si>
  <si>
    <t>Arcane Gate</t>
  </si>
  <si>
    <t>剑刃护壁</t>
  </si>
  <si>
    <t>·你立起一道由旋转的魔法利刃组成的墙。墙壁出现在施法距离内一个你指定的位置，并维持到法术持续时间结束。你可以选择创造长不过100尺、高不过20尺、厚不过5尺的直墙；或是直径不过60尺、高不过20尺、厚不过5尺的环形墙。墙为位于其后方的生物提供四分之三掩护。而墙体所占据的空间则视为困难地形。
·任何生物在一个回合内第一次进入墙体区域，或者在区域内开始其回合时，必须进行一次敏捷豁免。豁免失败者将受到6d10点挥砍伤害。豁免成功则伤害减半。</t>
  </si>
  <si>
    <t>Blade Barrier</t>
  </si>
  <si>
    <t>地之骨</t>
  </si>
  <si>
    <t>·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·若一根石柱在一个生物的脚下升起，该生物必须进行一次敏捷豁免检定，否则会被石柱顶起。生物可以选择在此豁免中失败。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·升环施法效应。当你使用7环或更高的法术位施放该法术时，使用的法术位每比6环高一环，你便能额外升起两根石柱。</t>
  </si>
  <si>
    <t>Bones of the Earth</t>
  </si>
  <si>
    <t>连锁闪电</t>
  </si>
  <si>
    <t>一些毛皮，一块琥珀，玻璃或一柄水晶权杖，以及三根银质别针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</si>
  <si>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·每个目标必须进行一次敏捷豁免。豁免失败者将受到10d8点闪电伤害，豁免成功则伤害减半。
·升环施法效应。使用7环或更高法术位施展该法术时，你使用的法术位每比6环高一环，跳跃后闪电就多分出一束射向一个不同的目标。</t>
  </si>
  <si>
    <t>Chain Lightning</t>
  </si>
  <si>
    <t>死亡法阵</t>
  </si>
  <si>
    <t>研磨过的黑珍珠粉末，价值至少500gp</t>
  </si>
  <si>
    <t>·一阵负能量波从施法距离内某点放出，冲击60尺半径的球状区域。区域内的生物必须进行一次体质豁免。豁免失败者将受到8d6点黯蚀伤害，豁免成功则伤害减半。
·升环施法效应。使用7环或更高法术位施展该法术时，你使用的法术位每比6环高一环，法术的伤害就增加2d6。</t>
  </si>
  <si>
    <t>Circle of Death</t>
  </si>
  <si>
    <t>召唤精类生物</t>
  </si>
  <si>
    <t>·你召唤一个挑战等级6或更低的精类生物，或者一个挑战等级6或更低的野兽形态精魂。被召唤生物显现在施法距离内一处你能看见且未被占据的空间。该精类生物在生命值降至0时，或者法术终止时消失不见。
·被召唤的精类生物对你和你的伙伴保持友善关系。你为每次召唤出来的精类生物掷先攻权，并依此获得其自己的行动回合。该精类生物服从你发出的所有语言命令（不需要你作动作），前提是该命令必须不违反其所属阵营。如果你不发出任何命令，该生物会在敌对生物前保护自己，如果没有敌对生物则不执行任何动作。
·如果你的专注被打断，该精类生物并不会因此消失不见，但你会因此失去该生物的控制权。失去控制的精类生物对你和你的伙伴变为敌对，并随时准备发动攻击。不受控的精类生物无法被你解散，并在你的召唤开始算起1小时后消失不见。
·该精类生物的具体数值由DM掌控。
·升环施法效应。使用7环或更高法术位施展该法术时，你使用的法术位每比6环高一环，召唤生物挑战等级就增加1。</t>
  </si>
  <si>
    <t>Conjure Fey</t>
  </si>
  <si>
    <t>触发术</t>
  </si>
  <si>
    <t>一尊你自己的塑像，其材质为象牙并以宝石作装饰，其价值至少为1,500gp</t>
  </si>
  <si>
    <t>·选择一个你可以施展的5环或更低环阶法术，该法术的施法时间必须为1动作，且必须能够以你自身为目标。你以“随因法术”的形式施展该法术，即将其作为所施展触发术的一部分，并且同时消耗该法术与触发术的法术位。该随因法术并不立即生效，而是在特定状况发生时才触发其效应。你在施展这两个法术时，必须描述该触发状况的细节。例如，触发术与水下呼吸一起施放可以确保水中呼吸 Water Breathing可以在你被水或其他液体淹没时自动触发其效应。
·随因法术的效应在相应状况第一次出现时立即生效，而无论你是否想要这么做，在这之后触发术终止。
·随因法术只能对你起作用，哪怕它通常可以指定其他目标现在也无法再作指定。你一次只能使用一个触发术，如果你在已施放该法术时再次施展该法术，则前一个触发术的效应立即终止。另外，当触发术的材料成分不在你的角色身上时，其法术效应也将立即终止。</t>
  </si>
  <si>
    <t>Contingency</t>
  </si>
  <si>
    <t>创造造妖</t>
  </si>
  <si>
    <t>黏土，灰尘，曼德拉草根，以上材料在施法时被消耗，以及价值1000gp的镶嵌宝石的匕首</t>
  </si>
  <si>
    <t>·说出复杂咒语的同时，你用一把镶嵌宝石的匕首刺穿自己，并受到不能被任何方式降低的2d4穿刺伤害。随后你将血液滴落在法术的其他成分上并接触它们，将它们转变为一种名为造妖Homunculus的特殊构装体。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·同一时间你只能拥有一只造妖。如果你在你的造妖还存活时施展，法术将会失败。</t>
  </si>
  <si>
    <t>Create Homunculus</t>
  </si>
  <si>
    <t>唤起死灵</t>
  </si>
  <si>
    <t>一个装满坟土的陶壶和一个装满苦水的陶壶，并为每具尸体准备一枚150 gp的黑玛瑙</t>
  </si>
  <si>
    <t>·在施法距离内指定至多三具中型或小型类人生物遗体，并使每具受术尸体变成一只受你控制的食尸鬼 ghoul（这些生物的具体游戏资料由DM掌控）。该法术只能在夜晚施展。
·在你的任一回合内，你可以使用一个附赠动作并以精神命令操纵120尺内任何你用此法术唤起的生物（如果你操纵多个生物，则你的命令可以同时传达给它们全部或是其中的某几个，不过只能使用同一种命令）。你决定被操纵的生物下回合的动作和移动。或者，你也可以选择下达宽泛的命令，例如守护某个房间或走廊。没有接受到你命令的生物则只会对敌对生物作出自卫的行为。一旦被下达命令，该生物会持续执行命令直到任务完成。
·被操纵的生物只会在24小时内服从你的命令。如果你在当前的24小时时间段终止前再次施展此法术，则你对该生物的操纵时间再延长24小时。法术的此种用法只能延长你对至多三个你使用此法术所创造生物的控制时间，而不会创造新的生物。
·升环施法效应。使用7环法术位施展该法术时，你可以唤起或者维持四只食尸鬼。使用8环法术位施展该法术时，你可以唤起或维持五只食尸鬼，或者两只妖鬼，或者两个尸妖。当你使用9环法术位施展该法术时，你可以唤起或维持六只食尸鬼，或者三只妖鬼，或者三个尸妖，或者两个木乃伊。</t>
  </si>
  <si>
    <t>Create Undead</t>
  </si>
  <si>
    <t>解离术</t>
  </si>
  <si>
    <t>一块磁石和一撮灰尘</t>
  </si>
  <si>
    <t>·一束纤细的绿射线从你的指尖射向施法距离内一个你能看见的目标。该目标可以是一个生物或一个物件，或者是一个魔法力场（比如由力场墙 Wall of Force创造的墙壁）。
·目标生物必须进行一次敏捷豁免，豁免失败则受10d6+40点力场伤害，如果目标生命值因此降至0，则目标被解离。
·除魔法物品外，被解离的生物连同其穿着携带的所有随身物品一起变成一堆灰尘。此后该生物只能通过完全复生术 True Resurrection和祈愿术 Wish复活。
·此法术会直接解离大型或更小的非魔法物件或魔法力场。如果目标是巨型或更大的物件或魔法力场，则此法术会解离其10尺立方大小的部分。魔法物品不受此法术影响。
·升环施法效应。使用7环或更高法术位施展该法术时，你使用的法术位每比6环高一环，伤害就提高3d6。</t>
  </si>
  <si>
    <t>Disintegrate</t>
  </si>
  <si>
    <t>卓姆吉瞬间召唤</t>
  </si>
  <si>
    <t>一枚价值1000gp的蓝宝石</t>
  </si>
  <si>
    <t>·你触碰一个重量至多10磅，长度至多6尺的物件。该法术将在该物品表面留下一个隐形的印记，并在你用以施法的蓝宝石上留下该物件的名称。你每次施展该法术时都必须使用不同的蓝宝石作为其材料成分。
·在随后的时间里，你可以使用动作唤出该物件的名称并粉碎这颗蓝宝石，该物件将无视任何距离和位面的限制立即出现在你的手上。物件出现后该随即法术终止。
·如果另一个生物正持握或携带着该物件，则粉碎蓝宝石的动作无法将该物品传送过来。不过你会知晓是谁占有了该物品，以及其此刻身处的何处。
·解除魔法Dispel Magic或成功生效的类似效应作用于这颗蓝宝石时，将提前终止该法术。</t>
  </si>
  <si>
    <t>Drawmij's Instant Summons</t>
  </si>
  <si>
    <t>德鲁伊林地</t>
  </si>
  <si>
    <t>一个在满月之光下以黄金镰刀收割的槲寄生，作为此法术的耗材</t>
  </si>
  <si>
    <t>·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·法术将在区域内产生如下效果。当你施展该法术时，你可以指定生物作为友伴免疫这些效果。你也可以指定一个口令，大声说出口令的人也同样免疫这些效果。
·整个被保护的区域都辐射着魔法。一道在区域内施展的解除魔法法术若成功，将只移除以下效果之一，而非整块区域。法术的施法者可以选择一个效果结束。只有当所有效果结束时法术才会被解除。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·额外法术效果Additional Spell Effect：你可以从以下魔法效果中选择其一放置在被保护的区域。
·在你选择的两个位置布置持续的造风术Gust of Wind效果。
·在你选择的一个位置布置荆棘丛生Spike Growth效果。
·在你选择的两个位置布置风墙术Wall of Wind效果。
·对免疫这个效果的生物而言，风是带着芳香的微风，而布置荆棘丛生的区域是无害的。</t>
  </si>
  <si>
    <t>Druid Grove</t>
  </si>
  <si>
    <t>摄心目光</t>
  </si>
  <si>
    <t>·在法术持续时间内，你的眼睛变成充满恐怖力量的漆黑空洞。指定一个60尺内你能看见的生物，并迫使其进行一次感知豁免，豁免失败者将承受下列效应之一（由你选择）。在法术终止前的每个自己回合，你都可以使用动作来指定一个目标。不过不能指定那些已经成功通过该豁免的生物。
·沉睡 Asleep：目标陷入昏迷。其在受到伤害，或另一个生物使用动作摇晃它时，即可再次醒来。
·惊慌 Panicked：目标因你而恐慌，它必须在每个其自己回合里执行疾走 Dash 动作并移动，且以最短、最安全的路径尽可能的逃离你，直至其无路可逃为止。如果目标移至离你60尺远且看不见你的地方，则法术效应终止。
·患病 Sickened：目标发动攻击检定和进行能力检定时具有劣势。目标在每个其自己回合结束时都可以进行另一个感知豁免，豁免成功则该效应终止。</t>
  </si>
  <si>
    <t>Eyebite</t>
  </si>
  <si>
    <t>寻路术</t>
  </si>
  <si>
    <t>一套占卜用具，比如骨头、象牙、卡片、牙齿、雕刻符文等，其价值至少为100gp，此外还需要一个来自你所寻找地点的物件</t>
  </si>
  <si>
    <t>专注,至多1日</t>
  </si>
  <si>
    <t>·该法术可以搜寻同一位面的另一处你熟悉的特定地点，法术会找出通往该处最短、最直接的道路。如果你寻找的目的地在另一位面，或者其会不断移动（例如一座移动堡垒），或者描述不够具体（例如一个“绿龙的巢穴”），该法术失效。
·你在法术持续时间内只要和目的地在同一位面，就知晓目的地的远近和所在方向。向目的地移动并遇到岔路时，你会本能的选择通往目的地最近、最直接的路（但不一定最安全）。</t>
  </si>
  <si>
    <t>Fing the Path</t>
  </si>
  <si>
    <t>石化术</t>
  </si>
  <si>
    <t>一小撮石灰、水和土壤</t>
  </si>
  <si>
    <t>·你尝试将施法距离内一个你能看见的生物变为石头。如果该目标的身体由血肉组成，则其必须进行一次体质豁免。豁免失败者的肉体将变得生硬并因此而受到束缚。豁免成功者将不受该效应的影响。
·因该法术受束缚的生物必须在其每回合结束时再进行一次体质豁免。在累计三次豁免成功后，该法术终止。在累计三次豁免失败后，该生物变为石头并在持续时间内视为陷入石化状态。成功或失败的检定不需要连续；只要记录各情况的次数直至其中一方累计三次为止。
·如果该生物被石化的身体遭破坏，则其在恢复原形时将遭受同样的破坏。
·如果你在为该法术维持了最长持续时间的专注，则该生物变为石头的效应将保持至被移除为止。</t>
  </si>
  <si>
    <t>Flesh to Stone</t>
  </si>
  <si>
    <t>禁制术</t>
  </si>
  <si>
    <t>少量圣水，稀有焚香，以及至少价值1,000gp的红宝石粉末</t>
  </si>
  <si>
    <t>1日</t>
  </si>
  <si>
    <t>·你创造一个对抗魔法旅行的结界，该结界区域至多覆盖40000平方尺地面及其上30尺高空。在法术持续时间内，生物无法传送进区域内或使用传送门（诸如法术异界之门 Gate的作用）进入其内。该法术使该区域无法进行位面旅行，因此生物无法通过星界位面，以太位面，妖精荒野，堕影冥界，或是通过法术异界传送 Plane Shift来连接该区域。
·此外，该法术可以对你所选定类别的生物造成伤害。从一下选项中选择一项或多项：天界生物、元素生物、精类生物、邪魔以及不死生物。所选定生物在一个回合内第一次进入法术区域或者在其内开始其回合时，将受到5d10点光耀伤害或黯蚀伤害（由你在施法时选择其一）。
·施展该法术时，你可以设定一段密语。说出密语的生物就算进入区域也不会受到该法术的伤害。
·该法术的效应区域不能与另一个禁制术的区域相重叠。你可以通过对同一区域连续30日每日施展禁制术来使其效应持续至被解除，并在最后一次施法时将该法术对材料成分消耗殆尽。</t>
  </si>
  <si>
    <t>Forbiddance</t>
  </si>
  <si>
    <t>法术无效结界</t>
  </si>
  <si>
    <t>一个玻璃质或水晶质的珠子，其将在法术终止时破碎</t>
  </si>
  <si>
    <t>·一个固定的微光屏障从你周围半径10尺区域内涌现并在法术持续时间内维持存在。
·任何在屏障外施放的5环或更低环阶的法术无法影响其内的生物或物件，这些法术即使以升环施法施展也无法突破该限制。这些法术可以以屏障内的生物或物件为目标，但无法对其生效。其效果有如屏障内的区域被排除在法术效应范围之外。
·升环施法效应。当你使用7环或更高法术位施展该法术时，你使用的法术位每比6环高一环，屏障能阻挡的法术就高一环。</t>
  </si>
  <si>
    <t>Globe of Invulnerability</t>
  </si>
  <si>
    <t>重力分裂</t>
  </si>
  <si>
    <t>一把铁料</t>
  </si>
  <si>
    <t>·你以自身为原点咒现出一条长100尺，宽5尺的重力能量。所有在线上的生物需要进行一个体质豁免，若失败，则受到8d8点力场伤害，若豁免成功则受到一半伤害。
·所有距离这条线10尺或以内但不在线当中的生物需要通过一个体质豁免，若失败则受到8d8点力场伤害并且会被拉向线的区域中。
·升环施法效应。当你使用7环或更高环位的法术位施展该法术时，每比6环高出一环的法术位能使该法术的伤害增加1d8。</t>
  </si>
  <si>
    <t>Gravity Fissure</t>
  </si>
  <si>
    <t>铜墙铁壁</t>
  </si>
  <si>
    <t>燃烧的熏香，少许硫磺和油，一条打结的绳子，少量土巨怪的血和一把至少价值10gp的小型银权杖</t>
  </si>
  <si>
    <t>·你制造一个保护区域覆盖至多2,500平方尺地面面积（一个50尺的方形区域，或一百个5尺的方状区域，或二十五个10尺的方形区域）。保护区域至高可达20尺，并随你的意愿塑形。只要你施法时可以走进每一个连续区域，你就可以分割区域来护卫一座要塞的几个楼层。
·施展该法术时，你可以指明特定个体以让其不受法术某些或全部效应的影响。你还可以指明一句口令，当其被大声说出时，即可让说出口令的人对这些效应免疫。
·铜墙铁壁在保护区域内创造下列效应。
·过道 Corridors：浓雾充斥受保护的过道使其处于重度遮蔽。此外，除你以外的生物在过道上遇到需要选择方向的分叉路口时，有50%机会误认错的方向为正确的前进方向。
·门 Door：所有保护区域内的门都以魔法上锁，等同于使用法术秘法锁封门。此外，你还可以用一个幻像掩盖至多10扇门（相当于法术次级幻像的虚幻物件效果）来让其看起来有如平整的墙面。
·楼梯 Stairs：蛛网从上到下布满了保护区域内的楼梯，等同于法术蛛网术的效应。铜墙铁壁法术持续时，即使这些蛛网被焚烧或撕毁，也可以在10分钟后重生。
·其他法术效应：你可以在要塞的保护区域内布置你指定的下列魔法效应之一。
→在四条走廊布置舞光术 Dancing Lights。你可以安排一个简单的灯光舞动程序，使其在铜墙铁壁法术持续时反复运作。
→在两个地点布置魔嘴术 Magic Mouth。
→在两个地点布置臭云术 Stinking Cloud。其云雾显现在由你安排的位置。在铜墙铁壁法术持续时，即使其云雾被风吹散也会在10分钟后重新生成。
→在一条走廊或一个房间布置一个持续存在的造风术 Gust of Wind。
→在一个地点布置一个暗示术 Suggestion。你指定一个至多5尺的方状区域，任何进入或穿过该区域的生物将受到法术的精神暗示。
·整个保护区域辐射着魔法。对某个特定效应施展解除魔法 Dispel Magic时，如果法术成功则移除该特定效应。
·当你在一年里对同一处每日连续施展该法术后，将创造出一个永久的铜墙铁壁效果。</t>
  </si>
  <si>
    <t>Guards and Wards</t>
  </si>
  <si>
    <t>重伤术</t>
  </si>
  <si>
    <t>·你将致命的病害释放到施法距离内一个你能看见的生物身上。目标必须进行一次体质豁免，豁免失败则受到14d6点黯蚀伤害，豁免成功则伤害减半。该伤害不能将目标的生命值降至1以下。若目标体质豁免失败，则其生命值上限减损与该黯蚀伤害相等数值。减损效果维持一小时，且任何可移除疾病的效应均可在时限到达前将目标生命值上限回复至正常值。</t>
  </si>
  <si>
    <t>Harm</t>
  </si>
  <si>
    <t>医疗术</t>
  </si>
  <si>
    <t>·指定施法距离内一个你能看见的生物。汹涌澎湃的正能量将充盈该生物，使其回复70点生命值。该法术也会终止正在影响目标的目盲、耳聋以及任何疾病效应。该法术对构装体与不死生物无效。
·升环施法效应。使用7环或更高法术位施展该法术时，你使用的法术位每比6环高一环，治疗量就增加10点。</t>
  </si>
  <si>
    <t>Heal</t>
  </si>
  <si>
    <t>英雄宴</t>
  </si>
  <si>
    <t>一个价值至少1,000gp的镶饰宝石的碗，作为法术的耗材</t>
  </si>
  <si>
    <t>·你创造出一席盛宴，其中包括了上等的食物和饮品。宴席需要1小时来享用，并会在这段时间结束后消失不见，而且下述增益效应在该小时结束前不会生效。你可以让至多十二个生物加入分享大餐。
·所有享用了大餐的生物都会获得几种增益。这些生物的所有疾病和中毒状态都会被治愈，并且免疫毒素和恐慌状态，其进行感知豁免时具有优势，生命值上限也将提高2d10点，并获得等量的生命值。这些增益将持续24小时。</t>
  </si>
  <si>
    <t>Hero's Feast</t>
  </si>
  <si>
    <t>炽焰赋权</t>
  </si>
  <si>
    <t>·火焰环绕着你的身体，照亮周围30尺半径的区域，并在外围30尺范围内产生微弱的亮光。这些火焰不会伤害到你。直到此法术终结，你得到如下的增益：
·你免疫火焰伤害并对冷冻伤害具有抗性。
·任何在回合中第一次进入你周围5尺范围之内，或是在你周围5尺范围之内结束回合的生物受到1d10点火焰伤害。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</si>
  <si>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</si>
  <si>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</si>
  <si>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·直到此法术终结，寒冰浸沐了你的躯体，你得到如下增益：
·你免疫冷冻伤害，并对火焰伤害具有抗性。
·你可以在由冰或雪形成的困难地形上移动而无需额外消耗移动力。
·以你为中心，周围10尺半径的区域被冻结了，对于你之外的生物而言，其被视为困难地形。此范围会随着你移动而移动。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</si>
  <si>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</si>
  <si>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</si>
  <si>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·直到法术终结，岩石颗粒布满了你的躯体，你得到如下增益：
·你对于来自非魔法攻击的钝击，穿刺和挥砍伤害得到抗性。
·你可以以一个动作，在以你为中心周围15尺半径的地表创造出一阵小型地震。在地表上的其他生物必须通过一次敏捷豁免检定，否则会摔倒。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</si>
  <si>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</si>
  <si>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</si>
  <si>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·直到此法术终止，风在你的身旁回旋，而你得到下述增益：
·对你进行的远程武器攻击，在其攻击检定中具有劣势。
·你得到60尺的飞行速度。若此法术终止时，你仍处于飞行状态，你会坠落，除非你有其他方法避免坠落。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</si>
  <si>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</si>
  <si>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魔魂壶</t>
  </si>
  <si>
    <t>一块宝石或水晶，或者一个圣物匣，又或者其他带装饰的容器，其价值不能低于500gp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</si>
  <si>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尺的距离，或者回到你仍活着的身体中去（并终止该法术），或者尝试占据另一个类人生物的身体。
·你可以附身于任何距你100尺内你能看见的人形生物（受法术防护善恶 Protection from Evil and Good或防护法阵 Magic Circle保护的生物无法被附身）。该目标必须进行一次魅力豁免。豁免失败，则你的灵魂进入目标的身体，而目标的灵魂被困在容器中；豁免成功，则目标抵抗了你的附身，而随后的24小时内你将无法再次尝试附身该生物。
·附身成功后，目标生物的身体将由你控制。你的游戏资料将替换为该生物的属性数据，不过你将保留自己的阵营以及智力、感知、魅力属性值。你的职业特性增益也会在附身时维持，但你无法使用目标可能具有的任何职业特性。
·此外，被附身生物的灵魂可以用它自己的感官从容器内部观察外部，但它既不能移动也不能使用动作。
·附身于一具躯体时，如果容器处在你身边100尺内，则你可以用一个动作从宿主的身体回到容器中，并让宿主的灵魂回到它自己的身体里。在你处于宿主的身体中时，如果宿主的身体死亡，则你必须进行一次对抗该法术豁免DC的魅力豁免。豁免成功且容器距你不超过100尺时，你回归容器内。豁免失败则即时死亡。
·如果容器被毁或者法术终止，则你的灵魂会立即回到你自己身体里。如果你在尝试回到自己身体时，身体距你超过100尺或者你的身体已死，则你也随之死亡。如果容器被毁时另一生物的灵魂在容器内，且该生物的身体仍然活着并距它不超过100尺，则其灵魂会回到身体里。否则该生物死亡。
·该法术终止时，其容器将随之被摧毁。</t>
  </si>
  <si>
    <t>Magic Jar</t>
  </si>
  <si>
    <t>群体暗示术</t>
  </si>
  <si>
    <t>一条蛇的舌头外加一小块蜂窝或一滴橄榄油</t>
  </si>
  <si>
    <t>·你以魔法影响施法距离内至多十二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每个目标必须进行一次感知豁免，豁免失败者将尽其所能地从事你所描述的行为。你所暗示的行为可能会在法术持续时间内始终一直进行。而如果你所暗示的活动可以用更短的时间完成，则该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·升环施法效应。使用7环法术位施展该法术时，持续时间变为10日。使用8环法术位施展该法术时，持续时间变为30日。使用9环法术位施展该法术时，持续时间变为一年零一日。</t>
  </si>
  <si>
    <t>Mass Suggestion</t>
  </si>
  <si>
    <t>精神监狱</t>
  </si>
  <si>
    <t>·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</si>
  <si>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</si>
  <si>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地动术</t>
  </si>
  <si>
    <t>一把铁刃以及一个小袋子，袋内装着黏土、壤土、砂土等混成的泥土</t>
  </si>
  <si>
    <t>专注,至多2小时</t>
  </si>
  <si>
    <t>·指定施法距离内边长不大于40尺的方状地形区域，并以任意的方式重塑区域内的泥土，沙土或黏土。你可以升高或降低区域内的地面高度，制造或填平一道沟渠，升起或夷平一座山丘，或者塑造一根立柱。被改变的地形范围在最长不得超过整个区域最长边长的一半。因此，如果你影响了40尺方状区域，则你可以创造一根至多20尺高的立柱，将地面升高或降低至多20尺，挖一条至多20尺深的壕沟，等等。这些改变需要花10分钟的时间来完成。
·每为法术维持10分钟专注，你都可以选择一片新的地形区域再施以影响。
·由于地形的变化发生得很缓慢，区域内的生物通常不会被地面的移动困住或者受伤。
·该法术无法改变天然的岩石或石制建筑。但石头和建筑仍会因适应地形的变化而被改变。如果你改变地形的方式会使得建筑不稳定，则它有可能倒塌。
·此外，该法术也无法直接影响植物生长。而被移走的土壤会带走任何生长在其上的植物。</t>
  </si>
  <si>
    <t>Move Earth</t>
  </si>
  <si>
    <t>欧提路克冰封法球</t>
  </si>
  <si>
    <t>一个小水晶球</t>
  </si>
  <si>
    <t>·一个冷冻能量形成的冰球从你的指尖射向施法距离内一处指定点，并在该处迸裂为一个半径60尺的球状区域。区域内的每个生物必须进行一次体质豁免。豁免失败者将受到10d6点冷冻伤害。豁免成功则伤害减半。
·如果冰球击中某处水体或者某处以水分为主的液态表面（不包括由水组成的生物），其触及的水面将凝结出6寸厚、30尺宽的方形冻结区域。任何在其中游泳的生物将被冰面所困。受困的生物可以用一个动作进行一次对抗法术豁免DC的力量检定以破冰挣脱。
·你可以在完成该法术后延迟发射冰。此时你手上将形成一个弹丸般大小，摸起来感觉冰冷的小冰球。你或者任意从你手上获得冰球的生物可以随时将冰球投出去（以40尺射程）或者用投石索将其弹射出去（以投石索的常规射程），并以冲击将其打破再产生正常施法时相同的效应。你还可以将冰球设置好而不打破它，法球在不打破的情况下维持1分钟后会自动迸裂。
·升环施法效应。使用7环或更高法术位施展该法术时，你使用的法术位每比6环高一环，其伤害就增加1d6。</t>
  </si>
  <si>
    <t>Otiluke's Freezing Sphere</t>
  </si>
  <si>
    <t>奥图迷舞</t>
  </si>
  <si>
    <t>·指定施法距离内一个你能看见的生物，并使目标生物会在原地跳起滑稽的舞蹈：它将在持续时间内不住的曳步、踏脚和蹦跳。不会被魅惑的生物将免疫该法术。
·正在跳舞的生物必须用掉它全部的移动力在原地跳舞，其进行敏捷豁免和攻击检定时具有劣势。目标受该法术影响时，其它生物对其进行的攻击检定具有优势。正在跳舞的生物可以使用一个动作来进行一次感知豁免，豁免成功则法术终止。</t>
  </si>
  <si>
    <t>Otto's Irresistible Dance</t>
  </si>
  <si>
    <t>异界誓盟</t>
  </si>
  <si>
    <t>·你祈求一个异界个体的援助。你必须对该存在个体有所了解，它可以是一个神祗，一位原初者，一名恶魔主君，或是其他界域级力量的存在。该存在将派遣一个效忠它的天界生物，元素生物或邪魔来援助你，并使该个生物显现在施法距离内一个未占据空间。如果你知道他们中某个特定生物的名字，则你可以在施展法术时说出其名字来请求指派该生物来援，但是你仍然有可能得到一个不同的生物（由DM选择）。
·该生物出现时，你无法强迫它作任何事。你可以以报酬为交换请求其提供服务，只是它并没任何义务为你实现。请求的任务可以简单（帮我们飞越峡谷，或在一场战斗中提供协助），也可以复杂（暗中监视我们的敌人，或在我们扫荡地城时保护我们）。你必须能与该生物交流以为他服务的报酬讨价还价。
·报酬的形式也可以各式各样。一个天界生物可能会要求为一座同盟的神殿捐献一份相当可观的金币或魔法物品，而一只邪魔可能会索要一次活祭或一份财宝作为礼物。一些生物可能会要求你进行一个任务来换取它们的服务。
·粗略计算，一个可以按分钟计算的任务需要每分钟100gp的报酬。一个可以按小时计算的任务需要每小时1,000gp的报酬。一个可以按日计算的任务（至多10日）需要每日10,000gp的报酬。DM可以按你施放该法术的环境调整具体的报酬。如果任务与生物的行为准则一致，则报酬可能会被减半甚至放弃。没有风险的任务一般只需要建议报酬的一半，而特别危险的任务可能会需要更大的赠礼。生物极少接受看上去像自杀的任务。
·生物完成任务后，或当协议服务时间结束后，如果任务合适并在可能的情况下，生物会在回来向你报告后再返回自己的家乡位面。如果你不能同意生物的服务价格，则其将立即返回其家乡位面。
·应召加入你队伍的生物算作队伍成员，并正常分享获得的经验值。</t>
  </si>
  <si>
    <t>Planar Ally</t>
  </si>
  <si>
    <t>原初守护</t>
  </si>
  <si>
    <t>·你在本法术的持续时间内具有对强酸，冷冻，火焰，闪电和雷鸣伤害的抗性。
·当你受到上述类型之一的伤害时，你可以使用你的反应来得到对该种类型伤害的免疫，这包括了对触发此效果的伤害。若你如此做，则抗性效果结束，而你在直到你的下个回合结束前具有对应的免疫，之后此法术终结。</t>
  </si>
  <si>
    <t>Primordial Ward</t>
  </si>
  <si>
    <t>预置幻影</t>
  </si>
  <si>
    <t>一点羊毛和价值至少25gp的翡翠粉末</t>
  </si>
  <si>
    <t>·你在施法距离内创造一个幻象，其外观为一个物件，一个生物或其他可视的现象，并使其在特定情况下激活。该幻象在被激活前无法被察觉。它必须不大于30尺立方区域，而你将在施放该法术时决定幻像该如何行动和发出什么声音。而这种按脚本执行的表演可以持续至多5分钟。
·你所指定的情况发生时，幻像会迅速成型并按设定的方式表演。表演结束后，幻象将消失并潜伏10分钟。这段时间过后，幻像就可以再次被激活。
·触发幻象的情况可以是一般事件，也可以按你的要求进行细化，但是它必须是发生在目标区域周边30尺范围内的能看到或听到的状况。例如，你可以制造一个自己的幻像，在其他人试图打开一扇设置了陷阱的门时出现并发出警告，或者你也可以设置一个在生物说出正确单词或短语才触发的幻象。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</si>
  <si>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Programmed Illusion</t>
  </si>
  <si>
    <t>散射术</t>
  </si>
  <si>
    <t>·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</si>
  <si>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</si>
  <si>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</si>
  <si>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</si>
  <si>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</si>
  <si>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·窃取生命Steal Life：你可以用一个附赠动作从灵魂中吸取活力并恢复2d8生命值。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·借鉴经验Borrow Experience：你可以使用一个附赠动作让灵魂的人生经验来支撑你，令你的下一次攻击检定，能力检定和豁免检定具有优势。如果在你的下个回合开始之前你没有使用这个增益，它将会消失。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·能看到这个传感器的生物（例如使用了识破隐形See Invisibility法术或是拥有真实视觉）将会看到被你关在笼中的受难者半透明的影像。</t>
  </si>
  <si>
    <t>Soul Cage</t>
  </si>
  <si>
    <t>邪魔召唤术/召唤邪魔灵魄</t>
  </si>
  <si>
    <t>至少价值600gp的装有类人生物血液的红宝石瓶</t>
  </si>
  <si>
    <t>·你唤来一个邪魔灵魄。其在施法距离内你可见的一个未占据位置化为实体。这一实体使用下面的邪魔灵魄Fiendish Spirit的数据。当你施展法术时，从恶魔Demon，魔鬼Devil或尤格罗斯魔Yugoloth中选择一种。此生物外形如同你所选择类型的邪魔，其资料表中的部分特性也受此影响。当其生命值降到0或法术结束时，生物消失。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·升环施法效应。使用7环或更高法术位施展该法术时，该生物数据中使用更高的法术环阶。
邪魔灵魄Fiendish Spirit
大型邪魔
AC：12+法术环阶 (天生护甲)
HP：50（仅限恶魔）或40（仅限魔鬼）或60（仅限尤格罗斯魔）+15每比6环高的法术环阶
速度：40尺，攀爬40尺（仅限恶魔），飞行60尺（仅限魔鬼）
力量13（+1）  敏捷16（+3）  体质15（+2）
智力10（+0)   感知10（+0）  魅力16（+3）
伤害抗性：火焰
伤害免疫：毒素
状态免疫：中毒
感官：黑暗视觉60尺，被动察觉10
语言：深渊语，炼狱语，心灵感应60尺
挑战等级：—
熟练加值：与你相等
焚身爆Death Throes（仅限恶魔）。邪魔生命值降为0时或法术结束时将爆炸，其周围10尺内每个生物必须进行一次敏捷豁免对抗你的法术豁免DC，豁免失败则将受到2d10+法术环阶点火焰伤害，豁免成功则伤害减半。
魔鬼视界Devil's Sight（仅限魔鬼）。魔法黑暗不会阻碍邪魔的黑暗视觉。
魔法抗性Magical Resistance。邪魔为抵抗法术和其他魔法效应而作的豁免检定具有优势。
动作
多重攻击Multiattack。邪魔发动等同于法术环阶一半的次数的攻击（向下取整）。
啃咬Bite（仅限于恶魔）。近战武器攻击：命中+你的法术攻击调整值，触及5尺，单一目标。伤害：1d12+3+法术环阶点黯蚀伤害。
爪击Claws（仅限于尤格罗斯魔）。近战武器攻击：命中+你的法术攻击调整值，触及5尺，单一目标。伤害：1d8+3+法术环阶点挥砍伤害。发动攻击后，邪魔可以魔法性地传送至一处30尺内其可见且未被占据的空间。
投掷烈焰Hurl Flame（仅限于魔鬼）。远程法术攻击：命中+你的法术攻击调整值，射程150尺，单一目标。伤害：2d6+3+法术环阶点火焰伤害。如果目标时未被着装或携带的可燃物件，则将被点燃。</t>
  </si>
  <si>
    <t>Summon Fiend</t>
  </si>
  <si>
    <t>阳炎射线</t>
  </si>
  <si>
    <t>一面放大镜</t>
  </si>
  <si>
    <t>·一道耀眼的光芒从你手中射出并形成一条5尺宽、60尺长的线状区域。所有区域内的生物必须进行一次体质豁免。豁免失败者将受到6d8点光耀伤害，并且在你的下一回合前陷入目盲。豁免成功则伤害减半，且不会陷入目盲。不死生物和泥怪在进行该豁免是具有劣势。
·你可以在法术终止前的任一回合内以一个动作重新创造一到线状光芒。
·在法术持续时间内，你的手中一点散发出耀眼的光芒。其光耀为周围提供30尺的明亮光照，以及该范围外30尺的微光光照。这些光芒均视为等同于阳光。</t>
  </si>
  <si>
    <t>Sunbeam</t>
  </si>
  <si>
    <t>塔莎超凡形态</t>
  </si>
  <si>
    <t>一件至少价值500gp的镶嵌有外层位面标记的物件</t>
  </si>
  <si>
    <t>·你念动一段咒语，吸收下层位面或上层位面的魔力（由你选择）并变化自身。你获得以下增益直到法术结束。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</si>
  <si>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</si>
  <si>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谭森变形术</t>
  </si>
  <si>
    <t>一缕公牛毛发</t>
  </si>
  <si>
    <t>·你以魔法为燃料赋予自己耐久和武艺。直到法术结束之前，你不能施展法术，并且得到如下增益：
·你得到50点临时生命。如果这些临时生命保持到了法术结束，它们会消失。
·你在使用简易或军用武器时，攻击检定具有优势。
·当你用武器攻击击中一个目标，它将受到额外2d12力场伤害。
·你熟练于所有盔甲，盾牌，简易武器和军用武器。
·你熟练于力量豁免和体质豁免。
·当你在自己的回合采取攻击动作时，你可以攻击两次而非一次。如果已经有类似的能力给予你额外攻击，例如额外攻击Extra Attack，你无视这项增益。
·在法术结束时你需要立即成功通过一次DC15的体质豁免检定，否则将承受1级力竭。</t>
  </si>
  <si>
    <t>Tenser's Transformation</t>
  </si>
  <si>
    <t>木遁术</t>
  </si>
  <si>
    <t>·该法术将施法距离内一棵大型或更大的静态植物用魔法与同位面上任意距离外的另一棵植物相连接。施法时，你必须见过或触碰过出口植物至少一次。此后，任何生物都可以在法术持续时间内花费5尺移动力进入目标植物内，然后从出口植物处出来。</t>
  </si>
  <si>
    <t>Transport via Plants</t>
  </si>
  <si>
    <t>真知术</t>
  </si>
  <si>
    <t>由蘑菇粉、藏红花和油脂制成的眼药膏，价值为25gp，作为该法术耗材</t>
  </si>
  <si>
    <t>·你触碰一个自愿的生物，让该法术赋予其看到事物真实面目的能力。受术者在法术持续时间内拥有120尺的真实视觉，其能发现被魔法隐藏的暗门，也能看到以太位面。</t>
  </si>
  <si>
    <t>True Seeing</t>
  </si>
  <si>
    <t>冰墙术</t>
  </si>
  <si>
    <t>一小块石英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</si>
  <si>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·如果冰墙形成时穿过了某生物所占据的空间，则该生物会被推到冰墙的一侧且必须进行一次敏捷豁免。豁免失败者将受到10d6点冷冻伤害，豁免成功则伤害减半。
·作为一个物件，冰墙可以因受到伤害而被打破。冰墙的AC为12，每段10尺长的冰墙有30点生命值，而且冰墙对火焰伤害具有易伤。当一段10尺长的冰墙的生命值降至0时，这段冰墙就会被摧毁，但原地会留下一片冰冷刺骨的空气。生物在一个回合内第一次通过这片寒气时，必须进行一次体质豁免。豁免失败者将受到5d6点冷冻伤害，成功则伤害减半。
·升环施法效应。使用7环或更高法术位施展该法术时，你使用的法术位每比6环高一环，冰墙出现时造成的伤害就增加2d6，并且通过寒气时受到的伤害也增加1d6。</t>
  </si>
  <si>
    <t>Wall of Ice</t>
  </si>
  <si>
    <t>棘墙术</t>
  </si>
  <si>
    <t>一把荆棘</t>
  </si>
  <si>
    <t>·你创造出一面坚韧、纠缠、长满锐利棘刺的灌木之墙。棘墙出现在施法距离内一处坚实的地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·棘墙出现时所有位于其内的生物要进行一次敏捷豁免。豁免失败者将受到7d8点穿刺伤害，豁免成功则伤害减半。
·生物可以移动穿过棘墙，但这是个十分缓慢且痛苦的过程。生物在棘墙中每移动1尺要消耗4 尺的移动力。另外，生物在一个回合内第一次进入棘墙或在棘墙里结束其回合时，必须进行一次敏捷豁免。豁免失败者将受到7d8点挥砍伤害，豁免成功则伤害减半。
·升环施法效应。使用7环或更高法术位施展该法术时，你使用的法术位每比6环高一环，两种类型的伤害就都增加1d8。</t>
  </si>
  <si>
    <t>Wall of Thorns</t>
  </si>
  <si>
    <t>御风而行</t>
  </si>
  <si>
    <t>明火和圣水</t>
  </si>
  <si>
    <t>·你和施法距离内你能看见的至多十个自愿生物在法术持续时间内变为气化形态，其外观有如一团云雾。处于该云雾形态的生物具有300尺的飞行速度，并且对非魔法武器造成的伤害具有抗性。该形态下的生物除疾走 Dash 和变回原形以外不能执行其他动作。变回原形需要花一分钟的时间，在这段时间内该生物处于失能状态且不能移动。在法术终止前，该生物还可以再次变成云雾形态，而再次进行变形同样要花一分钟时间。
·如果法术终止时受术生物正以云雾形态飞行，则该生物将在1分钟内以每轮60尺的速度降落直至安全着陆。如果该生物降落1分钟后还没着陆，则在余下的距离中它将会如正常情况一样坠落。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</si>
  <si>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</si>
  <si>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</si>
  <si>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避难所。你和与你一起传送的生物将出现在你准备避难所时指定的地点（见下）旁边最近的未被占据位置。如果你在施放法术前没有事先准备好避难所，则该法术将不产生任何效应。
·设置避难所时，你必须身处一个你所信仰神祇的神庙或与该神祇密切相关的地点，然后在该处施展此法术。如果你试图在一个并不供奉你所信仰神祇的地方施展此法术，则该法术将不产生任何效应。</t>
  </si>
  <si>
    <t>Word of Recall</t>
  </si>
  <si>
    <t>费茨本铂金盾</t>
  </si>
  <si>
    <t>一枚镀上铂金的龙鳞，价值至少500gp</t>
  </si>
  <si>
    <t>·你创造一道闪着银光的力场，环绕在施法距离内你所选择的一个生物周围（你可以选择你自己）。该力场散发5尺微光光照。被力场保护的生物获得以下增益：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·在之后的回合内，你可以以一个附赠动作将该力场移动至力场周围60尺内的另一个生物身上。</t>
  </si>
  <si>
    <t>Fizban's Platinum Shield</t>
  </si>
  <si>
    <t>召唤天界生物</t>
  </si>
  <si>
    <t>·你召唤一个挑战等级4或更低的天界生物，并使其显现在施法范围内一处你能看见且未被占据的空间。该天界生物在生命值降至0时，或者法术终止时消失不见。
·被召唤的天界生物对你和你的伙伴保持友善关系。你为召唤出来的天界生物掷先攻权，并依此获得其自己的行动回合。该天界生物服从你发出的所有语言命令（不需要你作动作），前提是该命令必须不违反其所属阵营。如果你不发出任何命令，该生物会在敌对生物前保护自己，如果没有敌对生物则不执行任何动作。
·该天界生物的具体数值由DM掌控。
·升环施法效应。使用9环法术位施展该法术时，你将召唤一个挑战等级5或者更低的天界生物。</t>
  </si>
  <si>
    <t>Conjure Celestial</t>
  </si>
  <si>
    <t>众星冠冕</t>
  </si>
  <si>
    <t>·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·如果你还留存4个或更多的光点，它们会发出30尺半径的明亮照明和额外30尺的微亮照明。如果你还留存1至3个光点，它们只会发出30尺的微光照明。
·升环施法效应。当你使用8环或更高的法术位施放该法术时，使用的法术位每比7环高一环，你就可以多创造两枚额外的光点。</t>
  </si>
  <si>
    <t>Crown of Stars</t>
  </si>
  <si>
    <t>延迟爆裂火球</t>
  </si>
  <si>
    <t>一颗蝙蝠粪和硫磺混合的小球</t>
  </si>
  <si>
    <t>·一束黄光从你的指尖射向施法距离内你指定的一点，并在法术持续时间内在该点凝结成一颗赤红的珠子。当因专注被打断或自主决定导致法术终止时，珠子将伴着低吼炸裂成四窜的烈焰并绕过拐角扩散。此时，目标点周边半径20尺内的每个生物都必须进行一次敏捷豁免。豁免失败者将承受全部累积点火焰伤害，豁免成功则伤害减半。
·该法术的基础伤害为12d6。如果你在回合结束时，珠子尚未引爆，则其伤害增加1d6。
·如果珠子爆炸前被生物触碰到，则该生物必须进行一次敏捷豁免。豁免失败则法术立即终止并触发爆炸效应。豁免成功则该生物可将珠子抛开至多40 尺。当珠子被生物或固态物件撞击时，法术立即终止并且触发爆炸效应。
·火焰伤害区域内没被着装携带的易燃物品将被烈焰点燃。
·升环施法效应。使用8环或更高法术位施展该法术时，你使用的法术位每比7环高一环，基础伤害就提高1d6。</t>
  </si>
  <si>
    <t>Delayed Blast Fireball</t>
  </si>
  <si>
    <t>圣言术</t>
  </si>
  <si>
    <t>·你吟诵一句神圣的箴言，其中充盈了创世黎明的力量。在施法距离内指定任意数量的你能看见的生物，并迫使每个能够听到圣言的生物进行一次魅力豁免。豁免失败者基于其当前生命值承受以下效应：
→生命值为50 或更少：耳聋1 分钟。
→生命值为40 或更少：耳聋并目盲10 分钟。
→生命值为30 或更少：耳聋、目盲并被震慑1 小时。
→生命值为20 或更少：即死。
·对于受术的天界生物、元素生物、精类生物或邪魔，其豁免失败时不需考虑其当前生命值，并直接将其遣返回其原属位面（本来就处于原属位面则无效）。在随后24小时内，该生物不能通过任何方式回到当前位面，除非使用祈愿术 Wish的效应。</t>
  </si>
  <si>
    <t>Divine Word</t>
  </si>
  <si>
    <t>蓝纱一梦</t>
  </si>
  <si>
    <t>20尺</t>
  </si>
  <si>
    <t>源自目标世界的一件魔法物品或一个自愿生物</t>
  </si>
  <si>
    <t>6小时</t>
  </si>
  <si>
    <t>·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·如果有一个生物受到任何伤害，则此法术在该生物身上提前结束，该生物不会被传送。如果你受到任何伤害，则你和其他所有生物身上的此法术会提前结束，你们都不会被传送。</t>
  </si>
  <si>
    <t>Dream of the Blue Veil</t>
  </si>
  <si>
    <t>以太化</t>
  </si>
  <si>
    <t>最长8小时</t>
  </si>
  <si>
    <t>·你进入当前所处位面与以太位面边缘的重叠空间。你可以在法术持续时间内一直呆在该以太边缘，也可以使用动作解除法术。此时你可以向任意方向移动。如果向上或向下移动，则你移动的每尺距离需要额外消耗一尺的移动力。你可以看见并听见你原来的位面，但是所有事物都以灰度显示，而你也看不到60尺外的东西。
·在以太位面时，只有同样处在以太位面的其他生物才能被你影响或影响你。不在以太位面的生物无法察觉你，也无法与你互动，除非其具相应的特殊能力或魔法。
·你将无视所有不在以太位面的物品和效应，这使你可以穿越你能看见的原属位面物件。
·法术终止时，你立刻回到原本所在的位面，占据当前所在的空间位置。如果你的位置已经有一件固体的物件或一个生物，则你立刻被转移到最近一处你可占据而未被占据的空间位置，并受到两倍于你移动尺数点力场伤害。
·如果你正处于以太位面，或所在位面与以太位面不相连（比如某个外层位面），则该法术无效。
·升环施法效应。使用8环或更高法术位施展该法术时，你使用的法术位每比7环高一环，你就可以多指定三个自愿生物作为法术目标（包括你在内）。这些生物在你施法时必须在你10尺内。</t>
  </si>
  <si>
    <t>Etherealness</t>
  </si>
  <si>
    <t>死亡一指</t>
  </si>
  <si>
    <t>·你发出负能量并贯穿施法距离内你能看见的一个生物使其承受苦痛。该生物必须进行一次体质豁免。豁免失败则受到7d8+30点黯蚀伤害，豁免成功则伤害减半。
·被该法术杀死的类人生物将在你下一回合开始时唤起为一只受你操控的僵尸，并在随后尽力遵循你的语言指令。</t>
  </si>
  <si>
    <t>Finger of Death</t>
  </si>
  <si>
    <t>火焰风暴</t>
  </si>
  <si>
    <t>·一片由烈焰形成的风暴扫过施法距离内一处你指定的区域。该区域由至多十个10尺立方区域组成。你可以自行安排各立方区域的组合方式，而每个立方区域必须至少有一面与其他立方区域相连。区域内每个生物必须进行一次敏捷豁免。豁免失败者将受到7d10点火焰伤害，豁免成功则伤害减半。
·风暴的烈焰将对区域内的物件造成伤害，并点燃区域内所有未被着装或携带的可燃物件。你可以选择让区域内的植物生命免受该法术效应的影响。</t>
  </si>
  <si>
    <t>Fire Storm</t>
  </si>
  <si>
    <t>魔力监牢</t>
  </si>
  <si>
    <t>100尺</t>
  </si>
  <si>
    <t>价值1,500gp的红宝石尘</t>
  </si>
  <si>
    <t>·你围绕施法距离内一处指定地点以魔力形成一个固定的立方状隐形监牢。你可以选择监牢的形式为笼状或密封体。
·笼状监牢为各边长至多20尺的立方体，其墙体由1/2寸粗的力场栅栏杆组成，每杆指间相距1/2寸。
·密封监牢为各边长至多10尺的立方体，其墙体为由力场墙密封，并阻隔一切物质和法术从牢笼里进出。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线进行一次魅力豁免。豁免成功则该生物可以用该魔法离开牢笼。豁免失败者将无法以此离开牢笼并浪费掉该法术或效应。该牢笼同时延伸至以太位面从而屏蔽掉从以太位面旅行逃脱。
·该法术不能被法术解除魔法 Dispel Magic所解除。</t>
  </si>
  <si>
    <t>Forcecage</t>
  </si>
  <si>
    <t>海市蜃楼</t>
  </si>
  <si>
    <t>·你使至多1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或者反过来），甚至使之变成无法通行的区域。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</si>
  <si>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</si>
  <si>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</si>
  <si>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一个象牙雕琢的拱门小模型、一块打磨过的大理石和一把微型银汤匙，每件物品至少价值5gp</t>
  </si>
  <si>
    <t>·你在施法距离内创造出一个异次元的居所，并维持至法术持续时间结束。居所唯一的入口宽5尺，高10尺而微微发光，其具体位置由你指定。只要该入口保持开启，你和你施展该法术时指定的任意生物都可以进入该异次元居所中。你可以在距入口不超过30尺处开启或关闭入口。而入口关闭时即其处于隐形状态。
·入口内是一个连接着许多房间的华丽大厅。其内空气洁净清新而温暖舒适。
·你可以随意创造自己喜欢的房间构造，但其总体积不得超过50个边长10尺的立方体。房间内依你喜好配置好家具和装饰，其内储备的食材足以制作供100人享用的九道菜大餐。一组共100名的半透明仆从会招待任何进入房间的人。仆从的外观衣着由你决定，而它们会完全服从你的命令。每个仆从都可以完成一个普通人程度的工作，但它们不能攻击或者进行任何直接伤害其他生物的行动。因而仆从可以完成的工作包括：取来物品、清洁、修理、叠衣服、生火、上菜、倒酒等等。仆从可以去豪宅中的任何地方，但不能离开宅子。由该法术创造的家具和其他物品如果被移出豪宅，就会消散成烟雾。该法术终止时，任何处于该异次元空间内的生物都将被移出空间内，并出现在距离入口最近的开放空间内。</t>
  </si>
  <si>
    <t>Mordenkaine's Magnificent Mansion</t>
  </si>
  <si>
    <t>魔邓肯之剑</t>
  </si>
  <si>
    <t>一把剑柄和柄端由铜与锌打造的微缩铂金剑，价值250gp</t>
  </si>
  <si>
    <t>·你在施法距离内创造出一个闪闪发光的剑形力场，并使其在法术持续时间内维持存在。
·秘法剑出现时，你可以对该剑5尺内的一个自选目标发动一次近战法术攻击。命中时，目标受到3d10点力场伤害。在法术持续时间内，你可以在自己回合使用一个附赠动作将剑移动至多20尺。移动的目的地你必须能够看见，而移动完成后你还可以对同一目标或不同的目标再发动一次该攻击。</t>
  </si>
  <si>
    <t>Mordenkaine's Sword</t>
  </si>
  <si>
    <t>异界传送</t>
  </si>
  <si>
    <t>一根与某个位面完成同调，价值至少250gp的分叉金属短棒</t>
  </si>
  <si>
    <t>·你和至多八个自愿生物手拉手站成一圈，然后被传送到一个不同的存在位面中。你可以概括地指名一个目的地（比如火元素位面的黄铜城，或者九层地狱第二层迪斯帕特的宫殿），然后你将出现在目的地里或其附近附近。假设你想到达黄铜城，按照DM的判断，你可能会传送到达它的钢铁大道上，或它的灰烬之门前，又或者与城市隔着火焰之海相望之处。
·另外，如果你知道某个处于另一位面的传送法阵的印记序列，则该法术可以把你带到该法阵处。如果该传送法阵太小而装不下所有你传送的生物，则他们会出现在离传送法阵最近的未占据空间里。
·你可以用该法术放逐一个非自愿的生物到另一位面。指定一个你触及范围内的生物并对它进行一次近战法术攻击。命中时，此生物必须进行一次魅力豁免。豁免失败者将被传送到你指定位面的一个随机地点。被这样传送走的生物必须自行寻找回到你现在位面的路。</t>
  </si>
  <si>
    <t>Plane Shift</t>
  </si>
  <si>
    <t>律令痛苦</t>
  </si>
  <si>
    <t>·你说出饱含力量的真言，引发距离内一个你可见生物的剧痛。如果目标的生命值为100点或更少，它将遭受强烈的痛苦。否则，法术将对它没有作用。免疫魅惑的生物同样不受该法术影响。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·承受了这种痛苦的目标在它的每个回合结束都可以进行一次体质豁免检定。如果豁免成功，痛苦将结束。</t>
  </si>
  <si>
    <t>Power Word Pain</t>
  </si>
  <si>
    <t>虹光喷射</t>
  </si>
  <si>
    <t>·八条多彩射线从你的手上闪出。每条射线颜色不同且具有不同的威力和作用。在60尺锥状区域内的每个生物必须进行一次敏捷豁免同时掷一次d8决定生效哪种颜色的射线。
·1.红 Red：目标豁免失败时受10d6点火焰伤害，成功则伤害减半。
·2.橙 Orange：目标豁免失败时受10d6点强酸伤害，成功则伤害减半。
·3.黄 Yellow：目标豁免失败时受10d6点闪电伤害，成功则伤害减半。
·4.绿 Green：目标豁免失败时受10d6点毒素伤害，成功则伤害减半。
·5.蓝 Blue：目标豁免失败时受10d6点冷冻伤害，成功则伤害减半。
·6.靛 Indigo：目标豁免失败时受束缚。它必须在其每回合结束时进行一次体质豁免。三次豁免成功后法术终止。三次豁免失败后目标将永久陷入石化状态。成功或失败的豁免不需要连续，只需记下两边的数量直至其中一种达到三次。
·7.紫 Violet：目标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
·8.特殊：目标被两条射线打中。再掷两次，结果为8时再重掷。</t>
  </si>
  <si>
    <t>Prismatic Spray</t>
  </si>
  <si>
    <t>投影术</t>
  </si>
  <si>
    <t>500里</t>
  </si>
  <si>
    <t>价值至少5gp的材料制成的一个你自身的微缩模型</t>
  </si>
  <si>
    <t>·你创造一个自己的幻象分身，并使其在法术持续时间内维持存在。该分身可以出现在施法距离内你曾见过的任何地点，而不论中间是否存在障碍物。该幻象外观和声音与你一样，只是没有现实形体。幻象受到伤害时会立即消失并终止法术。
·你可以用你的动作移动该分身至多两倍于你速度的尺数，而其姿态、言语和行为均按照你的指定作表现。此外幻象还可以完美的模仿你的举止。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</si>
  <si>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Project Image</t>
  </si>
  <si>
    <t>再生术</t>
  </si>
  <si>
    <t>一个转经筒和圣水</t>
  </si>
  <si>
    <t>·你触碰一个生物并加快其自愈速度。目标恢复4d8+15点生命值。在法术持续时间内，目标在它的每回合开始时回复1点生命值（每分钟10点）。
·如果目标失去了某些身体部位（手指、腿、尾巴等等），则这些部位将在2分钟后会重新长出。如果你持有失去的身体部位并且将其手动固定到创口上，则该法术会使该身体部位和创口立即接合。</t>
  </si>
  <si>
    <t>Regenerate</t>
  </si>
  <si>
    <t>复生术</t>
  </si>
  <si>
    <t>一颗至少价值1000gp的钻石，作为该法术的耗材</t>
  </si>
  <si>
    <t>·你触碰一个已死的生物，并使之复活。该目标的死亡时间必须没有超过一百年，其死因不能是老死，且不能是不死生物。此时，如果该生物的灵魂愿意并且能够回来，则受术生物以生命值全满的状态复活。
·该法术同样会中和该生物生前体内的毒素以及罹患的普通疾病，但对于魔法造成的疾病、诅咒和类似的效应则无能为力；如果没有在复活前治愈这些效应，则该生物重获生命的时该效应将继续生效。
·该法术能治愈致命的伤口，也能恢复失去的身体部位。
·死而复生是一个痛苦的体验。复活的目标在随后进行攻击检定、豁免检定和属性检定时具有－4减值。该目标每完成一次长休，其减值就减少1，依次叠加直至减值完全消失。
·使用该法术复活一个已死去一年或更久的生物会使你耗费大量精力。你将无法在完成一次长休前再施放任何法术，且此时你进行的一切攻击检定、属性检定和豁免检定具有劣势。</t>
  </si>
  <si>
    <t>Resurrection</t>
  </si>
  <si>
    <t>反重力</t>
  </si>
  <si>
    <t>一块磁石和一些铁屑</t>
  </si>
  <si>
    <t>·该法术以施法距离内一点为中心，创造一个半径50尺、高100尺柱状的重力反转区域。施展该法术时，区域内一切没有被固定在地面上的生物和物件都会向上落去，直到碰到该区域顶端为止。受术生物可以进行一次敏捷豁免以抓住一件他能触及的固定物件，从而避免向上坠落。
·如果在坠落过程中遇到任何固体（比如天花板），则坠落的物体和生物会受到同样情况下正常坠落时所会受到的冲击。如果一个物体或生物到达该区域的顶部并且没有撞到任何实体，则它将停留在该处并微微振动，直至法术终止。法术持续时间结束后，受术物件和生物将重新坠落下来。</t>
  </si>
  <si>
    <t>Reverse Gravity</t>
  </si>
  <si>
    <t>隔离术</t>
  </si>
  <si>
    <t>钻石、绿宝石、红宝石、蓝宝石得粉尘混合而成的粉末，其价值至少5000gp，作为该法术的耗材</t>
  </si>
  <si>
    <t>·该法术能够将一个自愿的生物或物体藏匿起来，使其在法术结束前都无法被侦测。施展该法术并且触碰目标时，目标变为隐形且不能被作为预言系法术的目标，也无法被预言系法术创造出的传感器所感知。
·如果法术的目标是一个生物，则目标将进入假死状态。时间在受术者的世界中停止了流动，因此它不会衰老。
·你可以设置一个让该法术提前终止的条件。该条件由你自由设定，但必须是发生在目标周围1里内或目标在周围一里内能看见的事件。例如：“1000年以后”或者“当泰拉斯奎巨兽觉醒时”。如果受术者受到任何伤害，则该法术立刻终止。</t>
  </si>
  <si>
    <t>Sequester</t>
  </si>
  <si>
    <t>拟像术</t>
  </si>
  <si>
    <t>12小时</t>
  </si>
  <si>
    <t>一些雪或冰，用来给模拟对象制作一个真人大小的模型；放置在模型上的模拟对象身体的一部分，比如毛发或指甲；以及撒在分身上至少价值1500gp的红宝石粉，作为该法术的耗材</t>
  </si>
  <si>
    <t>·你花费整段施法时间为施法距离内一个野兽或类人生物塑造出一个幻像分身。该分身是一个由冰雪构成的半真实生物，它可以执行动作，也能在其他方面如同正常生物一样受到各种影响。它与其本体生物看起来一样，但是其生命值上限只有本体一半，而且在成型时不带任何装备。除此之外，幻象分身的属性数据都与本体相同。
·拟像对你和你所选定的生物保持友好关系。它会服从你说出的命令，按照你的愿望行动，在战斗中还会在你的回合行动。拟像无法学习，也不知道如何变得更强大，因此它永远不会升级，其他能力也不会变得更强，而它用掉的法术位也不能恢复。
·拟像受损后，你可以在炼金实验室里修理它。拟像每恢复一点生命值就要消耗价值100gp 的稀有矿物和药草。拟像会一直持续到其生命值降至0，随后就变回冰雪并立刻融化。
·再次施放该法术时，任何你已用该法术创造出来并且正在活动中的分身都会立刻被摧毁。</t>
  </si>
  <si>
    <t>Simulacrum</t>
  </si>
  <si>
    <t>魔法徽记</t>
  </si>
  <si>
    <t>水银和磷，以及总计价值至少1000gp的钻石和蛋白石粉末，作为该法术的耗材</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</si>
  <si>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动超过10尺，则其符纹被破坏且法术不被触发即刻终止。
·该符纹近乎隐形，其需要以法术的豁免DC进行一次智力（调查）检定才能被发现。
·你在施法时设定该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文时，你可以从下列选项中选择其一作为该法术的效应。符文一旦被触发就会开始发光，使其周围60尺半径的球状区域处于微光光照并持续10分钟。该时间段过后法术即告终止。符文生效时，所有位于球状区域内的生物即成为法术效应的目标。生物在其回合内第一次进入该区域内或在其中结束其回合时，也同样会成为符文效应的目标。
·死亡 Death：所有目标必须进行一次体质豁免，豁免失败者将受到10d10点黯蚀伤害，豁免成功则伤害减半。
·争斗 Discord：所有目标必须进行一次体质豁免。豁免失败者将在接下来的1分钟内将不停地与其他生物争吵。该时间段内它无法进行任何有意义的沟通，并且其进行的所有攻击检定和属性检定都具有劣势。
·恐惧 Fear：所有目标必须进行一次感知豁免，豁免失败者将陷入1分钟的恐慌状态。被恐慌时，该生物将丢弃其所有持握物，并在其每回合里尽力向远离符文的方向移动至少30尺。
·绝望 Hopelessness：所有目标必须进行一次魅力豁免，豁免失败者将陷入持续1 分钟的绝望。该时间段内它不能进行攻击，也不能对任何生物使用伤害性的能力，法术或其他魔法效应。
·错乱 Insanity：所有目标必须进行一次智力豁免，豁免失败者将陷入持续1分钟的错乱。陷入错乱的生物不能执行动作，也听不懂其他生物的话语看不懂任何文字，而只会胡言乱语。此时将由DM来控制其胡乱的移动。
·苦痛 Pain：所有目标必须进行一次体质豁免，豁免失败者将因极度的痛苦而陷入1分钟的失能状态。
·睡眠 Sleep：所有目标必须进行一次感知豁免，豁免失败者将陷入10分钟的昏迷状态。该睡眠者受到伤害时将会被惊醒，也可以被其他人用一个动作摇醒或打醒。
·震慑 Stunning：所有目标必须进行一次感知豁免，豁免失败则陷入1分钟的被震慑状态。</t>
  </si>
  <si>
    <t>Symbol</t>
  </si>
  <si>
    <t>传送术</t>
  </si>
  <si>
    <t>·该法术将你以及施法距离内你能看见的至多八个自愿生物，或者施法距离内你能看见的一个物件传送到你指定的某处地点。如果你指定一个物件作为法术目标，则该物件必须能被整个放进一个边长10尺的立方体中，且必须没有被一个非自愿生物所着装或携带。
·你只能指定你知道的地点作为传送目的地，而目的地必须与你位于同一个存在位面中。你对目的地的熟悉程度决定你是否能成功抵达。DM可以掷一个d100并查阅下表。
DM可以掷一个d100并查阅下表。 
熟悉程度　　　　遇难　　相似地区　　目标错误　　目标正确
永久法阵　　　　—　　　—　　　　　—　　　　　01-100
相关物品　　　　—　　　—　　　　　—　　　　　01-100
非常熟悉　　　　01-05　 06-13　　　 14-24　　　 25-100
偶尔见过　　　　01-33　 34-43　　　 44-53　　　 54-100 
见过一次　　　　01-43　 44-53　　　 54-73　　　 74-100 
听过描述　　　　01-43　 44-53　　　 54-73　　　 74-100
查无此地　　　　01-50　 51-100　　　—　　　　　— 
·熟悉程度 Familiarity：“永久法阵”指你知道某永久传送法阵的相关符文序列。“相关物件”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偶尔见过”指你见过几次的地方，但你不是很熟悉。“见过一次”指你只见过一次的地方，包括通过魔法看到的地点。“听过描述”指一个你从别人那里听来位置和外观的地点，比如从地图上看来的地点。
  “查无此地”指根本不存在的地点。也许你尝试探知敌人的密室但看到的只是幻像，或者是一个你曾经熟悉但如今已不再存在的地点。
·正中目标 On Target：你和你的队伍（或目标物件）出现在你意料中的地点。
·偏离目标 Off Target：你和你的队伍（或目标物件）出现在目的地随机方向上随机距离的一点。距离误差等于原定移动距离×1d10×1d10×1%。例如，假设你尝试移动120里而不幸偏离目标，并且在掷距离误差时两个d10投出了5和3，那么你的传送距离误差是原定移动距离的15%，也就是18 里。DM 通过掷一次d8来判误差出现在目的地的哪个方向。1 为正北，2为东北，3为正东，依此类推。如果你们想要传送到一个海滨城市但却出现在离岸18里远的海上，那你们可有麻烦了。
·相似地区 Similar Area：你和你的队伍（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 Mishap：该法术的意外魔法效果导致这次旅行特别艰难。尝试传送的所有生物（或目标物件）受到3d10点力场伤害，随后DM重投d100并查阅上表来决定你们出现在哪里（你们可能再次遇难，而每次遇难都要承受该伤害）。</t>
  </si>
  <si>
    <t>Teleport</t>
  </si>
  <si>
    <t>神庙术</t>
  </si>
  <si>
    <t>一个价值至少5gp的圣徽</t>
  </si>
  <si>
    <t>·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·你可以对这座神庙的外观做出所有决定。它的内部被地板、墙壁和屋顶所包围，有一扇作为入口的门扉和任意数量的窗户，如你所愿。只有你或任何你在施法时指定的生物可以开启或关闭这扇门。
·神庙的内部是个开放性空间，在一端摆放着神像或者是祭坛。你决定神庙是否被照亮，决定照亮神庙的是明亮光照还是微光光照。这里的温度适宜，熏香的气味弥漫在空气中。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·此外，预言系法术所创造的传感器不能在神庙中出现，并且神庙里的生物无法被预言系法术定位。
·最后，每次在神庙里的任何生物从1环或更高环的法术中恢复生命时，它将额外恢复等同于你感知调整值的额外生命值（至少1点）。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·如果你在一年中每天都对同一地点施展该法术，法术的效果将持续永久。</t>
  </si>
  <si>
    <t>Temple of the Gods</t>
  </si>
  <si>
    <t>系结本源</t>
  </si>
  <si>
    <t>一卷至少价值250金币的铂金丝线，在施法时被消耗</t>
  </si>
  <si>
    <t>·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·如果被系结的双方中任意一方的HP减少到了0，那么该法术结束。该法术在任意一方身上结束时，另外一方的法术也结束。</t>
  </si>
  <si>
    <t>Tether Essence</t>
  </si>
  <si>
    <t>旋风</t>
  </si>
  <si>
    <t>一根稻草</t>
  </si>
  <si>
    <t>·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·被束缚的生物可以使用一个动作来进行一次力量或敏捷检定，对抗你的法术豁免DC。若成功，该生物不再被旋风束缚，并被向随机方向抛离3d6×10尺远。</t>
  </si>
  <si>
    <t>Whirlwind</t>
  </si>
  <si>
    <t>龙类变形术</t>
  </si>
  <si>
    <t>一个龙形小雕像，价值至少500gp</t>
  </si>
  <si>
    <r>
      <rPr>
        <sz val="11"/>
        <color rgb="FF000000"/>
        <rFont val="仿宋"/>
        <charset val="134"/>
      </rPr>
      <t xml:space="preserve">·伴随着一声咆哮，你用龙族的魔法变化自身，获得多种龙族特征。直至法术结束，你获得以下增益：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t>
    </r>
    <r>
      <rPr>
        <b/>
        <sz val="11"/>
        <color rgb="FF000000"/>
        <rFont val="仿宋"/>
        <charset val="134"/>
      </rPr>
      <t>→</t>
    </r>
    <r>
      <rPr>
        <sz val="11"/>
        <color rgb="FF000000"/>
        <rFont val="仿宋"/>
        <charset val="134"/>
      </rPr>
      <t>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r>
  </si>
  <si>
    <t>Draconic Transformation</t>
  </si>
  <si>
    <t>亚比达奇凋死术</t>
  </si>
  <si>
    <t>一小块海绵</t>
  </si>
  <si>
    <t>·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·在这个区域内的非魔法、非生物植物，例如树木和灌木，会立即死亡。</t>
  </si>
  <si>
    <t>Abi-Dalzim's Horrid Wilting</t>
  </si>
  <si>
    <t>动物形态</t>
  </si>
  <si>
    <t>专注,至多24小时</t>
  </si>
  <si>
    <t>·你施法把其他生物变成野兽。指定施法距离内任意数量的自愿生物，并使每个目标变形为一只挑战等级不超过4，体型不大于大型的野兽。你可以在法术持续时间内以一个动作将受术生物变成其他野兽形态。
·每个受术生物的变形效应持续至法术终止，其生命值降至0或是死亡时，法术效应也将随之终止。你可以分别为每个目标选择不同的形态。而目标的游戏资料则以所选野兽的游戏资料作替换，并保留其本来的阵营，以及智力、感知和魅力值。目标将使用新形态的生命值。而当其变回通常形态时，该目标的生命值也恢复为变形前的数值。如果目标是因为生命值降至0 而变回通常形态，则由通常形态承受溢出的伤害。只要溢出伤害不足以将通常形态生命值降至0，他就不会因此而昏迷。受术生物只能使用新形态的动作，且无法说话或施法。
·目标的装备融入其新形态，而且不能激活或持用装备，也无法以其他任何方式从其装备上获益。</t>
  </si>
  <si>
    <t>Animal Shapes</t>
  </si>
  <si>
    <t>反魔法力场</t>
  </si>
  <si>
    <t>自身(10尺半径球状)</t>
  </si>
  <si>
    <t>一撮铁粉或铁屑</t>
  </si>
  <si>
    <t>·半径10尺的隐形球状反魔法能量环绕着你，将该区域与弥漫在多元宇宙间的魔法能量隔离开来。在该球状力场内：法术无法施放；召唤生物消失无踪；魔法物品也失去其效应。该力场以你为中心移动，直至法术终止。
·除非其来自神器或神祇本身，否则任何法术和魔法效应都将在力场内受压制而无法波及力场内部。在力场内施放的法术，其效应被压制的同时其使用的法术位依然被消耗。被压制的魔法效应不会生效，但其持续时间仍然如常计算。
·目标效应 Targeted Effects：法术或其他魔法效应以生物或物件为目标时（比如魔法飞弹 Magic Missile和魅惑人类 Charm Person），无法对力场内的目标生效。
·魔法区域 Areas of Magic：法术和其他魔法效应产生的区域影响（比如火球术 Fireball），无法波及力场内部。如果力场与某一魔法效应重叠，则该效应在重叠部分被压制。例如，当力场与火墙术产生的火焰重叠时，重叠区域的火焰被压制。如果重叠区域够大，甚至可以将火墙从中间截断。
·法术 Spell：力场中的生物或物件身上生效的法术或其他魔法效应会受到压制。
·魔法物品 Magic Item：魔法物品的属性和威能在力场中受到压制。例如，一把+1长剑在力场中视为一把非魔法长剑。用以攻击力场内目标，或被力场内攻击者持用的魔法武器，其属性和威力将受到压制。如果一把魔法武器或是一发魔法弹药完全离开力场范围（例如，你从力场内向力场外的某个目标发射一支箭矢或是投掷一把标枪），则其中的魔法将在离开力场的瞬间得以恢复。
·魔法旅行 Magic Travel：以力场内区域为起点或终点的传送或位面旅行效应无法生效。在力场内，通往某地、某世界或某位面的传送门，以及次元空间的入口（诸如魔绳术 Rope Trick所创造的区域）都被暂时关闭。
·生物和物件 Creatures and Object：在力场内，由魔法创造或召唤的生物或物件暂时消失。如此消失的生物，在力场不再覆盖其所占据空间时立刻在该处重新出现。
·解除魔法 Dispel Magic：法术和其他魔法效应产生的类似法术解除魔法 Dispel Magic的效应对力场无效。另外，不同来源的反魔法力场 Antimagic Field之间不会相互抵消。</t>
  </si>
  <si>
    <t>Antimagic Field</t>
  </si>
  <si>
    <t>嫌恶_关怀术</t>
  </si>
  <si>
    <t>一小块醋浸湿的明矾（嫌恶）；一滴蜂蜜（关怀）</t>
  </si>
  <si>
    <t>10天</t>
  </si>
  <si>
    <t>·此法术吸引或驱赶你指定的生物。在施法距离内指定一个巨型或更小体型的物件或生物，或是一处不超过200尺的立方区域。你指定一类智慧生物（例如红龙、地精、吸血鬼等），并为目标注入能吸引或是驱赶所选类型生物的灵光。你可以选择嫌恶或是关怀作为法术的效应。
·嫌恶 Antipathy：法术的影响让你选定类型的生物不可遏止的想要远离受术目标。当符合条件的生物看到目标或是距离目标不足60尺时，该生物必须进行一次感知豁免并成功通过，否则将陷入恐慌。只要还能看到目标或是在目标60尺内，该生物就会维持恐慌状态。陷入该恐慌状态的生物必须自主移动至附近无法看到目标的安全地点。离开目标至少60尺且无法看到目标后，该生物的恐慌状态终止。但再次看到目标或是进入目标60尺内时他也将再次陷入恐慌。
·关怀 Sympathy：法术的影响让你选定类型的生物不可遏止的想要接近受术目标。当符合条件的生物看到目标或是距离目标不足60尺时，该生物必须进行一次感知豁免并成功通过，否则便会每回合自主移动并靠近目标。靠近后，该生物不能自主的远离目标。
·若目标对该生物造成伤害或是以其他方式对其造成危害，则该生物可以再进行一次感知豁免以终止效应，详情见下节。
·终止效应 Ending the Effect：如果受影响的生物在距离目标60尺外或是无法看到目标的地方终止其回合，则其可以进行一次感知豁免，豁免成功则不再受法术影响并意识到厌恶感或诱惑力是来自魔法的影响。另外，在法术持续时间内，受影响的生物每24小时可以再进行一次感知豁免。
·对该法术效应豁免成功的生物在1分钟内免疫该效应，但随后仍会受该效应影响。</t>
  </si>
  <si>
    <t>Antipathy/Sympathy</t>
  </si>
  <si>
    <t>克隆术</t>
  </si>
  <si>
    <t>一枚至少价值1,000gp的钻石以及被克隆生物1立方寸的肉，作为该法术的耗材。外加一副至少价值2,000gp的带密封功能的大容器，其尺寸必须足以存放一个中型生物，例如一个巨大的瓮或灵柩，或是立在地上充满浆状物质的卵囊，又或者充满盐水的水晶棺</t>
  </si>
  <si>
    <t>·此法术用以培养一个活体生物的无意识复制体作为其死亡时的保险措施。该克隆体在一个密封容器中成长，并在120日后成熟；你还可以为同一个生物制作较年轻版本的肉体。在容器未被影响的情况下，该躯体会永远保持无意识的静止状态。
·克隆体成长成熟后，如果本体生物死亡，则其灵魂转移到克隆体中，前提是该灵魂必须保持自由且自愿复活。克隆体的肉体特质与本体相同，并具有相同的个性、记忆和能力，但并不拥有本体随身的装备。由于灵魂已经转移到别处，该生物原本的遗体（如果依然存在）失去活力，且不能被复活。</t>
  </si>
  <si>
    <t>Clone</t>
  </si>
  <si>
    <t>操控天气</t>
  </si>
  <si>
    <t>自身(5里半径)</t>
  </si>
  <si>
    <t>点燃的焚香和一点混有泥土和木屑的水</t>
  </si>
  <si>
    <t>·你在法术持续时间内控制自身5里范围内的天气状况。施展该法术时你必须身处户外，而一旦移动到无法直接看到天空的地点时，法术也会随即终止。
·本来由DM基于季节和气候所决定的天气状况，在你施展此法术时可以由你随意操控。你可以改变降水、气温以及风势等状况。新的天气状况生效需要经过1d4×10分钟的时间才能完成。状况改变完成后，你可以再次对当前对天气状况作改变。法术终止时，天气将渐渐恢复成平常状态。
·改变天气状况时，你可以从以下表格查明与目前对应的等级，再选择同一表格中高一级或低一级的状况作为其改变结果。改变风势时，你还可以同时改变其风向。
降水Precipitation 
等级 状况 
1    天晴clear 
2    薄云light clouds 
3    多云overcast或有雾ground fog 
4    下雨rain，下冰雹hail或下雪snow 
5    暴雨torrential rain，大冰雹driving hail或暴雪blizzard 
气温Temperature 
等级 状况 
1    酷热unbearable heat 
2    炎热hot 
3    暖和warm 
4    清凉cool 
5    寒冷cold 
6    严寒arctic cold 
风势Wind 
等级 状况 
1    无风calm 
2    和风moderate wind 
3    强风strong wind 
4    狂风gale 
5    暴风strom</t>
  </si>
  <si>
    <t>Control Weather</t>
  </si>
  <si>
    <t>暗黑星辰</t>
  </si>
  <si>
    <t>一小块碎玛瑙与一滴施法者的血液，在施法时被消耗</t>
  </si>
  <si>
    <t>·该法术在施法距离内以你选择的一点为圆心创造一个球形范围。该圆形半径至多为40尺。区域内充斥着魔法黑暗与毁灭性的重力能量。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</si>
  <si>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</si>
  <si>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创造半位面</t>
  </si>
  <si>
    <t>·你在施法距离内一处能看见的平面上创造一扇形状模糊的门。门的大小足以让中型生物在其间通行无阻。门开启时，其通向一个边长30尺，由木质或石质组成的空房间半位面。法术终止时，门消失不见，而半位面中的门也消失不见，并把任何还在半位面的生物或物件困在其内。
·你每次施展此法术时都可以创造一个新的半位面，也可以连向用此法术创造的旧有的半位面。另外，如果你知晓了某个其他生物用此法术创造的半位面，则你也可以通过此法术连接到那里。</t>
  </si>
  <si>
    <t>Demiplane</t>
  </si>
  <si>
    <t>支配怪物</t>
  </si>
  <si>
    <t>·你试图安抚一个施法距离内你能看见的生物，必须成功通过一次感知豁免，否则将在法术持续时间内被你魅惑。若它正与你或你的友方生物战斗，则其进行该豁免时具有优势。
·该生物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·升环施法效应。使用9环法术位施展该法术时，持续时间变为：专注，至多8小时。</t>
  </si>
  <si>
    <t>Dominate Monster</t>
  </si>
  <si>
    <t>地震术</t>
  </si>
  <si>
    <t>一撮泥土、一块岩石和一坨粘土</t>
  </si>
  <si>
    <t>·你在施法距离内一处能看见的地面上指定一点，并在其上制造地震扰动。在法术持续时间内，一阵强烈的震颤在震源周边半径100尺的圆形范围内传递，并使区域内地上的生物和建筑都受到震动影响。
·受影响区域内的地面变为困难地形。而区域地面上的每个正在进行专注的生物都必须进行一次体质豁免，豁免失败则其专注被打断。
·在你施展此法术以及随后保持专注的每回合结束时，区域地面上的每个生物都必须进行一次敏捷豁免，豁免失败则生物应击倒地。
·根据施法区域的地形，DM可以决定是否应用额外的效应。
·裂缝 Fissures：在施展此法术的下一个回合开始时，法术影响区域会撕开一道道裂缝。1d6条裂缝在DM安排的位置出现。每条裂缝深1d10×10尺，宽10尺，并由影响区域的一边向另一边延伸。裂缝撕开时，将处于其位置上的生物必须成功通过一次敏捷豁免，否则将坠落其中。豁免成功则该生物移动到裂缝旁边。
·裂缝上的建筑会直接崩塌，详情如下。
·建筑 Structures：在你施展此法术及法术终止前你的每个回合开始时，地震对影响区域内的所有建筑都造成50点钝击伤害。建筑生命值降为0时立即崩塌，且可能对附近生物造成伤害。与该建筑距离不大于该建筑高度一半的生物，都必须进行一次敏捷豁免。豁免失败则受5d6点钝击伤害并应击倒地且埋于废墟之下。该生物可用一个动作来进行一次DC20的力量（运动）检定来尝试逃离废墟。DM可根据废墟的情况调整DC高低。豁免成功时伤害减半，且不会倒地或被掩埋。</t>
  </si>
  <si>
    <t>Earthquake</t>
  </si>
  <si>
    <t>弱智术</t>
  </si>
  <si>
    <t>一把粘土，水晶，玻璃或矿物球</t>
  </si>
  <si>
    <t>·指定施法距离内一个你能看见的生物，并尝试摧毁其理智与人格。目标受4d6点心灵伤害且须进行一次智力豁免。
·豁免失败时，该生物的智力和魅力变为1。受术生物将不能施法，也不能启动魔法物品，甚至不能听懂语言或以智慧方式沟通。但该生物仍可以辨识、跟随伙伴，甚至保护他们。
·受术生物每过30日即可在当日结束时重新进行一次豁免，豁免成功则该法术效应终止。
·另外，高等复原术 Greater Restoration，医疗术 Heal或者许愿术 Wish可直接终止该法术的效应。</t>
  </si>
  <si>
    <t>Feeblemind</t>
  </si>
  <si>
    <t>花言巧语</t>
  </si>
  <si>
    <t>·直至法术终止前，你每次进行魅力检定时可以用15代替你掷出的数值。此外，无论你说什么，判断你是否说谎的魔法都会将你的话视为真实。</t>
  </si>
  <si>
    <t>Glibness</t>
  </si>
  <si>
    <t>圣洁灵光</t>
  </si>
  <si>
    <t>一个价值至少1,000gp的小圣物箱，内含一件圣遗物，例如某位圣者长袍上的一片碎布，或者某本宗教典籍中的一张羊皮纸</t>
  </si>
  <si>
    <t>·神圣的光芒从你身体中奔涌而出，在你身边汇聚成半径30尺的柔光。施展该法术时，你指定处于柔光范围内的若干生物。被指定生物散发出半径5尺的微光光照，且其进行的所有豁免均具有优势，而其他生物对它们进行的攻击检定具有劣势。该效应将持续至法术终止。另外，当一个邪魔或不死生物以近战攻击命中受术生物时，其灵光将产生耀眼的爆发，而攻击者必须进行一次体质豁免，豁免失败者将陷入目盲直至法术终止。</t>
  </si>
  <si>
    <t>Holy Aura</t>
  </si>
  <si>
    <t>幻影巨龙</t>
  </si>
  <si>
    <t>·你汇聚、编织从堕影冥界收集的阴影物质，随后在施法距离内你可见的未占据空间创造出巨型阴影龙。这个幻象会占据所在空间并持续到法术结束，就好像是一个真实生物。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</si>
  <si>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</si>
  <si>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焚云术</t>
  </si>
  <si>
    <t>·一片充满了炽热灰烬的旋转烟云显现，并以施法距离内一点为中心的蔓延至半径20尺的球状区域。烟云会绕过拐角扩散并使整个区域处于重度遮蔽，并在法术终止前持续存在。此外烟云还可以被和风或强度等级更高的风势（风速至少每小时10里）所吹散。
·烟云出现时，每个处在其内的生物都必须进行一次敏捷豁免，豁免失败者将受到10d8点火焰伤害，豁免成功则伤害减半。生物在一个回合内第一次进入烟云内，或者在烟云内结束其回合时，也必须进行该豁免。
·在你的每回合开始时，烟云会向你指定的方向直线移动10尺。</t>
  </si>
  <si>
    <t>Incendiary Cloud</t>
  </si>
  <si>
    <t>疯狂之暗</t>
  </si>
  <si>
    <t>一滴沥青与一滴水银的混合物</t>
  </si>
  <si>
    <t>·魔法黑暗从范围内你指定的一点延伸至半径60尺的球形范围，直到法术结束。黑暗会蔓延过拐角。生物的黑暗视觉不能看穿这片黑暗。非魔法的光源，以及8环和8环以下法术创造的光亮不能照亮这片区域。
·尖叫声，低语声，以及疯狂的大笑声时不时能从球形范围内听见。每当一名生物在范围内开始回合，它必须进行一次感知豁免，失败时将受到8d8心灵伤害，成功则只承受一半。</t>
  </si>
  <si>
    <t>Maddening Darkness</t>
  </si>
  <si>
    <t>迷宫术</t>
  </si>
  <si>
    <t>·你将施法距离内一个你能看见的生物放逐到一个迷宫般错综复杂的半位面。目标将一直留在该处直至法术持续时间结束，或者直到它逃出该迷宫。
·目标可以使用其动作尝试逃出迷宫。此时它可以进行一次DC20的智力检定，检定成功者将逃出迷宫，而该法术随之终止。牛头人和巨牛魔进行该检定时直接成功。
·法术终止时，目标将重新出现在它之前消失的位置。如果该位置被占据，则目标出现在最近的未占据位置。</t>
  </si>
  <si>
    <t>Maze</t>
  </si>
  <si>
    <t>坚固堡垒</t>
  </si>
  <si>
    <t>一颗价值至少500GP的钻石，作为此法术的耗材</t>
  </si>
  <si>
    <t>·一座岩石的堡垒从施法距离内你选择的一处可见的方形地面升起。这块区域需要在每一边上有至少120尺，并且必须没有任何建筑或其他构造物立于其上。所有处于区域内的生物在堡垒升起时将会被无害地举起。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·你在施展法术时可以指定任意生物，有100个隐形的侍从作为堡垒的职工遵从他们的任何命令。每一个侍从都如同隐形仆役法术的造物，有近似的功能。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·在7天之后，或当你在别处再次施展该法术，堡垒会无害地坍塌并沉入地面，把其中的任何生物安全地留在地上。
·在一年之间，每7天一次在相同的位置施展该法术会让堡垒永久存在。</t>
  </si>
  <si>
    <t>Mighty Fortress</t>
  </si>
  <si>
    <t>心灵屏障</t>
  </si>
  <si>
    <t>·直至法术终止前，你所触碰的一个自愿生物对下列项目具有免疫：心灵伤害；任何可以感知到其情绪或阅读其思想的效应；预言法术；魅惑状态。当目标受祈愿术 Wish或者其他威力相当的法术或效应影响心智或窃获信息时，其也能以该法术进行阻挡。</t>
  </si>
  <si>
    <t>Mind Blank</t>
  </si>
  <si>
    <t>律令震慑</t>
  </si>
  <si>
    <t>·你说出一蕴含威力的单词，其足以使施法距离内一个你能看见的生物意志受压迫而震惊。如果你所指定的生物现有生命值为150或更少，则其被震慑。否则该法术不产生任何效应。
·被震慑目标必须在其每回合结束时进行一次体质豁免。豁免成功，则此震慑效果终止。</t>
  </si>
  <si>
    <t>Power Word Stun</t>
  </si>
  <si>
    <t>崩坏现实</t>
  </si>
  <si>
    <t>一个水晶棱镜</t>
  </si>
  <si>
    <t>·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</si>
  <si>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</si>
  <si>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阳炎爆</t>
  </si>
  <si>
    <t>一块猫眼石和一团明火</t>
  </si>
  <si>
    <t>·灿烂的阳光照耀施法距离内指定的一点为中心周围60尺半径的区域。所有位于该光芒中的生物必须进行一次体质豁免。豁免失败者将受到12d6点光耀伤害，并陷入1分钟的目盲状态。
·豁免成功则伤害减半，且不会陷入目盲。不死生物和泥怪进行该豁免时具有劣势。
·因该法术陷入目盲的生物在其每回合结束时都可以再进行一次体质豁免。豁免成功则不再目盲。
·该法术将驱散法术区域内所有由法术所创造的黑暗。</t>
  </si>
  <si>
    <t>Sunburst</t>
  </si>
  <si>
    <t>心灵感应</t>
  </si>
  <si>
    <t>一对相连的银戒指</t>
  </si>
  <si>
    <t>·你与一个你熟识的自愿生物建起心灵连接。该生物可以身处你所在的位面的任意位置。一旦你与目标生物不再位于同一位面则该法术随即终止。
·直至法术终止前，你可以和目标生物通过心灵连接即时共享任何言语、图像、声音以及其他形式的感官信息，而目标也能够辨认出与之交流的对象正是你本人。该法术可以让智力值至少为1的目标生物理解你的言语并接收任何你所发送的感官信息。</t>
  </si>
  <si>
    <t>Telepathy</t>
  </si>
  <si>
    <t>海啸术</t>
  </si>
  <si>
    <t>专注,至多6轮</t>
  </si>
  <si>
    <t>·你指定施法距离内一点并从中升起一面水墙。水墙长不过300尺，高不过300尺，厚不过50尺，且持续存在至法术终止。
·水墙出现时，所有位于水墙内的生物都要进行一次力量豁免。豁免失败者将受到6d10点钝击伤害，豁免成功则伤害减半。
·水墙出现后，将在你每一回合开始时带着其内的所有生物一起向远离你的方向移动50尺。当水墙进入一个巨型或更小体型生物所占据空间，或他们原本就处于墙内时，该生物必须进行一次力量豁免，豁免失败则受到5d10点钝击伤害。该伤害一轮里对同一个生物只生效一次。在你的回合结束时，水墙的高度减少50尺，且其随后每轮对生物造成的伤害也减少1d10。当水墙高
度变为0尺时法术终止。
·淹没在水墙中的生物可以用游泳的方式移动，由于波涛阻力影响，该生物必须要进行一次对抗该法术DC的力量（运动）检定以决定起能否成功移动，而检定失败者则无法移动。通过移动离开水墙区域的生物会直接掉到地上。</t>
  </si>
  <si>
    <t>Tsunami</t>
  </si>
  <si>
    <t>星界投影</t>
  </si>
  <si>
    <t>为此法术影响的每个生物准备一枚至少价值1000gp的红锆石jacinth，以及一根做工精细，至少价值100gp的银棒</t>
  </si>
  <si>
    <t>·你和施法距离内至多八名自愿的生物将躯体投影到星界（如果你已经在星界，则法术失败且被消耗）。你原本的躯体昏迷并进入静止状态，即其不需要空气和食物也不会衰老。
·你的星界躯体几乎完美的保持了原本的形态，并保留你本体的游戏资料和随身物。星界躯体和你本体的主要区别是从你肩胛骨间向后伸出的一条银线。这条可见长度仅有一尺的银线是你星界躯体和本体间的联系。只要银线保持完好，你总能找到回原本世界的路。只有明确注明可以切断这种银线的效应才可以将其切断。切断银线会将你的灵魂和躯体分离，并将你杀死。
·你的星界躯体可以在星界任意旅行，并能穿过星界的传送门到达其他位面。如果你到达一个新位面，或是回到你施法时所在的位面，你的本体和物品将沿着银线被传送，使你以本体的形态到达新位面。你的星界躯体是单独的实体。星界躯体承受的伤害或效应不会反映在你的本体上，也不会在你回到本体时保持。
·你可以使用一个动作来解散法术，并终止其对你与同伴产生的效应。法术终止时，受术的生物回到其原本的躯体并苏醒。
·你或你的某位同伴会存在提前终止法术效应的情况。对某生物的本体或星界躯体成功施展解除魔法 Dispel Magic将终止生物的投影效应。如果某生物的本体或星界躯体的生命值降至0，则该生物自身的投影效应终止。如果法术终止时银线依然保持连接，则受术生物会被拉回原本的躯体，并脱离静止状态。
·如果你在法术终止前被送回本体，你的同伴将被留在星界，只能自行返回（通常通过生命值降至0 的方式）。</t>
  </si>
  <si>
    <t>Astral Projection</t>
  </si>
  <si>
    <t>灾祸之刃</t>
  </si>
  <si>
    <t>·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点力场伤害。该攻击在d20投出18或更高时造成重击，并在重击时造成额外4d12点力场伤害（共计12d12点力场伤害）。
·你可以在自己回合内以一个附赠动作让该武器移动至多30尺到一个你可以看见的未被占据的空间，随后再用其进行两次近战法术攻击。
·该剑刃可以无害地通过任何屏障，包括一道力场墙。</t>
  </si>
  <si>
    <t>Blade of Disaster</t>
  </si>
  <si>
    <t>预警术</t>
  </si>
  <si>
    <t>一根蜂鸟的羽毛</t>
  </si>
  <si>
    <t>·你触碰一个自愿生物，并授予其预示最近未来事件的有限能力。该目标在法术持续时间内无法被突袭，并且其进行的攻击检定、属性检定和豁免检定均具有优势。而其他生物对其进行攻击检定时具有劣势。
·如果你在法术持续时间结束前再施展该法术，则原法术效应即时终止。</t>
  </si>
  <si>
    <t>Foresight</t>
  </si>
  <si>
    <t>异界之门</t>
  </si>
  <si>
    <t>一枚价值至少5,000gp的钻石</t>
  </si>
  <si>
    <t>·你召唤一扇传送门将施法距离内你能看到的一处未被占据空间与一个不同位面的特定地点连接在一起。传送门是你打开的一个直径5到20尺的圆形开口。其开口朝向你指定的任意方向，并持续至法术终止。
·传送门在某个位面显现时有着明确的正反面。只有从正面穿过传送门的事物才能实现其传送功能，从而传送至另一位面，并在离传送门最近的未占据空间中显现。
·神祗和其他位面统治者可以阻止该法术在其所在或属于其领域的任何地点创造传送门。
·施展该法术时，你可以说出某个特定生物的名字（不能是假名、头衔、绰号等）。如果该生物在与你不同的位面，则传送门会紧挨被指名生物打开并将该生物吸进传送门。此时该生物会从你所在的传送门另一头出现，并显现在距传送门最近的未被占据空间。你不会获得任何被传送生物的特殊能力，而它此时可以自由的作任何DM认为合适的行动。它可能离开，也可以攻击你或协助你。</t>
  </si>
  <si>
    <t>Gate</t>
  </si>
  <si>
    <t>禁锢术</t>
  </si>
  <si>
    <t>一张写有对目标详细描述的牛皮纸或者一个与目标相似的小雕像，以及对应所选择法术版本的特殊材料，其价值为对应目标每粒生命骰至少花费500gp</t>
  </si>
  <si>
    <t>·你创造一个魔法监牢，将施法距离内一个你能看见的生物监禁于其内。目标必须进行一次感知豁免，豁免失败则被该法术禁锢；对于成功通过豁免的生物，若你再次对其施展该法术，则它对该法术免疫。被该法术禁锢时，目标生物不需要呼吸，不需要吃喝，也不会变老。预言法术也无法定位或感知到该目标。你在施展该法术时从下列选项中选择一种监牢的形式：
·埋葬 Burial：目标被深埋在远离地表的球状魔法力场内，其大小刚好能包覆住目标。任何事物均无法穿过该力场，且任何生物均无法通过传送或位面旅行进出该力场。（特殊材料为一个秘银小球）
·锁链 Chaining：沉重的锁链牢固地深植于大地，将目标禁锢在原地。目标被束缚至法术终止，其间它不能移动或以任何方式被移动。（特殊材料为一截精美的贵金属链）
·避世监牢 Hedged Prison：该法术将目标传送至一个隔绝了传送和位面旅行的小型半位面。该半位面可以是一个迷宫，一间牢房，一座塔楼，或是任意由你选择的幽闭建筑或区域。（特殊材料为一个玉制的监牢微缩模型）
·微缩牢笼 Minimus Containment：目标被缩小到1寸高，并囚禁于一块宝石或是类似的物件里。光线可以正常地穿透宝石（这让目标可以看到外面，其他生物也可以看到里面），但其他任何事物均无法在其内进出，即使是通过传送或位面旅行等手段也不行。只要法术仍然生效，该宝石就无法被切开或打碎。（特殊材料为一大块透明的宝石，例如刚玉，钻石或红宝石）
·沉睡 Slumber：目标陷入昏睡且无法被唤醒。（特殊材料为稀有的催眠药草）
·终止法术：无论是法术的哪个版本，你都可以在施法过程中设定一个使法术终止并释放目标的条件。此条件可以按你的意愿设定其明确或复杂的程度，但必须经由DM认可该条件的合理性及可实现性。此条件可以根据一个生物的名字，身份或神格来设定，但在其他方面必须基于可观察到的行为或特性，而不能基于诸如等级，职业或生命值这类无形之物。
·法术解除魔法 Dispel Magic可以终止该法术，但只有使用9环法术位并针对监牢或针对创造监牢效果的特殊物质施展时才有效。
·你在同一时间内，使用同一种特殊材料只能创造一个监牢。如果你使用了同样的材料再次施展该法术，则先前被监禁的生物立刻从禁锢中解脱摆脱恢复自由。</t>
  </si>
  <si>
    <t>Imprisonment</t>
  </si>
  <si>
    <t>无敌术</t>
  </si>
  <si>
    <t>一小块价值至少500GP的精金，作为本法术的耗材</t>
  </si>
  <si>
    <t>·你免疫所有伤害直到法术结束。</t>
  </si>
  <si>
    <t>Invulnerability</t>
  </si>
  <si>
    <t>群体医疗术</t>
  </si>
  <si>
    <t>·泉涌般的治愈能量从你流向你周围受伤的生物。你为施法距离内任意数量你能看见的生物恢复总计至多700点生命值，而具体治疗量则由你随意分配。受该法术所治疗的生物其所有疾病以及导致它们目盲或耳聋的效应也一并被治愈。该法术对不死生物和构装生物无效。</t>
  </si>
  <si>
    <t>Mass Heal</t>
  </si>
  <si>
    <t>群体变形术</t>
  </si>
  <si>
    <t>一个毛毛虫的茧</t>
  </si>
  <si>
    <t>·你可以转变施法距离内最多10个由你选择的可见生物。非自愿的目标必须通过一次感知豁免检定来对抗变形。非自愿的变形者（shapechanger）在这次豁免中自动成功。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·生物能进行的动作被它新形态的特质所限制。它将不能说话、施展法术、或是做其他需要用到手或言语的事情。
·目标的装备融合进新形态，目标生物不能启动，使用，挥舞或其他方式从它的装备上获得增益。</t>
  </si>
  <si>
    <t>Mass Polymorph</t>
  </si>
  <si>
    <t>流星爆</t>
  </si>
  <si>
    <t>·指定施法距离内四个你能看见的不同地点，并使熊熊燃烧的流星垂直坠落其地面。爆破的流星影响以指定点为中心，周边40尺半径的球状区域，区域影响会绕过拐角扩散。区域内的每个生物必须进行一次敏捷豁免。豁免失败者将受到20d6点火焰伤害和20d6点钝击伤害，豁免成功则伤害减半。另外，同时处于多个爆炸范围内的生物仍只受一次效应影响。
·该法术会对区域内的物件造成伤害，并点燃所有未被着装或携带的易燃物。</t>
  </si>
  <si>
    <t>Meteor Swarm</t>
  </si>
  <si>
    <t>律令医疗</t>
  </si>
  <si>
    <t>·一波治疗能量覆盖你所触碰的生物，并使目标回复其所有的生命值。如果该生物正处于魅惑，惊惧，麻痹或震慑状态，则终止相应状态。如果该生物正处于倒地状态，则他可以执行其反应站起。该法术无法对不死生物和构装生物生效。</t>
  </si>
  <si>
    <t>Power Word Heal</t>
  </si>
  <si>
    <t>律令死亡</t>
  </si>
  <si>
    <t>·你读出一威力满溢的单词，其足以使施法距离内一个你能看见的生物立即死亡。如果你所指定的生物现有生命值为100或更少，则其立即死亡。否则该法术不产生任何效应。</t>
  </si>
  <si>
    <t>Power Word Kill</t>
  </si>
  <si>
    <t>虹光法墙</t>
  </si>
  <si>
    <t>·由光构成的闪光多彩平面形成一幅不透光的墙壁。墙壁垂直于地面，其至多长90尺，高30尺，厚1寸，并以施法距离内你能看见的一点为源点。你也可以将此墙塑造成一个直径至多30尺的球体，并以施法距离内你能看到的一点为中心。法墙在法术持续时间内维持在原地。如果定位法墙位置时可能使其穿过有生物占据的空间，则本次施法失败，而你的动作和法术位仍然会被浪费。
·法墙延伸出100尺的明亮光照外加100尺的微光光照。你和施放该法术时指定的生物可以穿过法墙或停留在法墙附近而不受伤害。如果其他能看见法墙的生物移动到距墙20尺内区域或在该处开始其回合，则该生物必须进行一次体质豁免，豁免失败则陷入1分钟的目盲状态。
·法墙由七层组成，每层都有不同颜色。生物试图进入或穿过法墙时，将一层层穿过法墙所有的光层。其每穿过一层就必须进行一次敏捷豁免，豁免失败则受下列光层特性影响。
·法墙可以被摧毁，不过也必须由红到紫的顺序一次一个光层的通过具体每层。某个光层一旦被摧毁则其在法术持续时间内保持被摧毁状态。反魔法力场 Antimagic Field无法对法墙生效，法术解除魔法 Dispel Magic只对紫墙有效。
·1.红 Red：生物豁免失败时受到10d6点火焰伤害，豁免成功则伤害减半。此光层存在时，非魔法远程攻击无法穿过法墙。光层受至少25点冷冻伤害时被摧毁。
·2.橙 Orange：生物豁免失败时受到10d6点强酸伤害，豁免成功则伤害减半。此光层存在时，魔法远程攻击不能穿过法墙。光层受强风吹袭后被摧毁。
·3.黄 Yellow：生物豁免失败时受到10d6点闪电伤害，豁免成功则伤害减半。光层受至少60点力场伤害时被摧毁。
·4.绿 Green：生物豁免失败时受到10d6点毒素伤害，豁免成功则伤害减半。光层在受法术穿墙术 Passwall，或者其它相同或更高环阶法术在固态表面开口的效应影响时被摧毁。
·5.蓝 Blue：生物豁免失败时受到10d6点冷冻伤害，豁免成功则伤害减半。光层受至少25点火焰伤害时被摧毁。
·6.靛 Indigo：生物豁免失败时受束缚。其每回合结束时进行一次体质豁免。三次豁免成功后法术终止。三次豁免失败后目标将永久陷入石化状态。成功或失败的豁免不需要连续，只需记下两边的数量直至其中一种达到三次。此光层存在时法术无法穿过。光层受昼明术 Daylight，或者其他相同或更高环阶法术发出的明亮光线照射时被摧毁。
·7.紫 Violet：生物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该光层在受法术解除魔法 Dispel Magic，或者其他类似的相同或更高环阶法术所产生的终止法术魔法效应的影响时被摧毁。</t>
  </si>
  <si>
    <t>Prismatic Wall</t>
  </si>
  <si>
    <t>心灵尖啸</t>
  </si>
  <si>
    <t>·你释放你的心灵力量，轰击施法距离内至多10个由你选择的可见生物的心智。智力值为2或更低的生物不受影响。
·每个目标都必须进行一次智力豁免检定。若豁免失败，目标受到14d6心灵伤害并且被震慑。豁免成功则只承受一半且不被震慑。如果一个有头的目标被这个伤害杀死，它的头会爆炸。
·一个被震慑的生物可以在它每个回合结束时重新进行智力豁免。若豁免成功，震慑效果将结束。</t>
  </si>
  <si>
    <t>Psychic Scream</t>
  </si>
  <si>
    <t>饕餮虚空</t>
  </si>
  <si>
    <t>1000尺</t>
  </si>
  <si>
    <t>一只铁制的小九芒星</t>
  </si>
  <si>
    <t>·你以施法距离内你可见的一点为源点创造一个半径20尺的毁灭性球形力场。在法术持续时间内，球形力场与其100尺范围内的空间视为困难地形，且完全处于力场内的未被着装与携带的非魔法物件会被摧毁。
·当力场出现时或者在你的每回合开始时，力场的100尺范围内未被着装的物件将被直直拉向力场的中心，并在距离力场中心最近的未被占据的空间停止。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</si>
  <si>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</si>
  <si>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形体变化</t>
  </si>
  <si>
    <t>至少价值1500gp的玉环，并在施法时戴在头上</t>
  </si>
  <si>
    <t>·你在法术持续时间内变形为另一个生物。你的新形态可以是任何挑战等级小于等于你等级的生物。该类生物不能是构装生物或不死生物，而且你必须见过该类生物至少一次。你变形成该类生物中一个普通的个体，没有任何职业等级，也不具有施法特性。
·你的游戏资料以目标生物的数据代替，但你的阵营，以及智力、感知和魅力值不变。你同样保留你的所有技能和豁免的熟练项，并且还能获得目标生物的技能和豁免的熟练项。如果目标生物和你都具有某熟练项，且目标生物在这该项的熟练加值比你高，则你在该项检定时使用较高的熟练加值而非自己的原加值。你不能使用新形态的传奇动作和巢穴动作。
·你的生命值和生命骰变成和新形态一样。当你变回原形时，你的生命值恢复变形前的状态。如果你因为生命值降至0以下而变回原形，则你的正常形态将承受所有溢出的伤害。只要该伤害不足以把你在正常形态下的生命值也降至0，你就不会因此陷入昏迷。
·你依然可以获得你的职业特性、种族特性和其他特性带来的增益，前提是你的新形态在物理上必须能够做到这些事。你不能使用任何之前享有的特殊感官（例如黑暗视觉），除非你的新形态也有这种感官。如果你变形成的生物通常不能说话，那么你也不能说话。
·变形时，你可以选择你的装备掉到地上、融入新的形态中还是继续着装。继续着装的装备依然拥有正常情况下的功能。DM要根据新形态的外形和大小来判断你在新形态下是否能够继续着装你身上的每件装备。你的装备不会改变形状和尺寸以适应你的新形态，而新形态下不能着装的装备只能掉到地上或融入新的形态中。融入新形态的装备将不会产生任何效应。
·在法术持续时间内，你可以用你的动作转换为另一形态。重新变形的规则与限制与第一次变形相同，只有一点不同：如果新形态的生命值比你当前的形态要多，那么你的生命值将保持为当前值不变。</t>
  </si>
  <si>
    <t>Shapechange</t>
  </si>
  <si>
    <t>复仇风暴</t>
  </si>
  <si>
    <t>·一团翻腾搅动的乌云并以你能看见的一点为中心一直扩散至半径360尺的区域，并使该区域内充斥着电闪雷鸣与狂风呼啸。所有位于云团下的生物（处于云团下方5000尺内）必须进行一次体质豁免。豁免失败者将受到2d6点雷鸣伤害，并陷入持续5分钟的耳聋状态。
·你每维持一轮该法术的专注，风暴就会在你的回合中产生新的效应：
·第2轮：云层中降下酸雨。所有位于云团下方的生物和物件受到1d6点强酸伤害。
·第3轮：你从云中召下六束闪电击向你指定的六个位于云团下的生物或物件，其中任一生物或物件都只能被该闪电击中一次。遭电击的生物必须进行一次敏捷豁免，豁免失败者将受到10d6点闪电伤害，豁免成功则伤害减半。
·第4轮：冰雹从云团中倾泻而下。所有位于云团下方的生物将受到2d6点钝击伤害。
·第5－10轮：狂风和冰雨冲袭着云团下的区域，使该区域变为困难地形并造成重度遮蔽。该区域内的所有生物受到1d6点冷冻伤害。该区域内无法进行远程武器攻击。而其内的强风和暴雨将对维持法术专注造成严重干扰。此外，区域内的强风（风速在每小时20到50里）会自动吹散区域内的一切魔法或非魔法的烟雾以及其他类似现象。</t>
  </si>
  <si>
    <t>Storm of Vengeance</t>
  </si>
  <si>
    <t>时光蹂躏</t>
  </si>
  <si>
    <t>一个装满了钻石粉尘的沙漏，其价值至少为5000金币, 会在施法时消耗</t>
  </si>
  <si>
    <t>·你选定一个施法距离内的目标，使他的身体形态受到飞速衰老的破坏。目标必须进行一个体质豁免并在豁免失败时受到12d10点黯蚀伤害,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</si>
  <si>
    <t>Time Ravage</t>
  </si>
  <si>
    <t>时间停止</t>
  </si>
  <si>
    <t>·你使时间在除你之外所有生物的世界中暂时停止流动。你一次性进行1d4+1个回合，在这段过程内时间对于其他生物来说是静止的，但你可以像正常一样移动和使用动作。
·在法术持续时间内，如果你的一个动作或任何你创造出来的效应影响到除你之外的任何生物，或影响到其他生物着装或携带的物件时，该法术将立即终止。此外，如果你在施法后移动离开施法位置超过1000尺，则法术也将因此终止。</t>
  </si>
  <si>
    <t>Time Stop</t>
  </si>
  <si>
    <t>完全变形术</t>
  </si>
  <si>
    <t>一滴水银，一团阿拉伯胶以及一缕烟</t>
  </si>
  <si>
    <t>·你指定施法距离内一个你能看见的生物或物件并使其变形。你可以将目标生物变成另一个不同的生物，或将目标生物变成一个物件，又或者将目标物件变成一个生物（该物件必须没有被任何生物着装或携带）。变形效应持续到法术持续时间结束，或直至目标生命值降至0或目标死亡。如果你在法术持续时间内一直保持该法术的专注，则该变形得以永久持续。
·该法术对变形生物以及生命值为0的目标无效。而不愿被变形的生物可以进行一次感知豁免，豁免成功则不受该法术影响。
·生物变生物：如果你将一个生物变形成另一种生物，则它的新形态可以是你选择的挑战等级等于或低于受术者挑战等级（如果受术者没有挑战等级则按其角色等级）的任意物种。受术者的游戏资料（包括各精神属性值）将被新形态的数据取代，而其阵营和性格则保持不变。
  目标将使用新形态的生命值。而当其变回通常形态时，该目标的生命值也恢复为变形前的数值。如果目标是因为生命值降至0而变回通常形态，则由通常形态承受溢出的伤害。只要溢出伤害不足以将通常形态生命值降至0，他就不会因此而昏迷。
  该生物所能实施的行为因其新形态的特征而受限，除非其新形态的身体特征允许，否则该生物不能说话，施法或者执行任何需要手和言语的动作。
  目标的装备融入其新形态，而且不能激活或持用装备，也无法以其他任何方式从其装备上获益。
·物件变生物：你可以将一个物件变成任何一种符合下列要求的生物：生物的体积不能大于原物件，且生物的挑战等级必须低于等于9。变形出的生物对你和你的同伴保持友善。而战斗中它将会在你的回合内，由你决定其如何行动。该生物的数据由DM掌控，并由DM来判定其行动结果如何。
  如果该法术变成永久有效，则你将不再控制该生物。此后，该生物将根据你对待他的方式决定是否对你保持友善。
·生物变物件：如果你将一个生物变形成一个物件，则它连同其穿着携带物一起变成新的形态。受术者的数据变成和该物件一样，在法术终止而受术者变回原形后，它将不会记得在变成物件时所发生的任何事情。</t>
  </si>
  <si>
    <t>True Polymorph</t>
  </si>
  <si>
    <t>完全复生术</t>
  </si>
  <si>
    <t>少量圣水和至少价值25000gp的钻石，作为该法术的耗材</t>
  </si>
  <si>
    <t>·你触碰一个已死的生物使其复活。该生物的死亡时间必须不超过200年，且死因不能是老死。如果该生物的灵魂愿意并且能够回到其身体中，则它将以生命值全满的状态复活。
·该法术能治愈所有致命伤，中和一切毒素与疾病，并解除其生前所受的一切诅咒。该法术甚至能恢复其损伤或失去的器官和肢体。
·如果受术生物的遗体已经不再存在，该法术甚至能给它再造一个新的身体。此时，你必须喊出该生物的名字，随后该生物便出现在你指定点周围10尺内一处未被占据的空间。</t>
  </si>
  <si>
    <t>True Resurrection</t>
  </si>
  <si>
    <t>怪影杀手</t>
  </si>
  <si>
    <t>·你利用一群生物最恐惧的事物，在它们的心中创造出一个只有它们自己能看见的虚幻生物。指定施法距离内一点为中心，其周边半径30尺球状区域内的所有生物必须进行一次感知豁免。豁免失败者将在法术终止前陷入恐慌。该法术造出的幻像能唤起受术者心中最深的恐惧，使它最恐怖的噩梦显现为一个永远无法摆脱的威胁。如果生物因该法术陷入恐慌，则它在自己每回合结束时必须进行一次感知豁免，豁免失败则受到4d10点心灵伤害。豁免成功则此法术在该生物身上的效应终止。</t>
  </si>
  <si>
    <t>Weird</t>
  </si>
  <si>
    <t>祈愿术</t>
  </si>
  <si>
    <t>·祈愿术是凡间生物所能施展的最强大法术。你只需要大声说出自己的愿望就能将现实世界的根基操弄于手中。
·此法术最基础的用法是用来模仿任意一个8环或更低环阶的法术。你不需要满足目标法术所需的任何前提条件（包括昂贵的材料成分）就可以让该法术生效。
·除此之外，你也可以选择创造下列效应其中之一：
→你创造出一个价值不超过25,000gp的物件。该物件不能是魔法物品。该物件最长尺寸不能超过300尺，并随法术出现在地面上你能看见的一处未被占据位置。
→你让至多二十个你能看见的生物恢复其全部生命值，并且终止
它们身上一切在高等复原术 Greater Restoration中描述过的效应。
→你让至多十个你能看见的生物对你所指定的一种伤害类型具有抗性
→你让最多十个你能看见的生物在八小时内免疫某种法术或其他魔法效应。例如，你可以使你自己和你的所有同伴免疫巫妖的吸取生命。
→你改变一件刚刚发生的事件。重掷前一轮的任意一次掷骰（包括你前一回合进行的掷骰），并让现实随着你的新掷骰结果改变。例如，祈愿术 Wish可以撤销对手的成功豁免，敌人的重击或同伴的失败豁免。你可以迫使重新进行的掷骰具有优势或劣势，并且可以选择是使用重投后的结果还是使用原来的结果。
·上述范例效应之外，你也许还能达成其他某些结果。你可以详细的跟DM说明你的愿望，并由DM对其作出判定。不过你的愿望越大，出错的概率就越大。法术可能会直接失败，也可能部分的达成你想要的结果，你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
·施放该法术来达成除了模仿其他法术外的任何目的都会使你承受极大的负担。承受这种负担之后，直到你完成一次长休息之前，你每次施放法术时都将受到一定伤害（伤害数值与施放法术的环阶相关，每环1d10点黯蚀伤害）。你无法以任何方式减轻或防止这种伤害，而你的力量值在也将在2d4日内降至3（除非它已经是3或更低）。在这段时间里，你每花一整日休息（不从事任何费力的工作），恢复需要的日数就减少2日。最后，如果你承受了这种负担，你将有33%的概率再也无法施放祈愿术。</t>
  </si>
  <si>
    <t>Wish</t>
  </si>
  <si>
    <t>人类</t>
  </si>
  <si>
    <t>1d6</t>
  </si>
  <si>
    <t>短棒</t>
  </si>
  <si>
    <t>1d4</t>
  </si>
  <si>
    <t>钝击</t>
  </si>
  <si>
    <t>1 sp</t>
  </si>
  <si>
    <t>轻型</t>
  </si>
  <si>
    <t>算盘</t>
  </si>
  <si>
    <t>2gp</t>
  </si>
  <si>
    <t>侍僧Acolyte</t>
  </si>
  <si>
    <t>信仰庇护ShelteroftheFaithful。作为一名侍僧，你与同一信仰的同志互相尊重，并且可以随时主持相应神祇的神圣仪式。当你与冒险同伴遇到你所信仰神祇的神庙，圣坛或其他机构时，你们可能会得到免费的治疗和照料，但你必须为法术提供必须的材料成分。那些与同一信仰的同志会支持你（但仅限你）最基本的生活需求。</t>
  </si>
  <si>
    <t>侍僧理想</t>
  </si>
  <si>
    <t>侍僧牵绊</t>
  </si>
  <si>
    <t>侍僧缺点</t>
  </si>
  <si>
    <t>侍僧特点</t>
  </si>
  <si>
    <t>侍僧技能熟练项</t>
  </si>
  <si>
    <t>侍僧工具熟练项</t>
  </si>
  <si>
    <t>侍僧额外语言</t>
  </si>
  <si>
    <t>侍僧背景装备</t>
  </si>
  <si>
    <t>侍僧特殊选项</t>
  </si>
  <si>
    <t>武僧</t>
  </si>
  <si>
    <t>游荡者</t>
  </si>
  <si>
    <t>战士</t>
  </si>
  <si>
    <t>野蛮人</t>
  </si>
  <si>
    <t>属性值提升</t>
  </si>
  <si>
    <t>你可以选择一项属性值提升2点，或是选择两项属性各提升1点。不过你不能通过此特性让属性值超过20。</t>
  </si>
  <si>
    <t>半身人</t>
  </si>
  <si>
    <t>1d8</t>
  </si>
  <si>
    <t>术法点</t>
  </si>
  <si>
    <t>匕首</t>
  </si>
  <si>
    <t>穿刺</t>
  </si>
  <si>
    <t>灵巧 轻型 投掷(射程20/60)</t>
  </si>
  <si>
    <t>强酸_小瓶</t>
  </si>
  <si>
    <t>你可以用一个动作将这小瓶液体泼溅到你身边 5尺内的一个生物身上，或是将小瓶投到至多 20 尺远的地方，并利用冲击打破它。两种情况都可以视为对一个生物或物件发动一次远程攻击，并将强酸视为一件临时武器。命中时，目标受到 2d6点强酸伤害。</t>
  </si>
  <si>
    <t>25gp</t>
  </si>
  <si>
    <t>骗子Charlatan</t>
  </si>
  <si>
    <t>假身份FalseIdentity。你可以伪装成另一个身份，还附带关于该身份的相关的人证物证，并且必须先乔装打扮来让你进入角色。此外，你还可以伪造含有官方格式和私人笔迹的文书，前提是你必须曾见过此类文件以及目标的笔迹以作范本。</t>
  </si>
  <si>
    <t>骗子理想</t>
  </si>
  <si>
    <t>骗子牵绊</t>
  </si>
  <si>
    <t>骗子缺点</t>
  </si>
  <si>
    <t>骗子特点</t>
  </si>
  <si>
    <t>骗子技能熟练项</t>
  </si>
  <si>
    <t>骗子工具熟练项</t>
  </si>
  <si>
    <t>骗子额外语言</t>
  </si>
  <si>
    <t>骗子背景装备</t>
  </si>
  <si>
    <t>骗子特殊选项</t>
  </si>
  <si>
    <t>神圣感知</t>
  </si>
  <si>
    <t>强大的邪恶存在于你有如带毒的香气，而强大的善良光环于你则如仙乐般悠扬。
你可以使用一个动作扩展你的意识，以侦测此类势力。直到你下回合结束前，你可以对身边60尺范围内进行感测，任何未对你处在全身掩护状态的天界生物、邪魔或不死生物都将被你定位。你感应到范围内生物的种类（天界生物、邪魔、不死生物），不过并不能精确指明（比如“吸血鬼伯爵施特拉德･冯･扎洛维奇 Vampire Count Strahd von Zarovich”）。
在同样的范围内，你也可以侦测任何受到圣居hallow 一类的法术祝福或亵渎的地点或物件。
该特性的可用次数等于1＋你的魅力调整值。而已消耗的特性使用次数，则可以通过完成一次长休进行恢复。</t>
  </si>
  <si>
    <t>法师施法</t>
  </si>
  <si>
    <t>作为一名奥术魔法的研习者，你拥有一本自己的法术书。书中所包含的法术隐约透露着你真正的力量。参考第10章的施法规则，以及第11章的法师法术列表。
戏法 Cantrips
 第1级时，你从法师法术列表中选择三个戏法作为已知法术。在获得更高的法师等级后你还可以习得其它的戏法，具体数量参见“法师职业表”中“已知戏法”一栏。
法术书 Spellbook
 第1级时，你让一本法术书纪录上六个你自选的1环法师法术。你的法术书储存着你除戏法外的所有已知法术，而你的戏法则直接铭记在你脑海中。
法术的准备和施展 Preparing and Casting Spells
 “法师职业表”里记录了你用以施展你法师法术的1环及更高环阶法术位数量。施展一个法师法术时，你必须同时消耗其对应环阶的法术位。已消耗的法术位可在完成长休后恢复。
你可以准备一系列符合当前施法条件的法师法术。准备法术时，你从法术书中选择的准备法术总数等于你的智力调整值＋你的法师职业等级（最少为1）。另外，你只能准备已经获得相应环阶法术位的法术。已施展的法术并不会从你的准备列表中移除。
 你可以在完成长休后改变你的准备法术列表。准备新的法师法术列表时，你要再花时间研读你的法术书，并重新记忆所准备法术的咒语和施展动作。准备时，你要为你列表上每个法术的每个环阶都花费至少1分钟时间。
施法关键属性 Spellcasting Ability
 你的法术来自你专注的研习和记忆，因此智力是你施展法师法术的关键属性。每当你的法术需要施法关键属性时均指向你的智力值。而你法师法术的豁免DC和攻击检定，则使用你的智力调整值。
法术豁免 DC＝8＋你的熟练加值＋你的智力调整值
法术攻击调整值＝你的熟练加值＋你的智力调整值
仪式施法 Ritual Casting
 如果你法术书记录了带有仪式标签的法术，则你可以用这些法术进行仪式施法。进行仪式施法时，你不需要准备相应的法术。
法器 Spellcasting Focus
 你可以使用奥术法器（详见第5章）来作为施展法师法术的法器。
学习法术 Learning Spells of 1st Level and Higher
 你每提升一个法师等级，可以将两项自选的法师法术加入你的法术书中。但是，你只能加入已经获得相应环阶法术位的法术。你在冒险过程中所发现的法术也可以加入到法术书中（详见“你的法术书”边栏）。</t>
  </si>
  <si>
    <t>术士施法</t>
  </si>
  <si>
    <t>过去的一个事件激发了你体内先辈的血脉，为你烙上了奥法力量的坚固印记。这股起源于某种存在的魔力驱动着你的法术能力。详见第10章的施法规则及第11章的术士法术列表。
戏法 Cantrips
 第1级时，你从术士法术列表里选择四个戏法作为已知法术。在获得更高的术士等级后你还可以习得其它的戏法，具体数量见“术士职业表”中“已知戏法”一栏。
法术位 Spell Slots
 “术士职业表”中记录了你用以施展你术士法术的1环及更高环阶法术位数量。施展一个术士法术时，你必须同时消耗其对应环阶的法术位。已消耗的法术位可在完成长休后恢复。
已知法术 Spells Known of 1st Level and Higher
 第1级时，你从术士法术列表里选择两个1环法术作为已知法术。
 “术士职业表”中“已知法术”一栏记录了你获得更多已知法术时的相应等级。但是你只能获取已有相应环阶法术位的法术。
 另外，你每提升一个术士等级，都可以从术士法术列表里选择一个新法术来代替一个已知法术列表中的旧法术。但是，你必须拥有新法术的相应环阶法术位。
施法关键属性 Spellcasting Ability
 你的魔力来源于你意志的现实投影，因此魅力是你施展术士法术的关键属性。每当你的法术需要施法关键属性时均指向你的魅力值。而你术士法术的豁免DC和攻击检定，则使用你
的魅力调整值。
法术豁免 DC＝8＋你的熟练加值＋你的魅力调整值
法术攻击调整值＝你的熟练加值＋你的魅力调整值
法器 Spellcasting Focus
 你可以使用奥术法器（详见第5章），作为你施展术士法术时的法器。</t>
  </si>
  <si>
    <t>吟游诗人施法</t>
  </si>
  <si>
    <t>你习得以音乐为媒介随意解构、分解，再重新构造现实的方法。你的法术是融入你纷繁奏乐中的音符，也是你以各种形式谱奏的魔法乐章。
参考第10章的施法规则，以及第11章的吟游诗人法术列表。
戏法 Cantrips
 第1级时，你从诗人法术列表中选择两个戏法作为已知法术。在获得更高诗人等级后你还可以习得其它的戏法，具体数 量见“吟游诗人职业表”中“已知戏法”一栏。
法术位 Spell Slots
 “吟游诗人职业表”中记录了你可用以施展诗人法术的1环及更高环阶法术位数量。施展诗人法术时，你必须同时消耗其对应环阶的法术位。已消耗的法术位可在完成长休后恢复。
已知法术 Spell Known of 1st Level and Higher
 第1级时，你从诗人法术列表中选择四个1环法术作为已知法术。
 “吟游诗人职业表”中“已知法术”一栏记录了你获得更多已知法术时的相应等级。但是，你只能获取已有相应环阶法术位的法术。
 另外，你每提升一个诗人等级，可以从诗人法术列表中选 择一个新法术来代替一个已知法术列表中的旧法术，不过你必须已有新法术的相应环阶法术位。
施法关键属性 Spellcasting Ability
 你的魔力源于你注入音乐或演说中的心灵力量，因此魅力是你施展吟游诗人法术的关键属性。每当你的诗人法术需要施法关键属性时均指向你的魅力值。而你诗人法术的豁免DC和攻击检定，则使用你的魅力调整值。
法术豁免 DC＝8＋你的熟练加值＋你的魅力调整值
法术攻击调整值＝你的熟练加值＋你的魅力调整值
仪式施法 Ritual Casting
 如果你已知法术列表中的一个法术带有仪式标签，则你可以用这些法术进行仪式施法。
法器 Spellcasting Focus
 你可以使用乐器（见第5章）作为施展诗人法术的法器。</t>
  </si>
  <si>
    <t>牧师施法</t>
  </si>
  <si>
    <t>你作为神圣力量的导体得以施展牧师法术。参考第10章的施法规则，以及第11章的牧师法术列表。
戏法 Cantrips
 第1级时，你选择三个牧师法术列表中的戏法作为已知法术。在获得更高的牧师等级后你还可以习得其它的戏法，具体数据参见“牧师职业表”中“已知戏法”一栏。
法术的准备与施展 Preparing and Casting Spells
 “牧师职业表”里记录了你用以施展牧师法术的1环及更高环阶法术位数量。施展一个牧师法术时，你必须同时消耗其对应环阶的法术位。已消耗的法术位可在完成长休后恢复。
 你可以准备牧师法术列表中所有符合当前施展条件的法术。准备法术时，你所准备法术的总数等于你的感知调整值＋你的牧师职业等级（最少可以准备一个）。另外，你只能准备已经获得相应环阶法术位的法术。另外，已施展的法术并不会从你的准备列表中移除。
 你可以在完成长休后改变你的准备法术列表。准备新的牧 师法术列表时，你要再花时间进行祈祷和冥想。准备时，你要为你列表上每个法术的每个环阶都花费至少1分钟时间。
施法关键属性 Spellcasting Ability
 你的法术力量来源于你对神祇的信仰，因此感知是你施展牧师法术的关键属性。每当你的牧师法术需要施法关键属性时均指向你的感知值。而你牧师法术的豁免DC和攻击检定，则使用你的感知调整值。
法术豁免 DC＝8＋你的熟练加值＋你的感知调整值
法术攻击调整值＝你的熟练加值＋你的感知调整值
仪式施法 Ritual Casting
 如果你所准备牧师法术中的一个法术有带仪式标签，则你可以用这些法术进行仪式施法。
法器 Spellcasting Focus
 你可以使用圣徽（见第5章）作为施展牧师法术的法器。</t>
  </si>
  <si>
    <t>武僧无甲防御</t>
  </si>
  <si>
    <t>第1级起，未着装任何护甲也没持用盾牌时，你的AC值等于10＋你的敏捷调整值＋你的感知调整值。</t>
  </si>
  <si>
    <t>游荡者专精</t>
  </si>
  <si>
    <t>第1级起，你选择两个已有技能熟练项，或者一个技能熟练项和盗贼工具熟练项。此后你进行该项目的检定时，可以使用双倍的熟练加值。
 第6级时，你可以再选择另外两个已有的技能熟练项（或盗贼工具熟练项）从该特性中获益。</t>
  </si>
  <si>
    <t>异界宗主</t>
  </si>
  <si>
    <t>第1级时，你就跟某个异界的存在订下契约。你可以从至高妖精Archfey、邪 Fiend、旧日支配者Great Old One等选项中选择其一。
随后你将在第 1、第 6、第 10、第14级获得相应的职业特性。
你可以在拓展之中找到更多的邪术师异界宗主。</t>
  </si>
  <si>
    <t>魔法工艺</t>
  </si>
  <si>
    <t>在第1级，你将学习如何在平凡的物品中注入魔法的火花。要使用这个能力，你必须手持修补工具，或其他工匠工具。然后花费一个动作触摸一个微小的非魔法物体，从以下魔法属性中选择一个赋予它：
·该物体提供5尺半径的明亮照明，以及该范围外5尺范围的微光照明。
·无论何时，只要该物品被生物触碰，就会发出可在10英尺外听到的录音信息。录入的信息在你将此属性赋予对象时决定，且时长不可超过6秒。
·物品不断地发出一种气味或一种非语言的声音（风声、浪声、鸟叫或类似的声音）。这一现象最多能传播10英尺远。
·一个静态的视觉效果出现在物体的表面上。这个效果可以是一幅图片，最多25个单词的文本，线条和形状，或者这些元素的混合，如你所愿。
所选的魔法属性持续时间无限。你能够以一个动作触摸对象来消除这一魔法属性。
你能够通过此特性将魔力赋予多个物品，每次使用该特性时都需要触摸一个物品，并且单个物品一次只能承载一种魔法属性。你能够使用该特性影响的物品的最大数量等于你的智力调整值（最少一个物品）。如果你试图超过最大值，最老的魔法属性将立即结束，然后新的魔法属性生效。</t>
  </si>
  <si>
    <t>战士战斗风格</t>
  </si>
  <si>
    <t>你专精于一种战斗风格，并从下列选项中选择。另外，即使你有多次选择战斗风格的机会，也不能多次选择同一个战斗风格。[注意：不要在这里选好下拉之后就不管它了，请务必清晰记录你究竟选择了什么战斗风格]
箭术Archery
  你使用远程武器进行攻击检定时具有+2加值。
防御Defense
  着装护甲时，你的AC获得+1加值。
对决Dueling
  单手持用一把近战武器，且并未同时持用其他武器时，你用该武器攻击的伤害掷骰获得+2加值。
巨武器战斗Great Weapon Fighting
  双手持用一把近战武器发动攻击时，如果你的伤害掷骰掷出1或2，则可以选择重掷。不过哪怕其仍是1或2，你都必须接受重掷的数值。此外，该武器必须具有双手或两用属性。
守护Protection
  当一个你能看见的生物攻击你身边5尺内除你之外的目标时，你可以用反应迫使该攻击的攻击检定具有劣势。此时你必须持用盾牌。
双武器战斗Two-Weapon Fighting
  使用两把武器战斗时，你可以将相应属性调整值加到第二次攻击的伤害上。</t>
  </si>
  <si>
    <t>宿敌</t>
  </si>
  <si>
    <t>第1级起，你针对一种特定类型敌人的研究令你有着充足的经验用以追踪、狩猎乃至与之交流。
从下列种类中选择其一作为宿敌：异怪、野兽、天界生物、构装生物、龙、元素生物、精类生物、邪魔、巨人、怪兽、泥怪、植物、不死生物。或者作为另一种方案，你也可以选择两个类人生物种族（例如豺狼人gnolls 和兽人orcs）作为宿敌。
追踪宿敌时，你的感知（求生）检定，以及回想关于宿敌信息时进行的智力检定具有优势。
获得该特性时，如果你选择的宿敌具有语言能力，则你还可以学会宿敌所知晓的一门语言。
第6和第14级时，你将分别获得一个额外的宿敌以及相关语言。另外，随着等级的提升，你所选择的宿敌应该与你在冒险中所遭遇怪物的种类层次相符。</t>
  </si>
  <si>
    <t>狂暴</t>
  </si>
  <si>
    <t>你带着原初的狂怒作战。你可以在自己回合内以一个附赠动作进入狂暴。
 狂暴持续期间，只要你未着装重甲就获得以下增益：
• 你进行力量检定和力量豁免时具有优势。
• 你用力量值发动近战武器攻击时的伤害掷骰获得加值。此加值随你的野蛮人等级提升而增加，具体见“野蛮人职业表” 中“狂暴伤害”一栏。
• 你拥有钝击，穿刺和挥砍伤害的抗性。
  拥有施法能力的角色无法在狂暴持续期间施展法术或进行法术专注。
  你的狂暴状态维持1分钟。如果你在狂暴其间陷入昏迷，或者，如果你从自己上回合结束开始到本回合结束时都未攻击任何敌对生物也未受到伤害，则狂暴提前结束。你也可以在自己回合里以一个附赠动作主动结束狂暴状态。
 “野蛮人职业表”中根据你的野蛮人等级给出了相应的狂暴次数。如果你用光了这些次数，则必须完成一次长休才能再次使用狂暴。</t>
  </si>
  <si>
    <t>德鲁伊语</t>
  </si>
  <si>
    <t>你习得德鲁伊语——即一种德鲁伊间的秘密语言。你可以说这门语言并用它留下隐藏的信息。
懂得这门语言的人（包括你自己）会自动注意到此信息，而不懂此语言的人通过一次DC15的感知（察觉）检定后可以注意到其存在，不过不能用非魔法手段读懂。</t>
  </si>
  <si>
    <t>警觉</t>
  </si>
  <si>
    <t>经常对危机保持警惕，让你获得下列增益： 
• 你的先攻获得+5加值。
• 你在意识清醒时无法被突袭。
• 你看不到的生物对你发动攻击检定时，无法因此获得优势。</t>
  </si>
  <si>
    <t>1d10</t>
  </si>
  <si>
    <t>激励骰</t>
  </si>
  <si>
    <t>巨棒</t>
  </si>
  <si>
    <t>2 sp</t>
  </si>
  <si>
    <t>炽火胶_扁瓶</t>
  </si>
  <si>
    <t>一种粘稠的流体，其一旦接触空气就会引起自燃。你可以用一个动作将这小瓶液体投到至多20尺远的地方，并利用冲击打破它。这个动作视为对一个生物或物件发动一次远程攻击，并将炽火胶视为一件临时武器。命中时，目标在它每回合开始时受到1d4点火焰伤害。被命中生物可以使用动作进行一次DC10的敏捷检定，以扑灭火焰来结束该伤害效应。</t>
  </si>
  <si>
    <t>50gp</t>
  </si>
  <si>
    <t>罪犯Criminal</t>
  </si>
  <si>
    <t>罪犯联络员CriminalContact。你有一个可靠可信的联络员，来帮你组织进罪犯们组成的联系网中。即使遥隔千里你也知道如何从联络人处收发信息。此外，你还知道哪些人能为你捎信，他们可能是本地的信使，可贿赂的商队主管，或是衣衫褴褛的水手。</t>
  </si>
  <si>
    <t>罪犯理想</t>
  </si>
  <si>
    <t>罪犯牵绊</t>
  </si>
  <si>
    <t>罪犯缺点</t>
  </si>
  <si>
    <t>罪犯特点</t>
  </si>
  <si>
    <t>罪犯技能熟练项</t>
  </si>
  <si>
    <t>罪犯工具熟练项</t>
  </si>
  <si>
    <t>罪犯额外语言</t>
  </si>
  <si>
    <t>罪犯背景装备</t>
  </si>
  <si>
    <t>罪犯特殊选项</t>
  </si>
  <si>
    <t>圣疗</t>
  </si>
  <si>
    <t>你的触碰溢满祝福，可以医治伤口。你获得一个治疗能量池，其内的治疗能量在每次完成长休后自动补满。治疗能量池储备的可恢复生命值总值等于你的圣武士职业等级×5。
你可以用一个动作触碰一个生物，并抽取治疗能量池中的能量恢复该生物的生命值，其恢复量最多等于你治疗能量池中剩余的治疗量。
此外，你也可以使用 5 点治疗量治愈目标生物身上的一种疾病，或者祛除一种中毒效应。你可以在一次圣疗中治愈复数的疾病并祛除复数的毒素，但你需要为每一种疾病和毒素分别支付治疗量。
该职业特性对不死生物和构装生物无效。</t>
  </si>
  <si>
    <t>奥术回想</t>
  </si>
  <si>
    <t>你学会了通过研读法术书来恢复魔法能量的办法。
你可以每日使用一次奥术回想，以在你完成一次短休后恢复若干已消耗的法术位。
所恢复的法术位环阶总和不得大于你法师等级的一半（向上取整），且任何一枚法术位的环阶都必须小于6环。
  例如，作为一名4级法师时，你可恢复环阶总数最多为2的法术位。你可以选择恢复一枚2环法术位或两枚1环法术位。</t>
  </si>
  <si>
    <t>术法起源</t>
  </si>
  <si>
    <t>选择一个术法起源作为你天赋魔力的源泉。你可在龙族血脉Draconic Bloodline 或狂野魔法Wild Magic 中选择其一。
随后，你将在第1、第6、第14、第18级获得相应起源的职业特性。
你可以在拓展中找到更多的术法起源。</t>
  </si>
  <si>
    <t>诗人激励</t>
  </si>
  <si>
    <t>从第1级起，你可以用热血的话语和音乐激励他人。此时， 你可以在自己回合内用一个附赠动作指定身边60尺内一个能听到你声音的生物（不能指定你自身），并使该生物获得一个诗人激励，即一个d6的激励骰。
 在接下来的10分钟内，该生物在进行单次属性检定、攻击检定、豁免检定时可以使用该激励骰，以将其结果加到掷骰结果中。该生物可以在d20结果掷出后，DM宣布结果前决定是否使用诗人激励。
而诗人激励一旦使用即被消耗掉。一个生物同一时间里只能保有一个诗人激励。
 你能够使用该特性的次数等于你的魅力调整值（最低一次）。完成一次长休后，你将重获所有消耗掉的诗人激励次数。
 你产生的激励骰大小可以在达到本职业的特定等级时增大。第5级时为d8，第10级时为d10，而第15级时为d12。</t>
  </si>
  <si>
    <t>神圣领域</t>
  </si>
  <si>
    <t>你将选择一个与你所信仰神祇的神职相关的神圣领域。你可以从知识 Knowledge、生命 Life、光明 Light、自然 Nature、 风暴 Tempest、诡术 Trickery 或者战争 War 中选择其一。
 一些领域其领域法术可能并不在牧师法术列表中，此时如果你选择了该领域，则你视该领域的领域法术为你的牧师法术。
领域法术 Domain Spells
 每个领域都有其相应的领域法术列表。当你获得表中所对应的牧师等级时，你将同时习得这些法术。领域法术一旦习得，将会一直在你的准备法术列表中，且不计入你的每日准备法术上限。
 任何领域法术对你而言都是牧师法术，而不论其是否在牧师法术列表之上。
拓展中存在更多牧师神圣领域。</t>
  </si>
  <si>
    <t>武艺</t>
  </si>
  <si>
    <t>第1级时，你修行的武艺让你使用徒手打击和武僧武器时得心应手。武僧武器包括短剑和所有不含双手与重型属性的简易近战武器。
 未着装任何护甲也没持用盾牌时，如果你徒手或只持用武僧武器，则你发动的攻击拥有下列增益：
• 你使用徒手打击或武僧武器进行攻击时，可以用敏捷值代替力量值进行攻击检定和伤害掷骰。 
• 你使用徒手打击或武僧武器进行攻击时，可以选择用d4骰代替原本的伤害掷骰。该骰子将随武僧职业等级的提升而增大，具体数据见“武僧职业表”中“武艺”一栏。
• 你使用徒手打击或武僧武器执行攻击动作时，可以在自己回合内以附赠动作发动一次徒手打击。例如，你执行攻击动作并使用长棍发动攻击时，若你本轮没有执行任何附赠动作，则可以用附赠动作来发动一次徒手打击。
 一些宗派的武僧会使用一些奇异的武僧武器，比如铁链连接的两根短棒（双截棍 nunchaku），或者带直刃的镰刀（单镰kama）。无论你使用什么武器，其属性数据都参考与其相似的常规武器属性数据。具体的武器数据见第5章。</t>
  </si>
  <si>
    <t>偷袭</t>
  </si>
  <si>
    <t>第1级起，你就知道如何精确地攻击分心的敌人。每当你的攻击命中一个生物时，如果该攻击的攻击检定带有优势，则可以造成额外1d6的伤害。
该伤害每回合可以产生一次，且造成伤害的攻击必须使用带灵巧属性的武器或远程武器。
 如果目标生物身边5尺内还有其他与之对敌者，且该对敌者并未处于失能状态，则只要你的攻击检定没有劣势，就可以发动偷袭。
 你的偷袭伤害也将会随游荡者职业等级的提升而提高，其具体数值见“游荡者职业表”。</t>
  </si>
  <si>
    <t>契约魔法</t>
  </si>
  <si>
    <t>你的法术力量源于你的奥秘研究和宗主的魔法馈赠。参考第10章的施法规则，以及第11章的邪术师法术列表。
戏法 Cantrips
 你从邪术师法术列表中选择两个戏法作为已知法术。在获得更高的邪术师等级后你还可以习得其它的戏法，具体数据见“邪术师职业表”中“已知戏法”一栏。
法术位 Spell Slots
 “邪术师职业表”里记录了你可用以施展邪术师法术的1环至5环法术位数量。表格中还记录了法术位对应的法术环阶，且你所有的法术位都属于同一环阶。施展1环或更高环阶的邪术师法术时，都需要消耗一枚法术位。已消耗的法术位可在完 成长休或短休后恢复。
 例如，达到第5级时，你总共具有两枚3环法术位。你施展1环法术巫术箭witch bolt 时，必须消耗消耗这些法术位其中之一，并把它作为一个3环法术施放。
已知法术 Spell Known of 1st Level and Higher
 第1级时，你从邪术师法术列表里选择两个1环法术作为已知法术。
 “邪术师职业表”中“已知法术”一栏记录了你获得更多法术时的相应等级。每个被选的法术都必须在当前等级拥有可用以施展该法术的法术位，具体见表。比如，当你达到第6级时，你将获得一个1环、2环或3环的新邪术师法术。
 另外，当你提升本职的职业等级时，你可以从邪术师法术列表里选择一个新法术来代替一个旧的邪术师已知法术，但是你的角色必须拥有用以施展新选法术的可用法术位。
施法关键属性 Spellcasting Ability
 魅力是你施展邪术师法术的关键属性。每当你的法术需要施法关键属性时均指向你的魅力值。而你邪术师法术的豁免DC和攻击检定，则使用你的魅力调整值。
法术豁免 DC＝8＋你的熟练加值＋你的魅力调整值
法术攻击调整值＝你的熟练加值＋你的魅力调整值
法器 Spellcasting Focus
 你可以使用奥术法器（详见第5章）作为你施展邪术师法术的法器。</t>
  </si>
  <si>
    <t>奇械师施法</t>
  </si>
  <si>
    <t>你已经学习了魔法的工作原理，知道如何引导魔法进入物体，以及如何唤醒魔法。因此，你获得了有限的施法能力。在旁观者看来，你不会用传统的方式施法——你看起来好像在通过各种物品创造奇迹。
必备工具
　　你通过你的工具产生你的奇械师法术效果。当你使用施法特性来施展法术时，必须手持一个法器——通常是盗贼工具或工匠工具。你必须熟练这一工具才能将它作为法器使用。这些工具的描述请参见《玩家手册》第五章“装备”。
　　当你在第二级获得物品注法特性后，你也能使用任何你注入魔法的物品来作为法器使用。
戏法
　　在第1级，你从奇械师法术列表中习得两个戏法。在更高的等级，你能够根据“奇械师职业表”习得更多戏法。
　　当你提升一个奇械师等级时，你能够从奇械师法术列表中习得一个新的戏法来替换一个原有的已知戏法。
法术的准备和施展
　　“奇械师职业表”显示出你有多少能用于施法的法术位。施展某个奇械师法术时，你必须同时消耗其对应环阶的法术位。而已消耗的法术位则可以通过完成一次长休进行恢复。
　　你需要从奇械师法术列表中选择想要准备的法术，你能选择的准备法术总数等于你的智力调整值＋你奇械师职业等级的一半（向下取整）（最少为1）。你只能准备已经获得相应环阶法术位的法术。另外，已施展的法术并不会从你的准备列表中移除。
　　你可以在完成长休后改变你的准备法术列表。如需准备新的奇械师法术，你需要花时间来调整你的法器：每个法术要花费至少1分钟的时间。
施法关键属性
　　你对魔法理论的理解使你能够以更高超的技法来使用这些法术，因此智力是你的施法关键属性。每当你的法术需要施法关键属性时均指向你的智力值。而你奇械师法术的豁免DC和攻击检定，也使用你的智力调整值。
法术豁免DC＝8＋你的熟练加值＋你的智力调整值
法术攻击调整值＝你的熟练加值＋你的智力调整值
仪式施法
　　如果你准备了带有仪式标签的法术，则你可以用这些法术进行仪式施法。</t>
  </si>
  <si>
    <t>回气</t>
  </si>
  <si>
    <t>你拥有少量精力储备可用来保护自己免受伤害。你可以在自己回合内用一个附赠动作恢复生命值，其总值为1d10＋你的战士职业等级。
你必须完成一次短休或长休才能再次使用该特性。</t>
  </si>
  <si>
    <t>自然探索者</t>
  </si>
  <si>
    <t>你对某种自然环境特别熟悉，并适应了在其中行走及生存。
从下列类别中选择一种偏爱地形：极地 arctic、海岸 coast、荒漠 desert、丛林 forest、草原 grassland、山地 mountain、沼泽swamp 或幽暗地域 Underdark。当你进行与偏好地形相关的智力或感知检定时，如果你拥有该技能的熟练项，则在检定时加入双倍熟练加值。
 当你在偏好地形上移动一小时或更长时间时，你获得以下增益：
• 你的队伍旅行时不会因困难地形而变慢
• 除非受魔法效应影响，否则你的队伍不会迷路
• 旅行时，即使你进行另一项活动（如觅食、导航或追踪），仍能对危险保持警觉
• 独自旅行时，你能够保持隐匿状态以正常步调移动
• 觅食时，你会发现两倍的食物
• 追踪其他生物时，你还能了解他们的确切数量、体型以及离开踪迹的时间
 你在第6级和第10级时将分别获得一个额外的偏好地形。</t>
  </si>
  <si>
    <t>野蛮人无甲防御</t>
  </si>
  <si>
    <t>未着装任何护甲时，你的AC等于 10＋你的敏捷调整值＋你的体质调整值。使用盾牌不会影响你从此特性获益。</t>
  </si>
  <si>
    <t>德鲁伊施法</t>
  </si>
  <si>
    <t>你掌握自然世界的神圣本质，并依你的意志施展法术对其进行重塑。参考第10章的施法规则及第11章的德鲁伊法术列表。
戏法 Cantrips
 第1级时，你选择两项德鲁伊法术列表中的戏法作为已知法术。在获得更高的德鲁伊等级后你还可以习得其它的戏法，具体数据参见“德鲁伊职业表”中“已知戏法”一栏。
法术的准备和施展 Preparing and Casting Spells
 “德鲁伊职业表”里记录了你用以施展德鲁伊法术的1环及更高环阶法术位数量。施展一个德鲁伊法术时，你必须同时消耗其对应环阶法术位。已消耗的法术位可在完成长休后恢复。
 你可以准备德鲁伊法术列表中所有符合当前施展条件的法术。准备法术时，你所准备法术的总数等于你的感知调整值＋你的德鲁伊职业等级（最少可以准备一个）。另外，你只能准备已经获得相应环阶法术位的法术。另外，已施展的法术并不会从你的准备列表中移除。
 你可以在完成长休后改变你的准备法术列表。准备新的德鲁伊法术列表时，你要再花时间进行祈祷和冥想。准备时，你要为你列表上每个法术的每个环阶都花费至少1分钟时间。
 施法关键属性 Spellcasting Ability
 你的法术力量源于你对自然的信仰与同调，因此感知是你施展德鲁伊法术的关键属性。每当你的德鲁伊法术需要施法关键属性时均指向你的感知值。而你德鲁伊法术的豁免DC和攻击检定，则使用你的感知调整值。
法术豁免 DC＝8＋你的熟练加值＋你的感知调整值
法术攻击调整值＝你的熟练加值＋你的感知调整值
仪式施法 Ritual Casting
 如果你所准备德鲁伊法术中的一个法术有带仪式标签，则你可以用这些法术进行仪式施法。
法器 Spellcasting Focus
 你可以用德鲁伊法器（详见第5章）作为你施展德鲁伊法术的法器。</t>
  </si>
  <si>
    <t>运动员</t>
  </si>
  <si>
    <t>你接受的全面肉体锻炼使你获得下列增益：
• 你的力量或敏捷增加1，上限为20。 
• 你陷入倒地状态时，起立所需要花费的移动力为5尺
• 攀爬无需额外消耗移动力
• 你在进行助跑调高或跳远时只需要移动5尺，而不是10尺。</t>
  </si>
  <si>
    <t>半精灵</t>
  </si>
  <si>
    <t>1d12</t>
  </si>
  <si>
    <t>引导神力</t>
  </si>
  <si>
    <t>手斧</t>
  </si>
  <si>
    <t>挥砍</t>
  </si>
  <si>
    <t>5gp</t>
  </si>
  <si>
    <t>轻型 投掷(射程20/60)</t>
  </si>
  <si>
    <t>箭(20)</t>
  </si>
  <si>
    <t>1gp</t>
  </si>
  <si>
    <t>密探Spy</t>
  </si>
  <si>
    <t>密探理想</t>
  </si>
  <si>
    <t>密探牵绊</t>
  </si>
  <si>
    <t>密探缺点</t>
  </si>
  <si>
    <t>密探特点</t>
  </si>
  <si>
    <t>密探技能熟练项</t>
  </si>
  <si>
    <t>密探工具熟练项</t>
  </si>
  <si>
    <t>密探额外语言</t>
  </si>
  <si>
    <t>密探背景装备</t>
  </si>
  <si>
    <t>密探特殊选项</t>
  </si>
  <si>
    <t>圣武士战斗风格</t>
  </si>
  <si>
    <t>第2级起，你将精进于一种战斗风格，从下列选项中选择其一。另外，即使你有多次选择战斗风格的机会，也不能重复选择同一个战斗风格。[注意：不要在这里选好下拉之后就不管它了，请务必清晰记录你究竟选择了什么战斗风格]
防御Defense
  着装护甲时，你的AC获得 +1 加值。
对决Dueling
  单手持用一把近战武器，且并未同时持用其他武器时，你使用该武器进行攻击的伤害掷骰获得+2加值。
巨武器战斗Great Weapon Fighting
  双手持用一把近战武器发动攻击时，若你的伤害掷骰掷出1或2，则可以选择重掷。不过哪怕其仍是1或2，你都必须接受重掷的数值。此外，该武器必须具有双手或两用属性。
守护Protection
  当一个你能看见的生物攻击你身边5尺内除你之外的目标时，你可以用反应迫使该攻击的攻击检定具有劣势。你必须持用盾牌以实现该效果。</t>
  </si>
  <si>
    <t>奥术传承</t>
  </si>
  <si>
    <t>第2级时，你选择一种奥术传承以使你的训练专注于八个学派之一。从防护、咒法、预言、附魔、塑能、幻术、死灵、变化各学派中选择其一。
  随后，你将在第2、第6、第10、第14级时获得所选学派相应的特性。拓展中存在更多的学派。</t>
  </si>
  <si>
    <t>魔力泉涌</t>
  </si>
  <si>
    <t>第2级时，你解除了体内魔力之源的封印，从中涌现的魔力体现为你的可用术法点。你可以使用术法点创造各种魔法效应。
术法点 Sorcery Points
 开始时，你拥有2个术法点。此后你每提升一个术士等级，都会获得更多的术法点，详见“术士职业表”中“术法点”一栏。你的术法点永远不能超过表中所列对应你当前等级的数值。
而已消耗的术法点则可以通过完成一次长休进行恢复。
灵活施法 Flexible Casting
 你可以使用术法点来获得额外的法术位，或是消耗法术位来换取额外的术法点。随着术士等级的提升，你还可以学会其他术法点的使用方法。
 生成法术位 Creating Spell Slots。你可以在自己回合内以附赠动作将未使用的术法点转换为法术位。表格“生成法术位”中列出了生成各法术位所需的术法点数。另外，你无法生成高于 5 环的法术位。以此方式生成的法术位将在完成一次长休后消散。
生成法术位 Creating Spell Slots
法术位环阶 术法点消耗
1环       2
 2 环       3
 3 环       5
 4 环       6
 5 环       7
 法术位转换术法  Converting a Spell Slot to Sorcery Points。你可以在自己回合内使用附赠动作将未使用的法术位转化为术法点。你消耗一枚法术位并获得等于该法术位环阶的术法点。
 所有你以该特性生成的法术位，在你完成一次长休后也将随之消失。</t>
  </si>
  <si>
    <t>万事通</t>
  </si>
  <si>
    <t>第2级起，在你进行属性检定时，如果检定结果不包含你的熟练加值，则你可以将自身熟练加值的一半（向下取整）加入到检定结果中。</t>
  </si>
  <si>
    <t>第2级时，你获得引导神祇所授予神圣能量的能力，所引导的能量将用以实现各种魔法效应。你最初将获得两种效应：
驱散不死生物和另一个与你所选领域相关的效应。随着你在冒险中提升等级，一些领域会赋予更多额外的效应，具体信息可以参考相应领域的描述内容。
 引导神力最终产生的效应由你自行选择。引导神力后，你必须完成一次短休或长休才能重新使用该特性。
 一些引导神力的效应需要豁免，其豁免DC等于你的牧师法术豁免DC。
 第6级起，你可以在两次休息之间使用两次引导神力，第18级后可以使用三次。完成一次短休或长休后，你将重新获得所有消耗掉的引导神力次数。
 引导神力：驱散不死生物Channel Divinity: Turn Undead
 你以一个动作展示你的圣徽，并说出一段谴责不死生物的祷言。你身边30尺范围内能够看到圣徽或听到你祷言的不死生物必须进行一次感知豁免，豁免失败则受到驱散，其效应持续1分钟或直到其受到任何伤害。
 一个被驱散的生物必须花费其回合内的所有速度尽力远离你，而且无法主动靠近你30尺内。被驱散的生物无法使用反应，只能使用既有的疾走Dash动作或从任何妨碍他们移动的效应中挣脱。该生物无路可走时会使用“回避Dodge”动作。</t>
  </si>
  <si>
    <t>气</t>
  </si>
  <si>
    <t>第2级起，你掌握一股名为气的神秘能量。此后你将拥有一定数量的气作为储备。而气的储备量由你的武僧等级决定，具体数值见“武僧职业表”中“气”一栏。
 你可以消耗气以行使各种特性。一开始你掌握三种特性：疾风连击，坚强防御，飞檐走壁。此后，随着等级的提升你将习得更多的特性。
 消耗掉的气必须在你短休或长休时完成至少 30 分钟的冥想，才能重获所有消耗掉的气值。
 一些特性需要目标进行豁免检定来抵抗你特性造成的效应。其豁免DC如下：
气豁免 DC＝8＋你的熟练加值＋你的感知调整值
疾风连击 Flurry of Blows
 你在自己回合内执行攻击动作后，可立即消耗1点气并以一个附赠动作发动两次徒手打击。
坚强防御 Patient Defense
 你在自己回合内，可以消耗1点气，并以一个附赠动作的形式来执行回避 Dodge 动作。
飞檐走壁 Step of the Wind
 你在自己回合内，可以消耗1点气，并以一个附赠动作的形式来执行撤离 Disengage 动作或疾走 Dash 动作，同时使你该回合内的跳跃距离翻倍。</t>
  </si>
  <si>
    <t>盗贼黑话</t>
  </si>
  <si>
    <t>作为一名游荡者，你在平时的练习中学会了盗贼间的黑话。盗贼黑话是一门混合了土话、术语和密语的秘密语言，掌握这门语言后，你可以在平时对话中不落痕迹的加入隐藏信息。
而只有另一个懂盗贼黑话的生物才能看懂这些隐藏信息。不过这种交流方式需要花费四倍于直接交流所需要的时间。
 另外，你还习得一套用以传达简单短小信息的秘密符文和标识。
它能发布的内容诸如某个地区是否危险，是否受盗贼公会管辖，附近是否有战利品，附近的人是否好主顾或者路上是否有安全的房屋以供庇护。</t>
  </si>
  <si>
    <t>魔能祈唤</t>
  </si>
  <si>
    <t>你在神秘学识的研习过程中发掘出魔能祈唤的方式，这些禁忌的知识残章让你获得了持久的魔法能力。
 第2级时，你获得两种自选的魔能祈唤（祈唤的具体内容见后文）。在获得更高的邪术师等级后你还可以习得其它的魔能祈唤，具体数据见“邪术师职业表”中“已知祈唤”一栏。
 另外，你提升本职的等级时，可以用新的祈唤替换一个已学会的祈唤，但你的角色必须满足学习新祈唤的先决条件。</t>
  </si>
  <si>
    <t>物品注法</t>
  </si>
  <si>
    <t>在第2级，你获得为普通物品注入魔法的能力。使用此特性创造的魔法物品是永久性魔法物品的原型。
已知注法
　　当你获得这个特性时，从职业描述末尾的“奇械师注法”列表中选择选择四个奇械师注法习得。当你提升奇械师等级时，还能够根据“奇械师职业表”习得更多注法。
　　当你提升一个奇械师等级时，你能够习得一个新的奇械师注法来来替换一个原有的已知注法。
为物品进行注法
　　每当你完成一个长休后，你可以触摸一个非魔法的物体，使用奇械师注法来把它变成一个魔法物品。注法只能作用于注法描述中写明的指定类型物品。如果该物品需要调谐，你可以在为物品进行注法的那一刻调谐到它，或者你可以放弃调谐，以便其他人能够调谐到该物品。如果你决定以后与这个物品进行调谐，你必须进行通常的调谐程序（参见《地下城主指南》第136页中的“调谐”）。
　　你的注法持续时间无限，但当你死亡时，注法会在你智力调整值的天数后消失（至少1天）。如果你将某个注法从已知中替换掉，该注法的效果也将消失。
　　你能在一次长休后为复数物品进行注法；注法物品的最大数量请参见“奇械师职业表”。你必须触摸每一个物体，且一种注法在同一时间内只能存在于一个物品上。如果你试图超过你的最大注法量，则最旧的注法立即结束，然后新的注法适用。</t>
  </si>
  <si>
    <t>动作如潮</t>
  </si>
  <si>
    <t>第2级起，你可以在短时间内突破极限，以使你在自己回合内执行一个额外的动作。
该特性在使用后必须完成一次短休或长休才能再使用。第17级起，你可在休息前使用两次该特性，但每一回合只能使用一次。</t>
  </si>
  <si>
    <t>游侠战斗风格</t>
  </si>
  <si>
    <t>第2级起，你将精进于一种战斗风格，从下列选项中选择其一。另外，即使你有多次选择战斗风格的机会，也不能重复选择同一个战斗风格。[注意：不要在这里选好下拉之后就不管它了，请务必清晰记录你究竟选择了什么战斗风格]
箭术Archery
  使用远程武器进行攻击检定时具有+2加值。
防御Defense
  着装护甲时，你的AC获得+1加值。
对决Dueling
  单手持用一把近战武器，且并未同时持用其他武器时，你用该武器攻击的伤害掷骰获得+2加值。
双武器战斗Two-Weapon Fighting
  使用两把武器战斗时，你可以将相应属性调整值加到第二次攻击的伤害上。</t>
  </si>
  <si>
    <t>鲁莽攻击</t>
  </si>
  <si>
    <t>第2级起，你可以抛弃一切防御的执念进行狂乱的攻击。你在自己回合内发动第一次攻击时，可以选择发动鲁莽攻击。
使用此特性后，你本回合内所有使用力量值发动的近战武器攻击具有优势。
此后，所有对你发动的攻击检定也将具有优势，且该优势持续存在至你的下个回合。</t>
  </si>
  <si>
    <t>荒野形态</t>
  </si>
  <si>
    <t>第2级起，你可以用动作以魔力变化为曾见识过的野兽形态。该特性可以使用两次，且在完成一次短休或长休后，你将重新获得所有消耗掉的荒野形态次数。
  你的德鲁伊职业等级决定了你可以变化的野兽种类，你可以变化成任意没有飞行或游泳速度且挑战等级为1/4 或更低的野兽形态。
野兽形态 Beast Shapes
等级 最高CR 限制                范例 
2nd   1/4   没有飞行或游泳速度  狼 wolf
4th   1/2   没有飞行速度        鳄鱼 crocodile
8th  1    －                  巨鹰 giant eagle
  你可以在数个小时里保持着野兽形态，其持续时间具体数值等于你的德鲁伊职业等级的一半（向下取整）。你可以在持续时间过后恢复原形，或者你也可以再次使用此特性来维持变形。
另外，你也可以在你的回合内用一个附赠动作来恢复原形。在你陷入昏迷、生命值为0或者死亡的时候，变形将自动解除。
  你变形时必须遵从以下规则：
• 你的游戏数据替换为新形态的数值，但你仍保持你的阵营、个性，以及智力值、感知值、魅力值。你保留技能与豁免的熟练项，并且获得新形态的技能和豁免熟练项。如果新形态有你已具有的的熟练项且该熟练项的加值高于你的熟练加值，则使用新形态的熟练加值。你不能使用新形态可能拥有的传奇动作或巢穴动作。
• 变形后，你使用新形态的生命值和生命骰。变回原形时，你的生命值恢复变形之前的数值。而任何让你的生命值降至0的伤害，都可以使你变回原形并承受该伤害的溢出伤害量。
例如，你在动物形态下受到了10点伤害而你只剩1点生命值，则你变回原形并受到9点伤害。只要超过的伤害没有将你原形的生命值降至0，你就不会因此陷入昏迷。
• 你不能施法，并且任何说话或者需要用手的动作，在你处于野兽形态时都将受到限制。变形不会打断你正在专注的法术，也不会妨碍你执行作为已施展法术（例如召雷术call lightning）一部分的一些动作。
• 你保持从职业、种族或其它来源特性的收益，并且可以在新形态身体能力允许下使用这些特性。不过，你无法使用任何原有的特殊感官（例如黑暗视觉），除非你的新形态也具有这种感官。
• 变形时，你可以选择将你的装备丢在所处空间，或者将其融入新形态，又或者直接着装在身上。新形态直接着装的装备可以如常起作用，但DM有权基于新形态的体型和身姿作出判断，并最终决定新形态使用该装备是否合理。装备不会改变大小来适应新形态，新形态无法着装一些装备时，该装备会掉落你所处空间或融入新形态中。融入新形态的装备失去其效应，且在你变回原形时才能恢复。</t>
  </si>
  <si>
    <t>演员</t>
  </si>
  <si>
    <t>精通于模仿和演戏，让你获得下列增益： 
• 你的魅力增加1，上限为20。 
• 当你试图将自己扮演成另一个人时，你进行魅力（欺瞒）和魅力（表演）检定时具有优势。
• 你可以模仿另一个生物的说话口吻和声音。前提是你必须听过被模仿者至少1分钟的说话或发声。
对方聆听你的模仿时可以进行一次感知（洞悉）检定，并与你的魅力（欺瞒）检定进行对抗，若对方胜出便会意识到声音是模仿出来的。</t>
  </si>
  <si>
    <t>矮人</t>
  </si>
  <si>
    <t>标枪</t>
  </si>
  <si>
    <t>5 sp</t>
  </si>
  <si>
    <t>投掷(射程30/120)</t>
  </si>
  <si>
    <t>吹矢(50)</t>
  </si>
  <si>
    <t>艺人Entertainer</t>
  </si>
  <si>
    <t>人见人爱ByPoularDemand。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</si>
  <si>
    <t>艺人理想</t>
  </si>
  <si>
    <t>艺人牵绊</t>
  </si>
  <si>
    <t>艺人缺点</t>
  </si>
  <si>
    <t>艺人特点</t>
  </si>
  <si>
    <t>艺人技能熟练项</t>
  </si>
  <si>
    <t>艺人工具熟练项</t>
  </si>
  <si>
    <t>艺人额外语言</t>
  </si>
  <si>
    <t>艺人背景装备</t>
  </si>
  <si>
    <t>艺人特殊选项</t>
  </si>
  <si>
    <t>圣武士施法</t>
  </si>
  <si>
    <t>第2级起，你学会通过冥想与祈祷引导神圣魔法，其原理与牧师相仿。参考第10章的施法规则，以及第11章的圣武士法术列表。
法术的准备与施展 Preparing and Casting Spells
  “圣武士职业表”里记录了你用以施展圣武士法术的1环及更高环阶法术位数量。施展一个圣武士法术时，你必须同时消耗其对应环阶的法术位。而已消耗的法术位则可以通过完成一次长休进行恢复。
  你可以准备圣武士法术列表中所有符合当前施展条件的法术。准备法术时，你所准备法术的总数等于你的魅力调整值＋你圣武士职业等级的一半（最少可准备一个）。另外，你只能准备已获得相应环阶法术位的法术。
  你可以在完成长休后改变你的准备法术列表。准备新的圣武士法术列表时，你要再花时间进行祈祷和冥想。准备时，你要为你列表上每个法术的每个环阶都花费至少1分钟时间。
施法关键属性 Spellcasting Ability
  你的法术源自你坚定信念产生的力量，因此魅力是你施展圣武士法术的关键属性。每当你的圣武士法术需要施法关键属性是均指向你的魅力值。而你圣武士法术的豁免DC和攻击检定，则使用你的魅力调整值。
法术豁免 DC＝8＋你的熟练加值＋你的魅力调整值
法术攻击调整值＝你的熟练加值＋你的魅力调整值
法器 Spellcasting Focus
  你可用圣徽（见第5章）作为施展你圣武士法术的法器。</t>
  </si>
  <si>
    <t>法术精通</t>
  </si>
  <si>
    <t>第18级时，你对特定的法术精熟于心，甚至可以随意施展这些法术。
  选择你法术书中的一项1环法师法术和一项2环法师法术，此后只要你准备了它们，就可以随意施展其最低环阶版本，且无需消耗法术位。你也可以消耗法术位来施展其更高环阶版本。
  通过8小时的研习，你可以将这两项法术中的任一项替换为同环阶的其他法术。</t>
  </si>
  <si>
    <t>超魔法</t>
  </si>
  <si>
    <t>第3级起，你可以扭曲所施展的法术使其符合你的需求。从下述超魔法选项中选择其二。随后你将在第10 和第17级分别再获得其一。
除非特别说明，否则对一个法术只能应用一种超魔法项。
谨慎法术 Careful Spell
 施展一个让其他生物进行豁免的法术时，你可以让其中一些生物免受法术的全额威力。实现该效应需要你使用1术法点，并指定一定数量的目标生物，其最大数量等于你的魅力调整值（至少为 1）。而被指定的生物将直接成功通过法术的豁免检定。
远程法术 Distant Spell
 施展一个施法距离不小于5尺的法术时，你可以使用1术法点使该法术的施法距离翻倍。施展一个施法距离为触及的法术时，你可以使用1术法点将法术的施法距离改为30尺。
强效法术 Empowered Spell
 为法术进行伤害掷骰时，你可以使用1术法点重掷其中一定数量的骰子。重掷骰子的最大数等于你的魅力调整值（至少为1），且你必须接受新的结果。
强效法术超魔可以与其他超魔法选项合用。
延效法术 Extended Spell
 施展一个持续时间不短于1分钟的法术时，你可以使用 1术法点使法术的持续时间翻倍，但其最终结果不能超过24小时。
升阶法术 Heightened Spell
 施展一个迫使一个生物进行豁免以抵御其效应的法术时，你可以花费3术法点使该法术所有目标中的一个首次进行对抗该法术的豁免时具有劣势。
瞬发法术 Quickened Spell
 施展一个施法时间为1动作的法术时，你可以使用2术法点将其施法时间改为1附赠动作。
精妙法术 Subtle Spell
 施展一个法术时，你可以使用1术法点无视该法术施法必须的言语成分或动作成分。
孪生法术 Twinned Spell
 施展一个影响单一生物，且施法距离并非自身的法术时，你可以使用等于法术环阶的术法点（戏法消耗1点），并在法术施法距离内再指定另一个目标。以高环阶施展的法术，其升环施法后如果目标变为复数则无法再使用该方式增加其目标。
例如，魔法飞弹magic missile和灼热射线scorching ray 可能无法使用该超魔法项，而冷冻射线ray of frost 和繁彩球chromatic 则不会出现该问题。
 适用该超魔的法术在其当前环阶时不能同时指定多个生物为目标。比如，魔法飞弹magic missile 和灼热射线scorchingray 不符合条件，而冷冻射线ray of frost 和繁彩球chromatic orb 则符合条件</t>
  </si>
  <si>
    <t>休憩曲</t>
  </si>
  <si>
    <t>第2级起，你可以在短休时用轻柔的音乐或话语帮助伙伴们恢复伤势。
如果你或任何友方生物可以在其短休时听到你的演奏声，且决定在此时使用生命骰恢复生命值，则其恢复量可以额外增加1d6。
 该额外恢复的数值在达到特定职业等级时可以再增加。第9级时增为1d8，第13级时增为1d10，第17级时增为1d12。</t>
  </si>
  <si>
    <t>摧毁不死生物</t>
  </si>
  <si>
    <t>第5级起，当不死生物进行对抗你驱散特性的豁免失败时，如果其挑战等级等于或低于一个既定的下限，则该不死生物将被即时摧毁。相应的数值列举在表格“摧毁不死生物”中。
摧毁不死生物 Destory Undead
牧师等级 摧毁不死生物的挑战等级 
5th     1/2 或更低
8th     1或更低
11th    2 或更低
14th    3 或更低
17th    4 或更低</t>
  </si>
  <si>
    <t>无甲移动</t>
  </si>
  <si>
    <t>第2级起，当未穿着任何护甲也没持用盾牌时，你的移动速度增加10尺。该加值将随着武僧职业等级的提升而增加，具体数值见“武僧职业表”中“无甲移动”一栏。
第9级起，你在自己的回合内，可以在垂直平面或水面等地形移动，但移动结束时你必须处在不会坠落的地方。</t>
  </si>
  <si>
    <t>灵巧动作</t>
  </si>
  <si>
    <t>第2级起，你精妙的反应与身手使你的行动无比迅速。
你每回合有一次使用一种特殊附赠动作的机会，该附赠动作可用以执行撤离Disengage、疾走Dash 或躲藏Hide三项动作其中之一。</t>
  </si>
  <si>
    <t>魔契恩泽</t>
  </si>
  <si>
    <t>第3级时，你的宗主赋予你一份馈赠作为你忠诚服务的回馈。你可以从下列特性中自选其一。
链之魔契 Pact of the Chain
 你习得法术获得魔宠 find familiar，并可以把它作为一个仪式施展。此法术不计入你的已知法术数量。施展该法术时，你可以选择召唤一个普通的生物，或是下列特殊生物之一：小魔鬼 imp、伪龙 pseidodragon、夸赛魔quasit、或小妖精 sprite。
 此外，当你执行攻击动作时可以放弃所有攻击中的一次攻击，转而让你的魔宠使用其反应发动一次攻击。
刃之魔契 Pact of the Blade
 你可以用一个动作从空着的手中创造一把契约武器。你每次创造契约武器时都可以从近战武器列表中选择它的形态（见第5章的武器选项）。当你使用该武器时，将视为拥有该武器的熟练项。在攻击对非魔法攻击或伤害具有抗性或免疫的目标时，该武器将视为魔法武器。
 你的契约武器在离你5尺外的区域停留超过1分钟或更长时间，其将自然消失。当你再次创造契约武器、解散契约武器（无需动作）或是死亡的情况下，契约武器也会消失不见。
 你可以通过一个特殊的仪式把持有的魔法武器变为你的契约武器。该仪式花费1小时，并且可以在短休时进行。仪式完成后，你随时可以解散该武器，以将其转移到一个异次元空间之中。而每当你再次创造契约武器时再将它召唤出来。该仪式无法对神器或智能武器起作用。如果你死亡；或是花费1小时对另外一把武器举行了仪式；或是你通过1小时的仪式打破该契约，则该武器便不再是你的契约武器。如果在它处于异次元空间时你打破契约，那么该武器将会出现在你的脚边。
书之魔契 Pact of the Tome
 你的宗主给予你一本名为“影之书”的魔法书。获得该特性后，从任意职业法术列表中选择三个戏法（这三个戏法不必来自同一个列表）。该魔法书在你身上时，你可以随意施展那些法术。它们不算入你的已知戏法数量中。这些法术就算本来不属于邪术师法术列表，你也将其视为邪术师法术。
 如果你丢失了自己的影之书，你可以举行一个1小时的仪式，并从你的宗主处获得一个替代品。仪式可以在短休或长休期间完成，而它会摧毁之前的魔法书。当你死亡时，该书也将化为灰烬。</t>
  </si>
  <si>
    <t>奇械师专业</t>
  </si>
  <si>
    <t>在第3级，你造成自己将成为哪方面的专家：炼金师、魔炮师或战地匠师，这三个专业会在职业描述的最后进行说明。你的选择将决定你在5级、9级和15级获得的特性。</t>
  </si>
  <si>
    <t>武术范型</t>
  </si>
  <si>
    <t>第3级时，你选择一种范型以体现你的战斗风格和技巧。
你可以从诸如勇士Champion、战斗大师Battle Master、奥法骑士Eldritch Knight 等范型中选择其一。
随后，你将在第3、第7、第10、第15、第18级获得所选范型的相应特性。
你可以在拓展之中找到更多的战士范型。</t>
  </si>
  <si>
    <t>游侠施法</t>
  </si>
  <si>
    <t>第2级起，你学会运用自然世界的魔法本源进行施法，你的施法方式与德鲁伊类似。参考第10章的施法基本规则以及第11章的游侠法术列表。
法术位 Spell Slots
 “游侠职业表”中记录了你可用以施展你游侠法术的1环及更高环阶法术位数量。施展某个游侠法术时，你必须同时消耗其对应环阶的法术位。而已消耗的法术位则可以通过完成一
次长休进行恢复。
 例如，若你已知1环法术化兽为友 animal friendship 且有一枚可用的1环法术位和一枚可用的2环法术位，则两法术位都可用来施展该法术。
已知法术 Spell Known of 1st Level and Higher
 你从游侠法术列表里选两个1环法术作为自己的已知法术。 “游侠职业表”中“已知法术”一栏记录了你获得更多已知法术时的相应等级。你只能获取已有相应环阶法术位的法术。
比如，当你达到第5级时，你将获得一个1环或2环法术。
 另外，你每提升一个游侠等级，还可以从游侠法术列表里选择一个新法术来代替一个已知法术列表中的旧法术。但是，你必须拥有新法术的相应环阶法术位。
施法关键属性 Spellcasting Ability
 你的魔法来自你与自然的同调，因此感知是你施展游侠法术的关键属性。每当你的游侠法术需要施法关键属性时均指向你的感知值。而你游侠法术的豁免DC和攻击检定，则使用你的感知调整值。
法术豁免 DC＝8＋你的熟练加值＋你的感知调整值
法术攻击调整值＝你的熟练加值＋你的感知调整值</t>
  </si>
  <si>
    <t>险境感知</t>
  </si>
  <si>
    <t>第2级时，你获得对周遭异常情况超乎寻常的感测力，让你能先一步脱离危险。
 在受到你能看见的效应（诸如陷阱和法术）影响时，你对其进行的敏捷豁免具有优势。
你无法在目盲、耳聋或是失能的状态下从此特性获益。</t>
  </si>
  <si>
    <t>德鲁伊结社</t>
  </si>
  <si>
    <t>第2级时，你将选择参与一个德鲁伊结社。你可以从大地结社Circle of the Land 或月亮结社Circle of the Moon 中选择其一。
随后，你将在第2、第6、第10、第14级时获得所选结社相应的特性。你可以在拓展中找到更多的结社。</t>
  </si>
  <si>
    <t>冲锋手</t>
  </si>
  <si>
    <t>当你执行疾走动作时，你可以用附赠动作发动一次近战武器攻击，或推撞一个生物。
若你在使用附赠动作前至少直线行走10尺，则该次攻击的伤害掷骰具有+5加值（若你选择近战攻击且命中），或目标被推出至多10尺（若你选择推撞且成功）。</t>
  </si>
  <si>
    <t>龙裔</t>
  </si>
  <si>
    <t>总等级</t>
  </si>
  <si>
    <t>轻锤</t>
  </si>
  <si>
    <t>弩矢(20)</t>
  </si>
  <si>
    <t>角斗士Gladiator</t>
  </si>
  <si>
    <t>角斗士理想</t>
  </si>
  <si>
    <t>角斗士牵绊</t>
  </si>
  <si>
    <t>角斗士缺点</t>
  </si>
  <si>
    <t>角斗士特点</t>
  </si>
  <si>
    <t>角斗士技能熟练项</t>
  </si>
  <si>
    <t>角斗士工具熟练项</t>
  </si>
  <si>
    <t>角斗士额外语言</t>
  </si>
  <si>
    <t>角斗士背景装备</t>
  </si>
  <si>
    <t>角斗士特殊选项</t>
  </si>
  <si>
    <t>至圣斩</t>
  </si>
  <si>
    <t>第2级起，你使用近战武器攻击命中一个生物时，可以消耗一枚法术位，并对目标造成除武器伤害外附加的光耀伤害。
额外伤害的数值为1环法术位时的2d8，以及更高法术位时每比1环高一环就外加1d8，其最高值为5d8。如果目标是不死生物或邪魔，则该伤害将再额外增加1d8，至高提升至6d8。</t>
  </si>
  <si>
    <t>招牌法术</t>
  </si>
  <si>
    <t>第20级时，你精通两个强大的法术，甚至可以用更低的成本施展这些法术。
选择你的法术书中的两个3环法师法术，作为你的招牌法术。
此后这两个法术将永远视为已准备法术，且不计入你的准备法术数量之中。你可以施展这两个法术的 3环版本各一次，且无需消耗法术位。
招牌法术使用后，需要完成一次短休或长休才能再次使用。
你也可以消耗法术位施展这两个法术的更高环阶版本。</t>
  </si>
  <si>
    <t>术法复苏</t>
  </si>
  <si>
    <t>第20级时，你每完成一次短休，可以恢复4术法点。</t>
  </si>
  <si>
    <t>吟游诗人学院</t>
  </si>
  <si>
    <t>第3级时，你将选择加入一个吟游诗人的学院协会，以探寻更精深的技艺。
你可以从逸闻学院 College of Lore 或勇气学院 College of Valor 中选择其一。
随后，你将在第 3、第 6 和第14 级时获得相应的职业特性。
你可以在拓展中找到更多的吟游诗人学院。</t>
  </si>
  <si>
    <t>神圣干预</t>
  </si>
  <si>
    <t>第10级起，你可以在迫切需要帮助时，召唤神祇的协助。
 你需要用一个动作来请求所信仰神祇的帮助。描述你所需要的帮助，然后掷d100。如果你的结果等于或者小于你的牧师等级，你将得到神祇的回应。回应的结果由DM作出选择；此时通常请求任何牧师法术或者领域法术的效应都在可接受范围内。
 如果你的神祇回应了请求，你在此后的7日内无法再次使用该特性；否则你可以在完成长休后再次使用该特性。
 到达20级后，你的呼唤将自动得到神祇的回应，无需再掷d100。</t>
  </si>
  <si>
    <t>宗派</t>
  </si>
  <si>
    <t>第3级时，你选择投入一个宗派精进你的技艺。你可以从散打宗、暗影宗、四象宗中选择其一。
随后，你的将在第 3、第6、第 11、第17级时获得相应宗派的特性传承。
你可以在拓展中找到更多的武僧宗派。</t>
  </si>
  <si>
    <t>游荡者范型</t>
  </si>
  <si>
    <t>第3级时，你选择学习一种特定的战斗范型。你可以从盗贼 Thief、刺客 Assassin 或者诡术师 Arcane Trickster 中选择其一。
随后，你将在第3，第9，第13、第17级时获得所选范型的相应特性。
你可以在拓展之中找到更多的游荡者范型。</t>
  </si>
  <si>
    <t>玄奥秘法</t>
  </si>
  <si>
    <t>第11级时，你的宗主赋予你一种称为秘法的魔法奥秘。
你可以选择一个6环的邪术师法术作为你的玄奥秘法。
 你施展秘法时无需消耗法术位，而消耗掉的秘法可以通过完成一次长休进行恢复。
 在获得更高的邪术师等级后，你将可以选择更多的邪术师法术以该方式施展：第13级时可选一个7环法术，15级时可选一个8环法术，17级时可选一个9环法术。完成一次长休后，所有消耗掉的秘法都会恢复。</t>
  </si>
  <si>
    <t>称手工具</t>
  </si>
  <si>
    <t>在第3级，你将学习如何精确地制作你所需要的工具：使用修补工具，你可以在离你5英尺内的未占据空间中魔法性地制作出一套工匠工具。这一制造需要1小时不间断的工作，可以在短休或长休的过程中进行。这套工具是魔法的产物，但其本身是非魔法的，当你再次使用此特性时，之前制造的工具就会消失。</t>
  </si>
  <si>
    <t>战士额外攻击</t>
  </si>
  <si>
    <t>第5级起，你在自己回合内执行攻击动作时可以发动两次攻击而非一次。
第11级后，你可以攻击三次。第20级后可以攻击四次。</t>
  </si>
  <si>
    <t>游侠范型</t>
  </si>
  <si>
    <t>第3级时，你选择学习一种特定的战斗范型。你可以从猎人Hunter或驯兽师Beast Master中进行选择。随后，你将在
第3，第7，第11、第15级时获得所选范型的相应特性。</t>
  </si>
  <si>
    <t>原初道途</t>
  </si>
  <si>
    <t>第3级时，你选择一种道途来塑造你狂怒时的特质。你可以从狂战士Berserker 和图腾武者Totem Warrior 中选择其一。
随后，你将在第3、第6、第10、第14级时获得所选道途的相应特性。
拓展之中存在更多的原初道途选项。</t>
  </si>
  <si>
    <t>德鲁伊不朽身</t>
  </si>
  <si>
    <t>第18级起，你行使的原初荒野魔力让你的衰老速度减缓。
每经过10年的岁月，你的身体就仿佛只过了1年。</t>
  </si>
  <si>
    <t>强弩专家</t>
  </si>
  <si>
    <t>你凭借一系列的用弩修行，获得下列增益：
• 你使用拥有熟练项的弩时，忽略其装填属性。
• 你在敌对生物５尺范围内发动远程攻击检定时，不会因此而具有劣势。
• 你执行攻击动作以单手武器攻击后，可以用附赠动作使用一把正持握的手弩发动攻击。</t>
  </si>
  <si>
    <t>机关人</t>
  </si>
  <si>
    <t>每级兼职血量</t>
  </si>
  <si>
    <t>硬头锤</t>
  </si>
  <si>
    <t>投石索弹丸(20)</t>
  </si>
  <si>
    <t>0.04gp</t>
  </si>
  <si>
    <t>平民英雄FolkHero</t>
  </si>
  <si>
    <t>好客乡民RusticHospitality。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</si>
  <si>
    <t>平民英雄理想</t>
  </si>
  <si>
    <t>平民英雄牵绊</t>
  </si>
  <si>
    <t>平民英雄缺点</t>
  </si>
  <si>
    <t>平民英雄特点</t>
  </si>
  <si>
    <t>平民英雄技能熟练项</t>
  </si>
  <si>
    <t>平民英雄工具熟练项</t>
  </si>
  <si>
    <t>平民英雄额外语言</t>
  </si>
  <si>
    <t>平民英雄背景装备</t>
  </si>
  <si>
    <t>平民英雄特殊选项</t>
  </si>
  <si>
    <t>神佑</t>
  </si>
  <si>
    <t>第3级起，你体内涌动的神圣魔法使你免疫疾病。</t>
  </si>
  <si>
    <t>吟游诗人专精</t>
  </si>
  <si>
    <t>第3级起，你选择两个已有的技能熟练项。此后你进行所选技能的属性检定时，可以使用双倍的熟练加值。
 第10级后，你可以再选择另外两个已有的技能熟练项从该特性中获益。</t>
  </si>
  <si>
    <t>拨挡飞弹</t>
  </si>
  <si>
    <t>第3级起，你可以用你的反应拨挡或抓取一个击中你的远程武器攻击。使用本特性后，该次攻击的伤害将被削弱，其减数值等于1d10＋你的敏捷调整值＋你的武僧职业等级。
 当被拨挡攻击的伤害减少至0，且实施伤害的飞弹可以被你单手抓住时，你可以用此时空闲的手去抓取该飞弹。
此时你可以消耗1点气以该“飞弹”进行一次远程攻击，而该攻击将视为本次反应的一部分。
无论你是否具有被拨挡武器的熟练项，本次攻击中你都视为进行具有熟练项的攻击，所使用的飞弹也视为武僧武器，其射程为20/60尺。</t>
  </si>
  <si>
    <t>直觉闪避</t>
  </si>
  <si>
    <t>第5级起，当一个你能看见的敌人攻击命中你时，你可以用反应让此次攻击的伤害减半。</t>
  </si>
  <si>
    <t>魔能掌控</t>
  </si>
  <si>
    <t>第20级时，你可以利用储备的魔力祈求你的宗主为你恢复已消耗的法术位。
你可以花1分钟祈求宗主的帮助，恢复所有你已消耗的契约魔法法术位。
使用该特性恢复法术位后，你必须完成一次长休才能再次使用该特性。</t>
  </si>
  <si>
    <t>工具专精</t>
  </si>
  <si>
    <t>从第6级起，你在使用你熟练的工具时，能够使用双倍的熟练加值。</t>
  </si>
  <si>
    <t>不屈</t>
  </si>
  <si>
    <t>第9级起，你可以重掷失败的豁免检定。不过你必须采用重掷的结果。你必须完成一次长休才能再次使用该特性。
第13级起，你可以在两次长休之间使用两次该特性。
第17级起，你可以在两次长休之间使用三次该特性。</t>
  </si>
  <si>
    <t>原初意识</t>
  </si>
  <si>
    <t>第3级起，你可以消耗一枚游侠法术位，并用动作将你的意识集中在身处的区域，感测1里内是否存在以下类型生物（在偏爱地形中时，扩展至6里）：异怪、天界生物、龙、精类生物、邪魔、元素生物和不死生物。
所消耗法术位每提高一环阶感测效果持续时间就多加1分钟。另外，该特性并不会知晓生物的位置或数量。</t>
  </si>
  <si>
    <t>野蛮人额外攻击</t>
  </si>
  <si>
    <t>第5级起，你在自己回合内执行攻击动作时可以发动两次攻击而非一次。</t>
  </si>
  <si>
    <t>野兽施法</t>
  </si>
  <si>
    <t>第18级起，你在荒野变形状态下可以施展大部分的德鲁伊法术。
在野兽形态时，你可以完成德鲁伊法术的姿势与言语成分，但无法完成其材料成分的使用。</t>
  </si>
  <si>
    <t>防御式决斗</t>
  </si>
  <si>
    <t>先决条件：敏捷13或更高
当你持用一把已具有熟练项的灵巧武器时，若另一生物对你发动的近战攻击命中你，则你可执行反应并将你的熟练加值添加到本次攻击的AC中，此举还有可能导致本次攻击变为未命中。</t>
  </si>
  <si>
    <t>兽人</t>
  </si>
  <si>
    <t>兼职血量</t>
  </si>
  <si>
    <t>已知祈唤</t>
  </si>
  <si>
    <t>长棍</t>
  </si>
  <si>
    <t>两用（1d8）</t>
  </si>
  <si>
    <t>抗毒剂_小瓶</t>
  </si>
  <si>
    <t>喝下瓶内液体的生物在1小时内进行对抗对毒素的豁免检定时具有优势。它无法为不死生物或构装生物提供任何增益。</t>
  </si>
  <si>
    <t>公会工匠GuildArtisan</t>
  </si>
  <si>
    <t>公会成员GuildMembership。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t>
  </si>
  <si>
    <t>公会工匠理想</t>
  </si>
  <si>
    <t>公会工匠牵绊</t>
  </si>
  <si>
    <t>公会工匠缺点</t>
  </si>
  <si>
    <t>公会工匠特点</t>
  </si>
  <si>
    <t>公会工匠技能熟练项</t>
  </si>
  <si>
    <t>公会工匠工具熟练项</t>
  </si>
  <si>
    <t>公会工匠额外语言</t>
  </si>
  <si>
    <t>公会工匠背景装备</t>
  </si>
  <si>
    <t>公会工匠特殊选项</t>
  </si>
  <si>
    <t>神圣誓言</t>
  </si>
  <si>
    <t>第3级起，你将立下神圣誓言，并永远与你的圣武士身份同在。你在此之前的圣武士修行被认为仅仅是接受了一条道路而尚未立誓遵从，你之前所躬行的行为都是为此刻作准备。神圣誓言包括奉献之誓Oath of Devotion、古贤之誓Oath of the Ancients、复仇之誓Oath of Vengeance 等，你可从中选择其一。更多誓言可在扩展之中找到。
  随后，你将在第3，第7，第15 和第20级获得所选圣誓的相应特性。
圣誓法术 Oath Spells 
  每种誓言都有其相应的圣誓法术列表。当你达到表中所示的圣武士等级时，你将同时获得其对应的圣誓法术。圣誓法术一旦获得，将会一直在你的准备法术列表中，且不计入你的每日准备法术上限。
  任何圣誓法术对你而言都是圣武士法术，而不论其是否在圣武士法术列表之上。
引导神力 Channel Divinity 
  你的誓言使你获得引导神祇所授神圣能量的能力，引导的能量将用以实现各种魔法效应。誓言赋予的相应效应，可以参考相关誓言的描述内容。
  引导神力时，神力最终产生的效应由你自行选择。引导神力后，你必须完成一次短休或长休才能再次使用该特性。 
 某些引导神力的效应需要豁免，其豁免DC等于你的圣武士法术豁免DC。</t>
  </si>
  <si>
    <t>激励之源</t>
  </si>
  <si>
    <t>第5级起，你可以在完成短休或长休后恢复你已消耗的诗人激励次数。</t>
  </si>
  <si>
    <t>轻身坠</t>
  </si>
  <si>
    <t>第4级起，当你要承受坠地伤害时，你可以使用反应将伤害减少等同于五倍武僧职业等级的数值。</t>
  </si>
  <si>
    <t>游荡者反射闪避</t>
  </si>
  <si>
    <t>第7级起，你可以灵巧躲过某些特定的区域效应，比如红龙的火焰吐息或是法术冰风暴Ice storm。
你在成为某一范围效应影响对象时，若该效应允许你通过成功的敏捷豁免来使伤害减半，则你在该豁免成功时不受伤害，而豁免失败时只受一半伤害。</t>
  </si>
  <si>
    <t>灵光一闪</t>
  </si>
  <si>
    <t>从第7级起，你获得了在压力下想出解决方案的能力。当你或距离你30英尺内的可见生物进行属性检定或豁免检定时，你能以一个反应将你的智力调整值添加到此次检定中。
　　你能使用此能力的次数等于你的智力调整值（最少1次）。在你完成一次长休后，将恢复所有可用次数。</t>
  </si>
  <si>
    <t>游侠额外攻击</t>
  </si>
  <si>
    <t>第5级起，你在自己回合内执行攻击动作时可以攻击两次而非一次。</t>
  </si>
  <si>
    <t>快速移动</t>
  </si>
  <si>
    <t>第5级起，你在未着装重甲时速度提升10尺。</t>
  </si>
  <si>
    <t>大德鲁伊</t>
  </si>
  <si>
    <t>第20级时，你可以无限次的使用荒野变形。
另外，你还可以将德鲁伊法术中的姿势和言语成分，以及非无价值且不被法术消耗的材料成分忽略。你在原形态和荒野形态下都可以从此特性获益。</t>
  </si>
  <si>
    <t>双持客</t>
  </si>
  <si>
    <t>你精通双持武器进行作战，并获得下列增益：
• 当你两手各持用一把武器时，你的AC获得+1加值。
• 你进行双持武器战斗时所持用的单手近战武器可以不具备轻型武器属性。
• 你可以在正常只能拔出或入鞘一把武器时，同时拔出或入鞘两把单手武器。</t>
  </si>
  <si>
    <t>半兽人</t>
  </si>
  <si>
    <t>每级第二兼职血量</t>
  </si>
  <si>
    <t>镰刀</t>
  </si>
  <si>
    <t>水晶</t>
  </si>
  <si>
    <t>奥术法器是一件用来引导奥术法术的特殊物品，它可以是一枚法球、一块水晶、一只权杖、一根特制法杖、一根魔杖般的长木条或是其它类似的物品。术士、邪术师或法师能将这样的物品用作施法法器。</t>
  </si>
  <si>
    <t>10gp</t>
  </si>
  <si>
    <t>公会商人GuildMerchant</t>
  </si>
  <si>
    <t>公会商人理想</t>
  </si>
  <si>
    <t>公会商人牵绊</t>
  </si>
  <si>
    <t>公会商人缺点</t>
  </si>
  <si>
    <t>公会商人特点</t>
  </si>
  <si>
    <t>公会商人技能熟练项</t>
  </si>
  <si>
    <t>公会商人工具熟练项</t>
  </si>
  <si>
    <t>公会商人额外语言</t>
  </si>
  <si>
    <t>公会商人背景装备</t>
  </si>
  <si>
    <t>公会商人特殊选项</t>
  </si>
  <si>
    <t>圣武士额外攻击</t>
  </si>
  <si>
    <t>反迷惑</t>
  </si>
  <si>
    <t>第6级起，你获得用音乐或话语来打断心控效应的能力。
你可以使用一个动作开始一场持续至你的下一回合结束的演出。
在这段时间内，你与你身边30尺内的友方生物进行对抗恐慌或魅惑效应的豁免检定具有优势。该生物必须能听到你的声音才能获得此增益。
这场表演只有当你陷入失能、沉默状态，或主动终止（无需动作）时才会提前结束。</t>
  </si>
  <si>
    <t>武僧额外攻击</t>
  </si>
  <si>
    <t>可靠才能</t>
  </si>
  <si>
    <t>第11级起，你自身技能经过精炼而更趋于完美。每当你进行的属性检定可以使用熟练加值时，你可以将d20骰中9或以下的结果都视为10。</t>
  </si>
  <si>
    <t>魔法物品熟稔</t>
  </si>
  <si>
    <t>当你达到10级时，你对如何使用和制作魔法物品有了深刻的理解：
·你一次最多可以调谐四个魔法物品。
·如果你制作一件稀有度为普通或非普通的魔法物品，时间花费只需通常的四分之一，而且金钱花费只有通常的一半。</t>
  </si>
  <si>
    <t>游侠大地行者</t>
  </si>
  <si>
    <t>第8级起，你穿过非魔法的困难地形时不会消耗额外移动力。你穿过非魔法的植物时不会消耗额外移动力，且这类植物的荆棘、毛刺或类似的危害物也无法对你造成伤害。
另外，在抵抗魔法制造或控制的植物造成的移动障碍效应时（例如纠缠术entangle），你的豁免检定具有优势。</t>
  </si>
  <si>
    <t>野性直觉</t>
  </si>
  <si>
    <t>第7级时，你的直觉变的异常敏锐，从而使你骰先攻时具有优势。
 此外，如果你在战斗开始时被突袭但并未陷入失能，则你仍可以在你的第一回合正常行动。不过你必须在进行任何其它行动前进入狂暴。
 （假如使用。ri指令进行先攻，DM可改为先攻检定具有+5加值）</t>
  </si>
  <si>
    <t>地城探索者</t>
  </si>
  <si>
    <t>由于对隐藏的陷阱和密门特别敏感，你获得下列增益： 
• 你为搜寻密门进行的感知（察觉）和智力（调查）检定具有优势。
• 为躲避或抵抗陷阱而进行的豁免检定具有优势。
• 你对陷阱所造成的任何伤害都具有抗性。
• 你以快速步调旅行时无需承受通常情况下的被动感知（察觉）值的-5减值。</t>
  </si>
  <si>
    <t>提夫林</t>
  </si>
  <si>
    <t>第二兼职血量</t>
  </si>
  <si>
    <t>矛</t>
  </si>
  <si>
    <t>投掷(射程20/60) 两用(1d8)</t>
  </si>
  <si>
    <t>法球</t>
  </si>
  <si>
    <t>20gp</t>
  </si>
  <si>
    <t>隐士Hermit</t>
  </si>
  <si>
    <t>探索Discovery。你寂寥的长期隐居令你发现了某些独特而强大的秘密。这项发现的具体内容与你的隐居的理由密切相关。你或许是找到了与宇宙真相，神祇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</si>
  <si>
    <t>隐士理想</t>
  </si>
  <si>
    <t>隐士牵绊</t>
  </si>
  <si>
    <t>隐士缺点</t>
  </si>
  <si>
    <t>隐士特点</t>
  </si>
  <si>
    <t>隐士技能熟练项</t>
  </si>
  <si>
    <t>隐士工具熟练项</t>
  </si>
  <si>
    <t>隐士额外语言</t>
  </si>
  <si>
    <t>隐士背景装备</t>
  </si>
  <si>
    <t>隐士特殊选项</t>
  </si>
  <si>
    <t>守护灵光</t>
  </si>
  <si>
    <t>第6级起，你与友方生物在你身边10尺内进行豁免检定时，可以将你的魅力调整值作为加值加在其豁免结果上（至少为+1）。
提供该加值时你必须保持意识清醒。
第18级起，该灵光的作用范围扩展至30尺。</t>
  </si>
  <si>
    <t>魔法奥秘</t>
  </si>
  <si>
    <t>第10级起，你从旋律中了解了大量的魔法知识，使你可以从所有职业的法术列表里选择两个法术（包括诗人列表）加入已知法术中。
你所选择的法术必须是你当前等级可以施展的环阶法术或戏法。
 所选法术对你而言视为吟游诗人法术，且包含在“诗人职业表”上“已知法术”一栏所记录的数量之内。
 第14和第18级时，你可以分别使用此特性再习得两个任选法术。</t>
  </si>
  <si>
    <t>震慑拳</t>
  </si>
  <si>
    <t>第5级起，你能够阻碍敌人体内的气的流动。你的近战武器攻击命中时，可以消耗1点气尝试发动震慑拳。
被命中目标必须进行一次体质豁免，豁免失败则受到震慑，并持续至你的下一回合结束。</t>
  </si>
  <si>
    <t>听声辨位</t>
  </si>
  <si>
    <t>第14级起，只要能听到声音，你就可以定位身边10尺内躲藏或隐形的生物。</t>
  </si>
  <si>
    <t>储法物品</t>
  </si>
  <si>
    <t>当你达到第11级时，你将习得如何在一个物体中储存一个法术。当你完成一次长休，你能够触摸一件简易武器、军用武器或一个你可以将其作为法器使用的物品，从奇械师法术列表中选择一个施法时间为一个动作的1环或2环法术（你不需要准备这个法术）。
　　任何在手中持有该物品的生物能够使用你的施法关键属性来以一个动作通过该物品产生储存法术的效果。如果该法术需要专注，则启动物品的生物必须进行专注。该法术将留存在物品中，直到使用次数用完（最大使用次数等于你智力调整值的两倍（至少两次））或直到你再次使用该特性。</t>
  </si>
  <si>
    <t>遁术</t>
  </si>
  <si>
    <t>第10级起，你可以花1分钟来为自己制作伪裝。你必须能取用新鲜的泥土、植物、煤烟等天然物料进行制作。
伪装完成后，你可以将自己贴上至少跟自己等高等阔的实体表面（如树干或墙壁）并尝试躲藏。如果你留在原地不移动且不执行动作，则你的敏捷（隐匿）检定获得+10加值。
一旦移动、执行动作或执行反应，你都必须重新伪装以重获该增益。</t>
  </si>
  <si>
    <t>凶蛮重击</t>
  </si>
  <si>
    <t>第9级起，计算近战攻击的重击伤害时，你可以额外骰一个所用武器的伤害骰。
 第13级时，你可以额外骰两个；第17级时，你可以额外骰三个。</t>
  </si>
  <si>
    <t>耐性</t>
  </si>
  <si>
    <t>由于坚强而持久，你获得下列增益：
• 你的体质加1，上限为20。
• 当你掷生命骰恢复生命值时，每粒生命骰可恢复的最小生命值等于你体质调整值的两倍（最小为２）。</t>
  </si>
  <si>
    <t>阿斯莫</t>
  </si>
  <si>
    <t>宿敌个数</t>
  </si>
  <si>
    <t>轻弩</t>
  </si>
  <si>
    <t>弹药(射程80/320) 装填 双手</t>
  </si>
  <si>
    <t>权杖</t>
  </si>
  <si>
    <t>贵族Noble</t>
  </si>
  <si>
    <t>特权地位PositionofPrivilege。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</si>
  <si>
    <t>贵族理想</t>
  </si>
  <si>
    <t>贵族牵绊</t>
  </si>
  <si>
    <t>贵族缺点</t>
  </si>
  <si>
    <t>贵族特点</t>
  </si>
  <si>
    <t>贵族技能熟练项</t>
  </si>
  <si>
    <t>贵族工具熟练项</t>
  </si>
  <si>
    <t>贵族额外语言</t>
  </si>
  <si>
    <t>贵族背景装备</t>
  </si>
  <si>
    <t>贵族特殊选项</t>
  </si>
  <si>
    <t>勇气灵光</t>
  </si>
  <si>
    <t>第10级起，你与友方生物在你身边10尺内不会陷入恐慌。提供该增益时你必须保持意识清醒。
第18级起，该灵光的作用范围扩展至30尺。</t>
  </si>
  <si>
    <t>先发激励</t>
  </si>
  <si>
    <t>第20级起，你骰先攻时若没有可用的诗人激励次数，则你获得一次使用次数。</t>
  </si>
  <si>
    <t>真气驻拳</t>
  </si>
  <si>
    <t>第6级起，攻击对非魔法攻击或伤害具有抗性或免疫的目标时，你的徒手打击视为魔法攻击。</t>
  </si>
  <si>
    <t>圆滑心智</t>
  </si>
  <si>
    <t>第15级起，你的心理素质获得了大大的加强，并因此获得感知豁免的熟练项。</t>
  </si>
  <si>
    <t>魔法物品专家</t>
  </si>
  <si>
    <t>当你达到14级时，你在魔法物品方面的技巧愈发精进：
·你一次最多可以调谐五个魔法物品。
·你无视调谐或使用魔法物品所需的任何职业、种族、法术和等级条件。</t>
  </si>
  <si>
    <t>无踪步</t>
  </si>
  <si>
    <t>第14级起，你可以在自己回合以一个附赠动作的形式执行躲藏Hide动作。此时，你无法被非魔法手段追踪到，除非你主动留下踪迹。</t>
  </si>
  <si>
    <t>坚韧狂暴</t>
  </si>
  <si>
    <t>第11级起，狂暴的力量让你即使身受重伤也能持续战斗。
如果你的生命值降至0但并未立即死亡，则你可以进行一次DC10的体质豁免。豁免成功则改为你的生命值降至1。
 第一次使用此特性后，每当你再次使用此特性时其体质豁免DC提高5。在你完成一次短休或长休后其DC重置为10。</t>
  </si>
  <si>
    <t>元素导师</t>
  </si>
  <si>
    <t>先决条件：至少可以施展一个法术
获得该专长时，你选择下列一种伤害类型：强酸、冷冻、火焰、闪电、雷鸣。
你所施展的法术将忽视你所选择伤害类型的抗性。此外，当你施展法术造成所选类型伤害时，将每粒伤害骰所有1的骰值视为2。
你可以重复多次选择该专长，但每次都必须选择一种不同的伤害类型。</t>
  </si>
  <si>
    <t>侏儒</t>
  </si>
  <si>
    <t>狂暴次数</t>
  </si>
  <si>
    <t>飞镖</t>
  </si>
  <si>
    <t>5 cp</t>
  </si>
  <si>
    <t>法杖</t>
  </si>
  <si>
    <t>骑士Knight</t>
  </si>
  <si>
    <t>骑士理想</t>
  </si>
  <si>
    <t>骑士牵绊</t>
  </si>
  <si>
    <t>骑士缺点</t>
  </si>
  <si>
    <t>骑士特点</t>
  </si>
  <si>
    <t>骑士技能熟练项</t>
  </si>
  <si>
    <t>骑士工具熟练项</t>
  </si>
  <si>
    <t>骑士额外语言</t>
  </si>
  <si>
    <t>骑士背景装备</t>
  </si>
  <si>
    <t>骑士特殊选项</t>
  </si>
  <si>
    <t>精通至圣斩</t>
  </si>
  <si>
    <t>第11级起，你体内充盈的公正之力使你的近战武器打击中携带着神圣的力量。当你使用近战武器命中一个生物时，该生物将额外受到1d8点光耀伤害。</t>
  </si>
  <si>
    <t>武僧反射闪避</t>
  </si>
  <si>
    <t>第7级起，你敏锐的直觉让你可以躲过一些特定的区域效应，比如蓝龙的闪电吐息或是法术火球术 fireball。
你在成为某一范围效应影响对象时，若该效应允许你通过成功的敏捷豁免来使伤害减半，则你在该豁免成功时不受伤害，而豁免失败时只受一半伤害。</t>
  </si>
  <si>
    <t>飘忽不定</t>
  </si>
  <si>
    <t>第18级起，你飘忽不定的身形让敌人攻击时无从下手。
除非你处于失能状态，否则以你为目标的攻击检定无法取得优势。</t>
  </si>
  <si>
    <t>魔法物品大师</t>
  </si>
  <si>
    <t>18级起，你一次最多可以调谐六个魔法物品。</t>
  </si>
  <si>
    <t>野性感官</t>
  </si>
  <si>
    <t>第18级时，你获得超自然的感官以帮助你对抗看不到的生物。此后，你攻击一个看不到的生物时不会因此承受劣势。
另外，你还能感测30尺内所有隐形敌人的位置，前提是该生物并没有针对你进行躲㯿，而你也没有陷入目盲或耳聋。</t>
  </si>
  <si>
    <t>持久狂暴</t>
  </si>
  <si>
    <t>第15级起，你狂暴时的情绪高涨得难以抑制，以至于只有当你昏迷或是主动终止狂暴时才能使之提前结束。</t>
  </si>
  <si>
    <t>擒抱者</t>
  </si>
  <si>
    <t>先决条件：力量13或更高
着重磨练过如何保持近距离擒抱的技巧后，你获得下列增益：
• 你对被你擒抱的生物所发动的攻击检定具有优势。
• 你可以用动作尝试压制被你擒抱的一个生物。此时，你必须进行另外一次擒抱检定。检定成功，则你与被擒抱者同时陷入束缚状态，直至擒抱终止。</t>
  </si>
  <si>
    <t>地精</t>
  </si>
  <si>
    <t>注法数量上限</t>
  </si>
  <si>
    <t>短弓</t>
  </si>
  <si>
    <t>弹药(射程80/320) 双手</t>
  </si>
  <si>
    <t>魔杖</t>
  </si>
  <si>
    <t>化外之民Outlander</t>
  </si>
  <si>
    <t>漂泊者Wanderer。你对记忆地图和地形时能力惊人，且你总能回想起地形、定居点或者其他环境特征的大致布局。此外，你每天可以为自己以及至多五名队友获取食物和饮水，前提是你们身处的土地可以提供浆果、小野兽、水源等资源。</t>
  </si>
  <si>
    <t>化外之民理想</t>
  </si>
  <si>
    <t>化外之民牵绊</t>
  </si>
  <si>
    <t>化外之民缺点</t>
  </si>
  <si>
    <t>化外之民特点</t>
  </si>
  <si>
    <t>化外之民技能熟练项</t>
  </si>
  <si>
    <t>化外之民工具熟练项</t>
  </si>
  <si>
    <t>化外之民额外语言</t>
  </si>
  <si>
    <t>化外之民背景装备</t>
  </si>
  <si>
    <t>化外之民特殊选项</t>
  </si>
  <si>
    <t>净化之触</t>
  </si>
  <si>
    <t>第14级起，你可以用动作触碰你自身或一个自愿生物，以中止该目标身上的一个法术效应。
该特性的可用次数等于你的魅力调整值（至少1次）。而已消耗的特性使用次数则可以通过完成一次长休进行恢复。</t>
  </si>
  <si>
    <t>心如止水</t>
  </si>
  <si>
    <t>第7级起，你可以用你的动作结束一个正影响你的魅惑或恐慌状态。</t>
  </si>
  <si>
    <t>幸运一击</t>
  </si>
  <si>
    <t>第20级时，你掌握了一手非凡技巧，让你可以随时把握自己的成功之时。
当你的攻击未命中时，可以直接更改判定为命中。或者，当你的属性检定失败时，可以直接将d20骰的结果视为20。
你必须完成一次短休或长休后才能再次使用该特性。</t>
  </si>
  <si>
    <t>奇械之魂</t>
  </si>
  <si>
    <t>在20级时，你与你的魔法物品建立了一种神秘的联系，你可以利用它来保护自己。
·你当前每有一件调谐中的魔法物品，你就在所有豁免检定中得到+1加值。
·如果你的生命值降低到0，但没有立即死亡，你能以一个反应解除一个注法，使你的生命值降低到1而不是0。</t>
  </si>
  <si>
    <t>屠灭众敌</t>
  </si>
  <si>
    <t>第20级时，你成为了猎杀敌人的无双猎手。你在自己的每个回合内，都有一次机会将你的感知调整值加到你对宿敌进 行的攻击检定或伤害掷骰上。
你可以在掷骰之前或者之后决定使用该特性，但必须在该掷骰的相关效应被应用之前。</t>
  </si>
  <si>
    <t>不屈勇武</t>
  </si>
  <si>
    <t>第18级起，你进行力量检定的总值低于你的力量值时，可以直接使用力量值作为检定结果。</t>
  </si>
  <si>
    <t>巨武器大师</t>
  </si>
  <si>
    <t>你习得将武器重量作为优势的技巧，使你的攻击力大增。
你获得下列增益：
• 你在自己回合内用近战武器造成重击，或将一个生物生命值降至0时，可以用附赠动作发动一次近战武器攻击。
• 你在使用具有熟练项的重型武器发动近战攻击前，可以选择让本次攻击检定承受-5减值。若本次攻击命中，则其伤害掷骰获得+10加值。</t>
  </si>
  <si>
    <t>幻身灵</t>
  </si>
  <si>
    <t>法师等级</t>
  </si>
  <si>
    <t>投石索</t>
  </si>
  <si>
    <t>弹药(射程30/120)</t>
  </si>
  <si>
    <t>背包</t>
  </si>
  <si>
    <t>智者Sage</t>
  </si>
  <si>
    <t>研究者Researcher。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</si>
  <si>
    <t>智者理想</t>
  </si>
  <si>
    <t>智者牵绊</t>
  </si>
  <si>
    <t>智者缺点</t>
  </si>
  <si>
    <t>智者特点</t>
  </si>
  <si>
    <t>智者技能熟练项</t>
  </si>
  <si>
    <t>智者工具熟练项</t>
  </si>
  <si>
    <t>智者额外语言</t>
  </si>
  <si>
    <t>智者背景装备</t>
  </si>
  <si>
    <t>智者特殊选项</t>
  </si>
  <si>
    <t>百病不侵</t>
  </si>
  <si>
    <t>第10级起，你浑身的气流动使你免疫疾病和毒素。</t>
  </si>
  <si>
    <t>原初斗士</t>
  </si>
  <si>
    <t>第20级时，你的存在即是野性之力的具现。你的力量和体质各提升4。并且你这两项属性的上限变为24。</t>
  </si>
  <si>
    <t>医疗师</t>
  </si>
  <si>
    <t>你是娴熟的医师，可以快速治疗伤口，让战友迅速重返战斗。你获得下列增益：
• 你使用医疗包为生物稳定伤势时，该生物可以恢复1点生命值。
• 你可以用一个动作消耗医疗包的一次使用次数，并以此护理一个生物使其恢复1d6+4再加上角色生命骰粒数的生命值。
该生物在进行短休或长休前无法再次从该专长获取生命值。</t>
  </si>
  <si>
    <t>元素裔</t>
  </si>
  <si>
    <t>豁免：智力、感知
技能：在奥秘、历史、洞悉、调查、医药、宗教中选择两项
•（a）一根长棍或（b）一把匕首
•（a）一个材料包或（b）一件奥术法器
•（a）一个学者套装或（b）一个探索套装
• 一本法术书</t>
  </si>
  <si>
    <t>战斧</t>
  </si>
  <si>
    <t>两用（1d10）</t>
  </si>
  <si>
    <t>滚珠_一包1000粒</t>
  </si>
  <si>
    <t>你可以用一个动作将这些小金属珠从袋子中洒出，并覆盖一片边长10尺的方形区域。穿过这片区域的生物必须进行一次DC10的敏捷豁免，豁免失败则摔至倒地。以半速穿过该区域的生物不需要进行该豁免。</t>
  </si>
  <si>
    <t>水手Sailor</t>
  </si>
  <si>
    <t>船家路子Ship’sPassage。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</si>
  <si>
    <t>水手理想</t>
  </si>
  <si>
    <t>水手牵绊</t>
  </si>
  <si>
    <t>水手缺点</t>
  </si>
  <si>
    <t>水手特点</t>
  </si>
  <si>
    <t>水手技能熟练项</t>
  </si>
  <si>
    <t>水手工具熟练项</t>
  </si>
  <si>
    <t>水手额外语言</t>
  </si>
  <si>
    <t>水手背景装备</t>
  </si>
  <si>
    <t>水手特殊选项</t>
  </si>
  <si>
    <t>天语通</t>
  </si>
  <si>
    <t>第13级起，你可以与其它生物进行心灵交流。
此后，你能够听懂所有语言，同时掌握至少一门语言的任何生物都能理解你讲的话语。</t>
  </si>
  <si>
    <t>重甲运用</t>
  </si>
  <si>
    <t>先决条件：中甲熟练项
你学习了重甲的使用方法，你获得下列增益：
• 你的力量加1，上限为20。 
• 你获得重甲的熟练项。</t>
  </si>
  <si>
    <t>蜥蜴人</t>
  </si>
  <si>
    <t>豁免：体质、魅力
技能：从奥秘、欺瞒、洞悉、威吓、游说、宗教中选择两项
•（a）一把轻弩与 20 支弩矢或（b）任意一件简易武器
•（a）一个材料包或（b）一件奥术法器
•（a）一个地城套装或（b）一个探索套装
• 两把匕首</t>
  </si>
  <si>
    <t>链枷</t>
  </si>
  <si>
    <t>木桶</t>
  </si>
  <si>
    <t>海盗Pirate</t>
  </si>
  <si>
    <t>海盗理想</t>
  </si>
  <si>
    <t>海盗牵绊</t>
  </si>
  <si>
    <t>海盗缺点</t>
  </si>
  <si>
    <t>海盗特点</t>
  </si>
  <si>
    <t>海盗技能熟练项</t>
  </si>
  <si>
    <t>海盗工具熟练项</t>
  </si>
  <si>
    <t>海盗额外语言</t>
  </si>
  <si>
    <t>海盗背景装备</t>
  </si>
  <si>
    <t>海盗特殊选项</t>
  </si>
  <si>
    <t>金刚魂</t>
  </si>
  <si>
    <t>第14级起，你对气的掌控令你所有的豁免检定都成了熟练项。
 另外，当豁免失败时，你可以消耗1点气重掷豁免并使用重掷的结果。</t>
  </si>
  <si>
    <t>重甲大师</t>
  </si>
  <si>
    <t>先决条件：重甲熟练项
你可以用护甲偏斜大多数致命的攻击。你获得下列增益：
• 你的力量加1，上限为20。
• 你着装重甲时，非魔法武器对你造成的钝击、穿刺、挥砍伤害每次减少３点。</t>
  </si>
  <si>
    <t>半人马</t>
  </si>
  <si>
    <t>工具：自选三种乐器
豁免：敏捷、魅力
技能：自选三项技能
•（a）一把刺剑，（b）一把长剑或（c）任一把简易武器
•（a）一个大使套装或（b）一个艺人套装
•（a）一个鲁特琴或（b）其它乐器
• 皮甲和一把匕首</t>
  </si>
  <si>
    <t>长柄刀</t>
  </si>
  <si>
    <t>重型 触及 双手</t>
  </si>
  <si>
    <t>篮子</t>
  </si>
  <si>
    <t>0.4gp</t>
  </si>
  <si>
    <t>士兵Soldier</t>
  </si>
  <si>
    <t>军阶MilitaryRank。你作为士兵时曾获得过军阶。那些忠于你之前所在组织的士兵仍会承认你的权威与影响，而其中军阶比你低的人甚至依然会遵从你的命令。凭借军阶的影响，你可以向其他士兵临时征用简单的装备或马匹。并且还可以凭此随意通过那些承认你军阶的友方军队大营和堡垒。</t>
  </si>
  <si>
    <t>士兵理想</t>
  </si>
  <si>
    <t>士兵牵绊</t>
  </si>
  <si>
    <t>士兵缺点</t>
  </si>
  <si>
    <t>士兵特点</t>
  </si>
  <si>
    <t>士兵技能熟练项</t>
  </si>
  <si>
    <t>士兵工具熟练项</t>
  </si>
  <si>
    <t>士兵额外语言</t>
  </si>
  <si>
    <t>士兵背景装备</t>
  </si>
  <si>
    <t>士兵特殊选项</t>
  </si>
  <si>
    <t>武僧不朽身</t>
  </si>
  <si>
    <t>第15级起，你的气充盈身体让你不受衰老的减益，并且无法被魔法变老。尽管你依然会寿终正寝，但再不需要饮食。</t>
  </si>
  <si>
    <t>领袖之证</t>
  </si>
  <si>
    <t>先决条件：魅力13或更高
你可以花费10分钟来激励同伴，鼓舞他们战斗的信心。
此时，你可以指定30尺内至多6名友方生物（可以包括你自己）作为目标。目标生物必须能够看见你或者能够听到你的声音的，且必须能够理解你。
被指定的生物将因你获得临时生命值，其数值等于你的等级加上你的魅力调整值。
此后直至其完成一次短休或长休前，目标生物都无法再从该专长获益。</t>
  </si>
  <si>
    <t>牛头人</t>
  </si>
  <si>
    <t>豁免：感知、魅力
技能：从历史、洞悉、医药、游说和宗教中选择两项
•（a）一把硬头锤或（b）一把战锤（拥有熟练项时可选）
•（a）鳞甲，（b）皮甲或（c）链甲（拥有熟练项时可选）
•（a）一把轻弩和 20 支弩矢或（b）任意简易武器
•（a）一个祭司套装或（b）一个探索套装
• 一个盾牌和一个圣徽</t>
  </si>
  <si>
    <t>巨斧</t>
  </si>
  <si>
    <t>30gp</t>
  </si>
  <si>
    <t>重型 双手</t>
  </si>
  <si>
    <t>铺盖</t>
  </si>
  <si>
    <t>流浪儿Urchin</t>
  </si>
  <si>
    <t>城中秘密CitySecrets。你熟知城市中的秘密小路和胡同，能够在其他人容易迷失的混乱街区中寻路。如果你们并非身处战斗状态，则你还可以在市区内引导同伴以两倍的平时速度在两个地点间穿行。</t>
  </si>
  <si>
    <t>流浪儿理想</t>
  </si>
  <si>
    <t>流浪儿牵绊</t>
  </si>
  <si>
    <t>流浪儿缺点</t>
  </si>
  <si>
    <t>流浪儿特点</t>
  </si>
  <si>
    <t>流浪儿技能熟练项</t>
  </si>
  <si>
    <t>流浪儿工具熟练项</t>
  </si>
  <si>
    <t>流浪儿额外语言</t>
  </si>
  <si>
    <t>流浪儿背景装备</t>
  </si>
  <si>
    <t>流浪儿特殊选项</t>
  </si>
  <si>
    <t>空灵体</t>
  </si>
  <si>
    <t>第18级起，你可以消耗4点气并使用动作隐形1分钟。
此时，你对力场伤害之外的所有伤害都具有抗性。
 另外，你可以消耗8点气施展法术星界投影 astral projection，以该形式施展的法术不需要材料成分，且无法捎带其他生物与你同行。</t>
  </si>
  <si>
    <t>敏锐心灵</t>
  </si>
  <si>
    <t>你可以单单依靠心算来记录时间和方向的变换，并且可以做到精确无比。你获得下列增益：
• 你的智力加1，上限为20。
• 你始终知道北边的方位。
• 你始终知道距离下一次日出或日落还有多久。
• 你可以完美复述出一个月内你所听到或看到的任何事。</t>
  </si>
  <si>
    <t>龟人</t>
  </si>
  <si>
    <t>豁免：智力、感知
技能：从奥秘、驯兽、洞悉、医药、自然、察觉、宗教和求生中选择两项
•（a）一个木盾或（b）任意简易武器
•（a）一把弯刀或（b）任意简易近战武器
• 皮甲，一个探索套装和一件德鲁伊法器</t>
  </si>
  <si>
    <t>巨剑</t>
  </si>
  <si>
    <t>2d6</t>
  </si>
  <si>
    <t>铃铛</t>
  </si>
  <si>
    <t>城市守卫CityWatch</t>
  </si>
  <si>
    <t>守护者之眼Watcher’sEye。你在执行法律、处理违法者的工作中积累了丰富的经验，这使你对法律和犯罪的相关事宜异常敏感。你可以轻易的找到守卫的哨站或是一些类似的机构，也能轻易的发现犯罪者们活动的窝点，同时在前者中更受欢迎而在后者中则相反。</t>
  </si>
  <si>
    <t>城市守卫理想</t>
  </si>
  <si>
    <t>城市守卫牵绊</t>
  </si>
  <si>
    <t>城市守卫缺点</t>
  </si>
  <si>
    <t>城市守卫特点</t>
  </si>
  <si>
    <t>城市守卫技能熟练项</t>
  </si>
  <si>
    <t>城市守卫工具熟练项</t>
  </si>
  <si>
    <t>城市守卫额外语言</t>
  </si>
  <si>
    <t>城市守卫背景装备</t>
  </si>
  <si>
    <t>城市守卫特殊选项</t>
  </si>
  <si>
    <t>超凡入圣</t>
  </si>
  <si>
    <t>第20级起，若你骰先攻时身上未有储备的气，则你获得4点气。</t>
  </si>
  <si>
    <t>轻甲运用</t>
  </si>
  <si>
    <t>你学习了轻甲的使用方法，获得下列增益：
• 你的力量或敏捷加1，上限为20。
• 你获得轻甲的熟练项。</t>
  </si>
  <si>
    <t>斑猫人</t>
  </si>
  <si>
    <t>豁免：力量、敏捷
技能：从特技、运动、历史、洞悉、宗教、隐匿中选择两项
•（a）一把短剑或（b）任意一把简易武器
•（a）一个地城套装或（b）一个探索套装
•10支飞镖</t>
  </si>
  <si>
    <t>戟</t>
  </si>
  <si>
    <t>毛毯</t>
  </si>
  <si>
    <t>0.5gp</t>
  </si>
  <si>
    <t>调查员Investigator</t>
  </si>
  <si>
    <t>调查员理想</t>
  </si>
  <si>
    <t>调查员牵绊</t>
  </si>
  <si>
    <t>调查员缺点</t>
  </si>
  <si>
    <t>调查员特点</t>
  </si>
  <si>
    <t>调查员技能熟练项</t>
  </si>
  <si>
    <t>调查员工具熟练项</t>
  </si>
  <si>
    <t>调查员额外语言</t>
  </si>
  <si>
    <t>调查员背景装备</t>
  </si>
  <si>
    <t>调查员特殊选项</t>
  </si>
  <si>
    <t>语言学家</t>
  </si>
  <si>
    <t>你学习了不少语言和密码，获得下列增益：
• 你的智力加 1，上限为20。
• 你习得三门自选语言。
• 你可以自创密码。而未经你传授解密方法的人只有两种方法可以破译你的密码：其一是进行智力检定（DC等于你的智力值＋你的熟练加值），或是以魔法破译。</t>
  </si>
  <si>
    <t>阿兰寇拉鹰人</t>
  </si>
  <si>
    <t>工具：盗贼工具
豁免：敏捷、智力
技能：从特技、运动、欺瞒、洞悉、威吓、调查、察觉、表演、游说、巧手、隐匿中选择四项。
•（a）一把刺剑或（b）一把短剑
•（a）一把短弓和一袋 20 支箭或（b）一把短剑
•（a）一个窃贼套装，（b）一个地城套装或（c）一个探索套装
• 皮甲，两把匕首和盗贼工具</t>
  </si>
  <si>
    <t>骑枪</t>
  </si>
  <si>
    <t>触及 特殊</t>
  </si>
  <si>
    <t>滑轮组</t>
  </si>
  <si>
    <t>一组滑轮组，其中配有一根绳索绕过轮组中，其上还装着一个系物的钩子。滑轮组可以让你提起相当于你正常举重四倍重量的物件。</t>
  </si>
  <si>
    <t>氏族工匠ClanCrafter</t>
  </si>
  <si>
    <t>矮人之敬意RespectoftheStoutFolk。再没其他人会像矮人一样，会对那些作为氏族工匠的外来者给予高度尊重。你总能在盾矮人或金矮人的居住地获得免费的食宿，矮人们甚至还会争相为你提供服务（你的同胞也可能成为其服务对象），并努力给予最好的食宿和帮助。</t>
  </si>
  <si>
    <t>氏族工匠理想</t>
  </si>
  <si>
    <t>氏族工匠牵绊</t>
  </si>
  <si>
    <t>氏族工匠缺点</t>
  </si>
  <si>
    <t>氏族工匠特点</t>
  </si>
  <si>
    <t>氏族工匠技能熟练项</t>
  </si>
  <si>
    <t>氏族工匠工具熟练项</t>
  </si>
  <si>
    <t>氏族工匠额外语言</t>
  </si>
  <si>
    <t>氏族工匠背景装备</t>
  </si>
  <si>
    <t>氏族工匠特殊选项</t>
  </si>
  <si>
    <t>你的离奇运气让你可以在最危险的时刻化险为夷。
你获得3点幸运点。当你进行攻击检定、属性检定、豁免检定时，你可以花费1幸运点来骰一个额外的d20。你可以选择在掷骰完成后，但结果公布前花费你这1幸运点。此后，你来选择该次攻击检定、属性检定或豁免检定要使用哪粒d20的结果。
你也可以在被攻击时选择花费1点幸运点骰一次d20。然后由你决定攻击者该使用哪粒d20。
若不止一个生物决定花费幸运点影响同一个骰值，则幸运点互相抵消，即并不会有额外的d20掷骰行为。
完成一次长休后你可以恢复所有的幸运点。</t>
  </si>
  <si>
    <t>纯种蛇人</t>
  </si>
  <si>
    <t>豁免：感知，魅力
技能：从奥秘、欺瞒、威吓、洞悉、历史、自然、宗教中选择两项
•（a）一把轻弩和 20 支弩矢或（b）任意一把简易武器
•（a）一个材料包或（b）一件奥术法器
•（a）一个学者套装或（b）一个地城套装
• 皮甲、任意简易武器和两把匕首</t>
  </si>
  <si>
    <t>长剑</t>
  </si>
  <si>
    <t>15gp</t>
  </si>
  <si>
    <t>书</t>
  </si>
  <si>
    <t>一本书可能写着诗歌、故事或是其他的内容。里面可能有关于某个特定地区的学识信息，也可能有侏儒语记载的机械图和笔记，或者任何其它能够用文字或图形表达的内容。一本载有法术的书则是一本法术书（见后文详述）。</t>
  </si>
  <si>
    <t>28gp</t>
  </si>
  <si>
    <t>隐修学者CloisteredScholar</t>
  </si>
  <si>
    <t>图书馆使用权LibraryAccess。你所在的图书馆里就算最普通的资料库，想要获得进入其中权限之人都必须成功通过漫长繁复的面试并缴纳一定的费用，而你却能轻松自如地进入图书馆的大部分区域，哪怕这些防止外人直接接触的学识都涉及到各种极珍贵、魔法或秘密的领域。你在这个隐修机构中的工作经验，让你得以通过自己的人脉或官僚手段游走其中的关系网。此外，你作为一个专业礼貌的学者，在国度中其他的图书馆里也可能会获得优惠的待遇。</t>
  </si>
  <si>
    <t>隐修学者理想</t>
  </si>
  <si>
    <t>隐修学者牵绊</t>
  </si>
  <si>
    <t>隐修学者缺点</t>
  </si>
  <si>
    <t>隐修学者特点</t>
  </si>
  <si>
    <t>隐修学者技能熟练项</t>
  </si>
  <si>
    <t>隐修学者工具熟练项</t>
  </si>
  <si>
    <t>隐修学者额外语言</t>
  </si>
  <si>
    <t>隐修学者背景装备</t>
  </si>
  <si>
    <t>隐修学者特殊选项</t>
  </si>
  <si>
    <t>巫师杀手</t>
  </si>
  <si>
    <t>你拥有一套对付施法者的近身战法，并获得下列增益：
• 你周边5尺范围内的一个生物施展法术后，你可以用你的反应对该生物发动一次近战武器攻击。
• 当你对一名正专注法术的生物造成伤害时，该生物进行维持本次专注的豁免检定时具有劣势。
• 你为抵抗身边５尺范围内生物对你施展的法术而进行的豁免检定具有优势。</t>
  </si>
  <si>
    <t>吉斯人</t>
  </si>
  <si>
    <t>豁免：体质、智力
技能：从奥秘、历史、调查、医药、自然、察觉、巧手中选两项
•任意二把简易武器
•一把轻弩和20支弩矢
•（a）镶钉皮甲或（b）鳞甲
•一个盗贼工具和地城套装</t>
  </si>
  <si>
    <t>巨锤</t>
  </si>
  <si>
    <t>玻璃瓶</t>
  </si>
  <si>
    <t>朝臣Courtier</t>
  </si>
  <si>
    <t>官员CourtFunctionary。你掌握的官场运作知识，让你在面对任何贵族宫廷或政府时得以从中获取情报并窥见其内部操作。你了解是谁在进行幕后操纵，知道应该寻求何人支持，还清楚这些组织当前正感兴趣的阴谋。</t>
  </si>
  <si>
    <t>朝臣理想</t>
  </si>
  <si>
    <t>朝臣牵绊</t>
  </si>
  <si>
    <t>朝臣缺点</t>
  </si>
  <si>
    <t>朝臣特点</t>
  </si>
  <si>
    <t>朝臣技能熟练项</t>
  </si>
  <si>
    <t>朝臣工具熟练项</t>
  </si>
  <si>
    <t>朝臣额外语言</t>
  </si>
  <si>
    <t>朝臣背景装备</t>
  </si>
  <si>
    <t>朝臣特殊选项</t>
  </si>
  <si>
    <t>魔法学徒</t>
  </si>
  <si>
    <t>指定一个职业：吟游诗人、牧师、德鲁伊、术士、邪术师、法师。你从指定职业法术列表里习得两个戏法。
 此外，你从相同列表里选择习得一个1环法术。以该方式习得的法术只可以用其最低环法术位来施展，而以该方式施展后的该1环法术必须完成一次长休后，才能再次以该方式施展。
 这些法术的施法关键属性取决于你指定的职业：吟游诗人、术士、邪术师用魅力；牧师、德鲁伊用感知；法师用智力。</t>
  </si>
  <si>
    <t>梭螺鱼人</t>
  </si>
  <si>
    <t>豁免：力量、体质
技能：从特技、驯兽、运动、历史、洞悉、威吓、察觉和求生中选择两项
•（a）链甲或（b）皮甲，长弓和 20 支箭
•（a）一把军用武器和一面盾牌或（b）两把军用武器
•（a）一把轻弩和 20 支弩矢或（b）两把手斧
•（a）一个地城套装或（b）一个探索套装</t>
  </si>
  <si>
    <t>钉头锤</t>
  </si>
  <si>
    <t>水桶</t>
  </si>
  <si>
    <t>0.05gp</t>
  </si>
  <si>
    <t>派系特工FactionAgent</t>
  </si>
  <si>
    <t>避风港SafeHave。作为一名派系特工，你的权限可以让你得以组织秘密联络网中那些可为你的冒险生涯提供援助之后勤和行动组成员。你知道识别这些秘密人员的记号和密语，这些人可为你提供一个免费食宿的隐秘安全屋，或是能够协助你寻找需要的情报。但这些家伙并不会为你进行暴露自己身份或生命安全的危险工作。</t>
  </si>
  <si>
    <t>派系特工理想</t>
  </si>
  <si>
    <t>派系特工牵绊</t>
  </si>
  <si>
    <t>派系特工缺点</t>
  </si>
  <si>
    <t>派系特工特点</t>
  </si>
  <si>
    <t>派系特工技能熟练项</t>
  </si>
  <si>
    <t>派系特工工具熟练项</t>
  </si>
  <si>
    <t>派系特工额外语言</t>
  </si>
  <si>
    <t>派系特工背景装备</t>
  </si>
  <si>
    <t>派系特工特殊选项</t>
  </si>
  <si>
    <t>战技专家</t>
  </si>
  <si>
    <t>接受战技训练后，你可以使用一些独特的战技。你获得下列增益：
• 你选择习得战士战斗大师范型战技列表中的两个战技。
如果所习得的战技需要目标进行豁免检定来抵抗战技效果，则其豁免DC等于８＋你的熟练加值＋你的力量或敏捷调整值（自选）。
• 你获得一枚d6的卓越骰（该骰可加到任何你以其他方式获得的卓越骰中）。此卓越骰可用于启动你的战技。此卓越骰一经使用即消耗，并在完成短休或长休后恢复。</t>
  </si>
  <si>
    <t>歌利亚</t>
  </si>
  <si>
    <t>豁免：感知、魅力
技能：在运动、洞悉、威吓、医药、游说、宗教中选择两项
•（a）一把军用武器和一面盾牌或（b）两把军用武器
•（a）五支标枪或（b）任意简易近战武器
•（a）一个祭司套装或（b）一个探索套装
• 链甲和一个圣徽</t>
  </si>
  <si>
    <t>长矛</t>
  </si>
  <si>
    <t>铁蒺藜_一包20枚</t>
  </si>
  <si>
    <t>你可以用一个动作将一包铁蒺藜撒出，并覆盖一块边长5尺的方形区域。任何进入该区域的生物必须进行一次DC15的敏捷豁免，豁免失败则该生物停止移动，并受到1点穿刺伤害。在该生物恢复至少1点生命值前，其步行速度将减少10尺。以半速穿过该区域的生物不需要进行该豁免。</t>
  </si>
  <si>
    <t>远行者FarTraveler</t>
  </si>
  <si>
    <t>众目焦点AllEyesonYou。你的口音，言谈举止，措辞风格甚至你的外表都表明你就是一个异乡人。无论你走到哪里，好奇的目光总会伴随着你。虽然这有些令人讨厌，但是也让你得以对那些感兴趣的学者们，和那些对远方好奇希望听你述说家乡故事之人的好感。与其他民众不同，你可以运用这种关注力为自己或旅伴们亲近想要接触之人。那些贵族领主、学者、商人望族等等可能会有兴趣听你那些有关远方故乡和人民的故事。</t>
  </si>
  <si>
    <t>远行者理想</t>
  </si>
  <si>
    <t>远行者牵绊</t>
  </si>
  <si>
    <t>远行者缺点</t>
  </si>
  <si>
    <t>远行者特点</t>
  </si>
  <si>
    <t>远行者技能熟练项</t>
  </si>
  <si>
    <t>远行者工具熟练项</t>
  </si>
  <si>
    <t>远行者额外语言</t>
  </si>
  <si>
    <t>远行者背景装备</t>
  </si>
  <si>
    <t>远行者特殊选项</t>
  </si>
  <si>
    <t>中甲大师</t>
  </si>
  <si>
    <t>先决条件：中甲熟练项
 你修习过如何在着装中甲时移动，并获得下列增益： 
• 着装中甲不再使你进行敏捷（隐匿）检定时具有劣势。
• 着装中甲时，若你的敏捷在16或以上，你的AC可以增加3点而非2点。</t>
  </si>
  <si>
    <t>象族</t>
  </si>
  <si>
    <t>豁免：力量、敏捷
技能：从驯兽、运动、洞悉、调查、自然、察觉、隐匿和求生中选择三项
•（a）鳞甲或（b）皮甲
•（a）两把短剑或（b）任意两把简易武器
•（a）一个地城套装或（b）一个探索套装
• 一把长弓和一个箭袋（内含 20 支箭）</t>
  </si>
  <si>
    <t>刺剑</t>
  </si>
  <si>
    <t>灵巧</t>
  </si>
  <si>
    <t>蜡烛</t>
  </si>
  <si>
    <t>一只蜡烛可以为其身边5尺半径范围提供明亮光照，以及该范围外5尺的微光光照。蜡烛的照明效果可以持续1小时。</t>
  </si>
  <si>
    <t>0.01gp</t>
  </si>
  <si>
    <t>继承者Inheritor</t>
  </si>
  <si>
    <t>遗产Inheritance。从下表中自选或者随机选取一项你继承的遗产。你要和你的地下城主一起讨论决定出细节：你的遗产为何那么重要，它拥怎样的故事？你可以让DM把这部分内容加到整个游戏故事中，通过剧情让你和角色更进一步了解该遗产的故事。</t>
  </si>
  <si>
    <t>继承者理想</t>
  </si>
  <si>
    <t>继承者牵绊</t>
  </si>
  <si>
    <t>继承者缺点</t>
  </si>
  <si>
    <t>继承者特点</t>
  </si>
  <si>
    <t>继承者技能熟练项</t>
  </si>
  <si>
    <t>继承者工具熟练项</t>
  </si>
  <si>
    <t>继承者额外语言</t>
  </si>
  <si>
    <t>继承者背景装备</t>
  </si>
  <si>
    <t>继承者特殊选项</t>
  </si>
  <si>
    <t>灵活移动</t>
  </si>
  <si>
    <t>你十分灵敏而快速。你获得下列增益：
• 你的移动速度增加10尺。
• 你执行疾走动作的相应回合内，在困难地形的移动不再消耗额外的移动力。
• 你对一个生物发动近战攻击后，无论命中与否，本回合剩下时间里你都不会引发该生物的借机攻击。</t>
  </si>
  <si>
    <t>析米克杂种</t>
  </si>
  <si>
    <t>豁免：力量、体质
技能：从驯兽、运动、威吓、自然、察觉和求生中选两项
•（a）一把巨斧或（b）任意一把军用近战武器
•（a）两把手斧或（b）任意一把简易武器   
• 一个探索套装和四支标枪</t>
  </si>
  <si>
    <t>弯刀</t>
  </si>
  <si>
    <t>灵巧 轻型</t>
  </si>
  <si>
    <t>弩矢匣</t>
  </si>
  <si>
    <t>一只木匣能装二十支弩矢。</t>
  </si>
  <si>
    <t>教团骑士KnightoftheOrder</t>
  </si>
  <si>
    <t>骑士的敬重KnightlyRegard。你会获得来自所属骑士团其他成员和那些与骑士团有相同目标之人的救助与庇护。如果你的教团是个宗教骑士团，则你还可以从所信仰神灵的神庙和其他宗教团体中获得帮助。服务于城市的骑士团（不管是为单独的聚居地服务还是为一个国家的人民服务）可以从其服务对象处寻求帮助。服务于某种哲念的骑士团，则可以从其自身为贯彻其理念而帮助之人，或者与其理念相同之人处获得帮助。</t>
  </si>
  <si>
    <t>教团骑士理想</t>
  </si>
  <si>
    <t>教团骑士牵绊</t>
  </si>
  <si>
    <t>教团骑士缺点</t>
  </si>
  <si>
    <t>教团骑士特点</t>
  </si>
  <si>
    <t>教团骑士技能熟练项</t>
  </si>
  <si>
    <t>教团骑士工具熟练项</t>
  </si>
  <si>
    <t>教团骑士额外语言</t>
  </si>
  <si>
    <t>教团骑士背景装备</t>
  </si>
  <si>
    <t>教团骑士特殊选项</t>
  </si>
  <si>
    <t>中甲运用</t>
  </si>
  <si>
    <t>先决条件：轻甲熟练项
 你习得如何使用中甲和盾牌，并获得下列增益：
• 你的力量或敏捷加1，上限为20。
• 你获得中甲和盾牌的熟练项。</t>
  </si>
  <si>
    <t>维多肯</t>
  </si>
  <si>
    <t>短剑</t>
  </si>
  <si>
    <t>地图或卷轴匣</t>
  </si>
  <si>
    <t>一个圆柱形皮匣能够装上十张卷起的纸或是五张卷起的羊皮纸。</t>
  </si>
  <si>
    <t>老佣兵MercenaryVeteran</t>
  </si>
  <si>
    <t>佣兵生涯MercenaryLife。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见《玩家手册》第8章“修整期活动”下的“专业实践”）。</t>
  </si>
  <si>
    <t>老佣兵理想</t>
  </si>
  <si>
    <t>老佣兵牵绊</t>
  </si>
  <si>
    <t>老佣兵缺点</t>
  </si>
  <si>
    <t>老佣兵特点</t>
  </si>
  <si>
    <t>老佣兵技能熟练项</t>
  </si>
  <si>
    <t>老佣兵工具熟练项</t>
  </si>
  <si>
    <t>老佣兵额外语言</t>
  </si>
  <si>
    <t>老佣兵背景装备</t>
  </si>
  <si>
    <t>老佣兵特殊选项</t>
  </si>
  <si>
    <t>骑乘战斗</t>
  </si>
  <si>
    <t>骑乘时的你就像一头怪兽。当正在骑乘且未处于失能状态时，你获得下列增益：
• 你对比你的坐骑体型更小的未骑乘生物发动近战攻击时，所进行的攻击检定具有优势。
• 你可以强迫针对你坐骑的攻击转而针对你自己。
• 当你的坐骑受某效应影响而需要进行敏捷豁免来减半伤害时，如果豁免成功则可以不承受伤害，豁免失败则伤害减半。</t>
  </si>
  <si>
    <t>狗头人</t>
  </si>
  <si>
    <t>三叉戟</t>
  </si>
  <si>
    <t>链条_10尺</t>
  </si>
  <si>
    <t>一根链条有10点生命值。它可以被一次成功的DC20力量检定挣断。</t>
  </si>
  <si>
    <t>城市猎人UrbanBountyHunter</t>
  </si>
  <si>
    <t>耳目众多EartotheGround。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</si>
  <si>
    <t>城市猎人理想</t>
  </si>
  <si>
    <t>城市猎人牵绊</t>
  </si>
  <si>
    <t>城市猎人缺点</t>
  </si>
  <si>
    <t>城市猎人特点</t>
  </si>
  <si>
    <t>城市猎人技能熟练项</t>
  </si>
  <si>
    <t>城市猎人工具熟练项</t>
  </si>
  <si>
    <t>城市猎人额外语言</t>
  </si>
  <si>
    <t>城市猎人背景装备</t>
  </si>
  <si>
    <t>城市猎人特殊选项</t>
  </si>
  <si>
    <t>观察力</t>
  </si>
  <si>
    <t>你能够迅速把握周遭环境的要点，并获得下列增益：
• 你的智力或感知加1，上限为20。
• 某生物在讲话时，若你可以看见目标的嘴且你可以理解其语言，则你就可以依靠读唇来解读目标正在讲什么。
• 你的被动感知（察觉）和智力（调查）检定具有+5加值。</t>
  </si>
  <si>
    <t>离梦人</t>
  </si>
  <si>
    <t>法师武器熟练</t>
  </si>
  <si>
    <t>法师护甲熟练</t>
  </si>
  <si>
    <t>匕首、飞镖、投石索、长棍、轻弩</t>
  </si>
  <si>
    <t>无</t>
  </si>
  <si>
    <t>战镐</t>
  </si>
  <si>
    <t>粉笔_1块</t>
  </si>
  <si>
    <t>乌斯伽部族成员UthgardtTribeMember</t>
  </si>
  <si>
    <t>乌斯伽之传承UthgardtHeritage。你不仅彻底了解自己部族之领地，还清楚北地其他地区的地形和自然资源。你熟悉所有的野外地区，而你在那里找到的食物和水的数量是平时的两倍。另外，你可以唤起他人的好客之道。受你该影响的对象包括你的同胞，以及那些与你部族结盟之人，通常包括有德鲁伊结社、精灵游牧部族、竖琴手同盟等团体的成员，以及那些献身于“第一结社FirstCircle”众神的祭祀者。</t>
  </si>
  <si>
    <t>乌斯伽部族成员理想</t>
  </si>
  <si>
    <t>乌斯伽部族成员牵绊</t>
  </si>
  <si>
    <t>乌斯伽部族成员缺点</t>
  </si>
  <si>
    <t>乌斯伽部族成员特点</t>
  </si>
  <si>
    <t>乌斯伽部族成员技能熟练项</t>
  </si>
  <si>
    <t>乌斯伽部族成员工具熟练项</t>
  </si>
  <si>
    <t>乌斯伽部族成员额外语言</t>
  </si>
  <si>
    <t>乌斯伽部族成员背景装备</t>
  </si>
  <si>
    <t>乌斯伽部族成员特殊选项</t>
  </si>
  <si>
    <t>长柄武器大师</t>
  </si>
  <si>
    <t>你可以用触及武器与敌人近身缠斗。你获得下列增益：
• 当你只使用长柄刀、戟、长棍或矛执行攻击动作时，可以用附赠动作以武器手柄的末端发动一次近战攻击。
这次攻击与主攻击使用同样的调整值，其伤害骰为d4，伤害类型为钝击伤害。
• 当你持握长柄刀、戟、长矛、长棍或矛时，进入你触及范围的生物会引发你的借机攻击。</t>
  </si>
  <si>
    <t>化兽者</t>
  </si>
  <si>
    <t>术士武器熟练</t>
  </si>
  <si>
    <t>术士护甲熟练</t>
  </si>
  <si>
    <t>战锤</t>
  </si>
  <si>
    <t>木箱</t>
  </si>
  <si>
    <t>深水人贵族WaterdhavianNoble</t>
  </si>
  <si>
    <t>保持风度KeptinStyle。在深水城或北地其他地方时，你的家族会确保你的每日的日常用度。你的名字与玺印就足以支付大部分的费用，而你经常光顾的旅店、酒馆和餐馆都很乐于记下你的债务，并将账单寄给你的家人以解决你欠下的债务。这种优势使你能过上舒适的生活，而不必每天支付2gp的费用，也可以减少富裕或奢华程度生活的成本。你不能以更低价的生活方式来将这只生活费当做收入——这种得益属于信用体系，而不是明确的货币奖励。</t>
  </si>
  <si>
    <t>深水人贵族理想</t>
  </si>
  <si>
    <t>深水人贵族牵绊</t>
  </si>
  <si>
    <t>深水人贵族缺点</t>
  </si>
  <si>
    <t>深水人贵族特点</t>
  </si>
  <si>
    <t>深水人贵族技能熟练项</t>
  </si>
  <si>
    <t>深水人贵族工具熟练项</t>
  </si>
  <si>
    <t>深水人贵族额外语言</t>
  </si>
  <si>
    <t>深水人贵族背景装备</t>
  </si>
  <si>
    <t>深水人贵族特殊选项</t>
  </si>
  <si>
    <t>强健身心</t>
  </si>
  <si>
    <t>选择1种属性，并获得下列增益：
• 所选属性加1，上限为20。
• 你进行所选属性的豁免检定时可以加上你的熟练加值。</t>
  </si>
  <si>
    <t>天狗</t>
  </si>
  <si>
    <t>吟游诗人武器熟练</t>
  </si>
  <si>
    <t>吟游诗人护甲熟练</t>
  </si>
  <si>
    <t>简易武器、手弩、长剑、刺剑、短剑</t>
  </si>
  <si>
    <t>鞭</t>
  </si>
  <si>
    <t>灵巧 触及</t>
  </si>
  <si>
    <t>攀爬工具</t>
  </si>
  <si>
    <t>一套攀爬工具包括特制的岩钉，靴子包头，手套和系带。你可以用一个动作来运用攀爬工具锚定自己；此时你不会从锚定处摔落超过25尺，且在解除锚定前无法从锚定处向外攀爬超过25尺。</t>
  </si>
  <si>
    <t>家族代理人</t>
  </si>
  <si>
    <t>家族背景。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</si>
  <si>
    <t>家族代理人理想</t>
  </si>
  <si>
    <t>家族代理人牵绊</t>
  </si>
  <si>
    <t>家族代理人缺点</t>
  </si>
  <si>
    <t>家族代理人特点</t>
  </si>
  <si>
    <t>家族代理人技能熟练项</t>
  </si>
  <si>
    <t>家族代理人工具熟练项</t>
  </si>
  <si>
    <t>家族代理人额外语言</t>
  </si>
  <si>
    <t>家族代理人背景装备</t>
  </si>
  <si>
    <t>家族代理人特殊选项</t>
  </si>
  <si>
    <t>仪式施法者</t>
  </si>
  <si>
    <t>先决条件：智力或感知为13或更高
 你习得一些可以用于仪式施法的法术。这些法术会记载在一本仪式书上，你进行仪式施法时必须手持这本仪式书。
 当你选择该专长时，你获得一本记载了两个自选1环法术的仪式书。从吟游诗人、牧师、德鲁伊、术士、邪术师、法师中选择一个职业。你所选法术必须在所选职业的法术列表里，且所选法术必须有仪式标签。你所选的职业同样决定了这些法术的施法关键属性：吟游诗人、术士、邪术师用魅力；牧师、德鲁伊用感知；法师用智力。
 当你获得了一份书写形式的法术时（比如法术卷轴 spell scroll 或法师的法术书），你可以将其法术添加进你的仪式书里。
被添加的法术必须在你所选职业的法术列表里，且该法术环阶不能高于你等级的一半（向上取整），而该法术还必须带有仪式标签。将该法术抄进你的仪式书必须消耗每环2小时时间和50gp的金钱。该消耗即是你研究掌握该法术所消耗的材料成分和抄写进仪式书所用的优质墨水等的开销。</t>
  </si>
  <si>
    <t>费尔伯格人</t>
  </si>
  <si>
    <t>牧师武器熟练</t>
  </si>
  <si>
    <t>牧师护甲熟练</t>
  </si>
  <si>
    <t>简易武器</t>
  </si>
  <si>
    <t>轻甲、中甲、盾牌</t>
  </si>
  <si>
    <t>吹箭筒</t>
  </si>
  <si>
    <t>弹药(射程25/100) 装填</t>
  </si>
  <si>
    <t>普通服装</t>
  </si>
  <si>
    <t>请在左侧【背景】一栏，选择背景或者背景模板。删除背景请从左侧，不要删除此单元格内容。</t>
  </si>
  <si>
    <t>凶蛮打手</t>
  </si>
  <si>
    <t>你每回合有一次机会，在掷近战武器攻击的伤害骰时，重掷武器的伤害骰并选用新旧骰值二者之一。</t>
  </si>
  <si>
    <t>德鲁伊武器熟练</t>
  </si>
  <si>
    <t>德鲁伊护甲熟练</t>
  </si>
  <si>
    <t>短棒、匕首、飞镖、ḷ枪、硬头锤、长棍、弯刀、镰刀、投石索、矛</t>
  </si>
  <si>
    <t>轻甲、中甲、盾牌（德鲁伊不能装备或使用金属质的护甲和盾）</t>
  </si>
  <si>
    <t>手弩</t>
  </si>
  <si>
    <t>75gp</t>
  </si>
  <si>
    <t>弹药(射程30/120) 轻型 装填</t>
  </si>
  <si>
    <t>表演服装</t>
  </si>
  <si>
    <t>哨兵</t>
  </si>
  <si>
    <t>你的掌握的技术让你在击破敌人防御时占尽优势，并获得下列增益：
• 你的借机攻击命中目标时，目标在本回合剩下时间内的移动速度降至 0。 
• 生物即使执行撤离动作离开你的触及范围也会引发你的借机攻击。
• 处于你周边５尺范围内的生物对除你外的目标发动攻击后（且被攻击者没有这个专长），你可以用你的反应对该攻击者发动一次近战攻击。</t>
  </si>
  <si>
    <t>武僧武器熟练</t>
  </si>
  <si>
    <t>武僧护甲熟练</t>
  </si>
  <si>
    <t>简易武器、短剑</t>
  </si>
  <si>
    <t>术士/武僧等级</t>
  </si>
  <si>
    <t>重弩</t>
  </si>
  <si>
    <t>弹药(射程100/400) 重型 装填 双手</t>
  </si>
  <si>
    <t>高档服装</t>
  </si>
  <si>
    <t>人类属性值加成</t>
  </si>
  <si>
    <t>你的全部属性值加1。</t>
  </si>
  <si>
    <t>变体人类</t>
  </si>
  <si>
    <t>探索龙纹_艾伯伦</t>
  </si>
  <si>
    <t>畜牧龙纹_艾伯伦</t>
  </si>
  <si>
    <t>创造龙纹_艾伯伦</t>
  </si>
  <si>
    <t>通行龙纹_艾伯伦</t>
  </si>
  <si>
    <t>守护龙纹_艾伯伦</t>
  </si>
  <si>
    <t>神射手</t>
  </si>
  <si>
    <t>你是熟练掌握了远程武器的使用方式，使看似不可能的射击都能成功命中。你获得下列增益：
• 攻击最大射程内的敌人时，你的远程武器攻击检定不会具有劣势。
• 你的远程武器攻击忽视半身掩护和四分之三掩护状态。
• 你用拥有熟练项的远程武器发动攻击前，可以选择使该次攻击的攻击检定承受-5减值。若本次攻击中，则其伤害掷骰获得+10加值。</t>
  </si>
  <si>
    <t>游荡者武器熟练</t>
  </si>
  <si>
    <t>游荡者护甲熟练</t>
  </si>
  <si>
    <t>术法点/气</t>
  </si>
  <si>
    <t>长弓</t>
  </si>
  <si>
    <t>弹药(射程150/600) 重型 双手</t>
  </si>
  <si>
    <t>旅行者服装</t>
  </si>
  <si>
    <t>我崇拜某个英雄，并时刻以其事迹作为榜样。</t>
  </si>
  <si>
    <t>我容易招蜂引蝶，爱情生活是也不断的离离合合。</t>
  </si>
  <si>
    <t>我总是计划好事情变糟时的应对方法。</t>
  </si>
  <si>
    <t>我知道一个几乎适合所有情况的故事。</t>
  </si>
  <si>
    <t>我以人的行为而非言辞对其做判断。</t>
  </si>
  <si>
    <t>我确信能做的事就要做到最好。而我必须要做到最好——我是完美主义者。</t>
  </si>
  <si>
    <t>由于在隐居生活中鲜少说话，现在的我更偏好用肢体语言交流，或者偶尔咕哝几声。</t>
  </si>
  <si>
    <t>我的阿谀奉能能让其他人觉得自己举世无双。</t>
  </si>
  <si>
    <t>我因旅行欲望的驱使而背井离乡。</t>
  </si>
  <si>
    <t>我会用一些让人觉得非常博学的长词。</t>
  </si>
  <si>
    <t>朋友们知道无论出现什么困难，我都值得依赖。</t>
  </si>
  <si>
    <t>我总是表现的恭敬有礼。</t>
  </si>
  <si>
    <t>我把食物碎屑和饰品深深地藏在口袋里。</t>
  </si>
  <si>
    <t>我有着与周围人关于私人空间的不同想法，并不觉得进入到别人私人空间是什么犯罪行为，而且也不觉得我的私人空间被别人进入也毫无所谓。</t>
  </si>
  <si>
    <t>我从不让感情复杂化。</t>
  </si>
  <si>
    <t>变体人类属性值加成</t>
  </si>
  <si>
    <t>自选两项不同属性各加1。</t>
  </si>
  <si>
    <t>轻足半身人</t>
  </si>
  <si>
    <t>敦实半身人</t>
  </si>
  <si>
    <t>鬼智半身人_剑湾</t>
  </si>
  <si>
    <t>莲源半身人_荒洲</t>
  </si>
  <si>
    <t>医疗龙纹_艾伯伦</t>
  </si>
  <si>
    <t>招待龙纹_艾伯伦</t>
  </si>
  <si>
    <t>盾牌大师</t>
  </si>
  <si>
    <t>你的盾牌不只可以用于防御，还可以用来攻击。你在持用盾牌时获得下列增益：
• 你在自己的回合内执行攻击动作时，可以用附赠动作以盾牌尝试推撞一个在你5尺范围内的生物。
• 如果你不处于失能状态，则你为抵抗以你为唯一目标的法术或其他伤害性效应而进行敏捷豁免时，可以将你盾牌的AC添加到相应的敏捷豁免中。
• 当某个效应使让你进行豁免成功可以伤害减半的敏捷豁免检定时，你可以用你的反应将盾牌挡在你与效应原点之间，此时豁免成功则不受任何伤害。</t>
  </si>
  <si>
    <t>邪术师武器熟练</t>
  </si>
  <si>
    <t>邪术师护甲熟练</t>
  </si>
  <si>
    <t>捕网</t>
  </si>
  <si>
    <t>特殊 投掷(射程5/15)</t>
  </si>
  <si>
    <t>材料包</t>
  </si>
  <si>
    <t>材料包是一个防水的皮质小小包，其内有间格用以放置各种材料成分以及其它你需要用以施展法术的特殊物品。某些有着特定价格的材料不包含在材料包中（详见相关法术的描述内容）。</t>
  </si>
  <si>
    <t>我能在最狂乱的敌人间寻找共鸣，然后感化他们一同为和平而努力。</t>
  </si>
  <si>
    <t>我在什么情境下都会说笑，尤其在不合时宜时更是如此。</t>
  </si>
  <si>
    <t>无论情形如何我总能保持冷静。我从不会忽然提高音调或是让情绪影响自己。</t>
  </si>
  <si>
    <t>到一个新地方后就会着手收集当地的流言和小道消息。</t>
  </si>
  <si>
    <t>我总是会去帮助遇到麻烦的人。</t>
  </si>
  <si>
    <t>我瞧不起那些不懂审美的家伙。</t>
  </si>
  <si>
    <t>即使泰山崩于面前，我依然心如止水。</t>
  </si>
  <si>
    <t>平民们因我的仁慈和慷慨而喜爱我。</t>
  </si>
  <si>
    <t>我像照顾新生儿般照顾同伴。</t>
  </si>
  <si>
    <t>我读过世上最大图书馆中的每一本书——或者我喜欢自夸我读过。</t>
  </si>
  <si>
    <t>我努力工作，然后休闲时就可以尽情玩乐。</t>
  </si>
  <si>
    <t>我的心中总是萦绕着战争时的记忆，那些残暴的画面总是挥之不去。</t>
  </si>
  <si>
    <t>我会常常发问。</t>
  </si>
  <si>
    <t>我对哪些是或不是食物有着自己的看法，并且我觉得我周围那些人的饮食习惯真是让我向往，让人恶心或是混乱不堪。</t>
  </si>
  <si>
    <t>我总是想提高效率。</t>
  </si>
  <si>
    <t>轻足半身人属性值加成</t>
  </si>
  <si>
    <t>你的敏捷加2，你的魅力加1。</t>
  </si>
  <si>
    <t>高等精灵</t>
  </si>
  <si>
    <t>木精灵</t>
  </si>
  <si>
    <t>卓尔精灵</t>
  </si>
  <si>
    <t>雅灵_魔邓肯</t>
  </si>
  <si>
    <t>海精灵_魔邓肯</t>
  </si>
  <si>
    <t>影灵_魔邓肯</t>
  </si>
  <si>
    <t>苍白精灵_荒洲</t>
  </si>
  <si>
    <t>阴影龙纹_艾伯伦</t>
  </si>
  <si>
    <t>熟习</t>
  </si>
  <si>
    <t>选择任意组合的三项技能或工具加入你的熟练项。</t>
  </si>
  <si>
    <t>奇械师武器熟练</t>
  </si>
  <si>
    <t>奇械师护甲熟练</t>
  </si>
  <si>
    <t>双刃弯刀</t>
  </si>
  <si>
    <t>2d4</t>
  </si>
  <si>
    <t>100gp</t>
  </si>
  <si>
    <t>特殊 双手</t>
  </si>
  <si>
    <t>撬棍</t>
  </si>
  <si>
    <t>在适当的地方使用撬棍时，可以让相应的力量检定具有优势。</t>
  </si>
  <si>
    <t>我在每个事件和行动中看到预兆。神试图对我们说话，我们只需要听即可。</t>
  </si>
  <si>
    <t>我爱用逢迎的手段获取所求之物。</t>
  </si>
  <si>
    <t>我每到一个新地方做的第一件事就是记下每个有价值之物的位置——或是可能藏有类似东西的地点。</t>
  </si>
  <si>
    <t>我是无可救药的浪漫病，总是在找“有缘人”。</t>
  </si>
  <si>
    <t>我在专注于某件事时，会排除一切障碍坚持到底。</t>
  </si>
  <si>
    <t>我总是想搞清楚事物如何运作，人们为何奔波。</t>
  </si>
  <si>
    <t>修会的主持无论何时都能说出至理哲言，而我也想分享得此等睿智。</t>
  </si>
  <si>
    <t>众所周知只要看一眼我威严的仪态，就能明白我和下层民众截然不同。</t>
  </si>
  <si>
    <t>我曾马不停蹄地跑了二十五里以警告氏族有兽人来袭。如果有必要，我还会这么干。</t>
  </si>
  <si>
    <t>我习惯帮助那些不像我这么聪明的人，而我有耐心对其他人解释任何事和每件事。</t>
  </si>
  <si>
    <t>我喜欢航行到新港口，然后在那里以酒会友。</t>
  </si>
  <si>
    <t>我曾失去太多的朋友，而现在已经很难交个新的朋友了。</t>
  </si>
  <si>
    <t>我喜欢钻进别人找不到我的地方。</t>
  </si>
  <si>
    <t>我有着非常强烈的荣誉准则或规范，这让一些人无法理解。</t>
  </si>
  <si>
    <t>我会告诉别人一些和自己家族业务有关的琐事（医疗、船、战俑等）。</t>
  </si>
  <si>
    <t>敦实半身人属性值加成</t>
  </si>
  <si>
    <t>你的敏捷加2，你的体质加1。</t>
  </si>
  <si>
    <t>半精灵变体_剑湾</t>
  </si>
  <si>
    <t>侦测龙纹_艾伯伦</t>
  </si>
  <si>
    <t>暴风龙纹_艾伯伦</t>
  </si>
  <si>
    <t>隐伏者</t>
  </si>
  <si>
    <t>先决条件：敏捷13或更高
 你是利用阴影潜伏的专家。你获得下列增益： 
• 你可以在轻度遮蔽的状态下尝试躲藏。
• 当你对某生物处于躲藏状态时，你对其发动的远程武器攻击如果未命中便不会暴露你的位置。
• 你在微光环境下进行依靠视觉的感知（察觉）检定时不会具有劣势。</t>
  </si>
  <si>
    <t>战士武器熟练</t>
  </si>
  <si>
    <t>战士护甲熟练</t>
  </si>
  <si>
    <t>简易武器、军用武器</t>
  </si>
  <si>
    <t>所有护甲、盾牌</t>
  </si>
  <si>
    <t>手枪</t>
  </si>
  <si>
    <t>250gp</t>
  </si>
  <si>
    <t>弹药(射程30/90) 装填</t>
  </si>
  <si>
    <t>槲寄生枝条</t>
  </si>
  <si>
    <t>德鲁伊法器是一件用来引导德鲁伊法术的特殊物品。它可以是一枝槲寄生或冬青，一根用紫衫木或其它特殊木材制作的魔杖或节杖，一根从活树上折下的法杖或是一个包含神圣动物身上的羽毛、毛皮、骨头和牙齿组合成的图腾。德鲁伊能将这样的物品用作其施法的法器。</t>
  </si>
  <si>
    <t>没有什么能动摇我的乐观态度。</t>
  </si>
  <si>
    <t>我是天生的赌徒，一旦有回报的可能，我就会不顾风险。</t>
  </si>
  <si>
    <t>比起制造一个新敌人，我宁可交一个新朋友。</t>
  </si>
  <si>
    <t>我周围的人都不会生气太久，因为我总能缓和紧张的气氛。</t>
  </si>
  <si>
    <t>我对公平有着强烈的执念，并且总是试图为争端寻找最公正的解决方案。</t>
  </si>
  <si>
    <t>我有一肚子格言警句，总是能恰到好处地掉书袋。</t>
  </si>
  <si>
    <t>我对受难者抱有强烈的同情心。</t>
  </si>
  <si>
    <t>我为了时尚和美貌忍受了很大痛苦。</t>
  </si>
  <si>
    <t>我善于观察自然，并从中获得应对任何境况的经验。</t>
  </si>
  <si>
    <t>没有什么能比一个有趣的谜团更令我欢心。</t>
  </si>
  <si>
    <t>我常常会为了讲述一个好故事而夸大其词。</t>
  </si>
  <si>
    <t>我的军事生涯曾经历过各种情况，所以我能以此讲出许多鼓舞人心而又发人深省的故事。</t>
  </si>
  <si>
    <t>我习惯靠着墙或树睡觉，睡时把自己的东西都捆成一捆。抱在怀里。</t>
  </si>
  <si>
    <t>我表达喜爱和厌恶的方式和其他人不一样。</t>
  </si>
  <si>
    <t>我对自己和任何共事者都有极高的要求。</t>
  </si>
  <si>
    <t>鬼智半身人_剑湾属性值加成</t>
  </si>
  <si>
    <t>你的敏捷加2，你的感知加1。</t>
  </si>
  <si>
    <t>丘陵矮人</t>
  </si>
  <si>
    <t>山地矮人</t>
  </si>
  <si>
    <t>灰矮人_魔邓肯</t>
  </si>
  <si>
    <t>警戒龙纹_艾伯伦</t>
  </si>
  <si>
    <t>法术射手</t>
  </si>
  <si>
    <t>先决条件：至少可以施展一个法术
 你学会如何操控特定的法术进行攻击，并获得下列增益：
• 当你施展需要进行攻击检定的法术时，则该法术的施法距离加倍。
• 你的远程法术攻击忽视半身掩护和四分之三掩护状态。
• 你习得一个需要进行攻击检定的戏法。从吟游诗人、牧师、德鲁伊、术士、邪术师、法师中选择其一，并从其相应的法术列表里选择该戏法。
你施展该戏法的施法关键属性取决于你选择的职业：吟游诗人、术士、邪术师用魅力；牧师、德鲁伊用感知；法师用智力。</t>
  </si>
  <si>
    <t>圣武士武器熟练</t>
  </si>
  <si>
    <t>圣武士护甲熟练</t>
  </si>
  <si>
    <t>滑膛枪</t>
  </si>
  <si>
    <t>500gp</t>
  </si>
  <si>
    <t>弹药(射程40/120) 装填 双手</t>
  </si>
  <si>
    <t>图腾</t>
  </si>
  <si>
    <t>我任何情况下都喜欢引用（或错引）圣典和格言。</t>
  </si>
  <si>
    <t>我什么时候都爱说点谎话，而不论是否有必要。</t>
  </si>
  <si>
    <t>我极端的不易信任他人。表面上看上去越公正的人通常都藏着越多见不得光的事。</t>
  </si>
  <si>
    <t>我喜欢精妙的讽刺，即使那是对我的讽刺也一样。</t>
  </si>
  <si>
    <t>我信任自己的能力，并且会做任何力所能及的事以获得他人的信任。</t>
  </si>
  <si>
    <t>我对那些不像我那样努力工作、公平竞争的人并不会以礼相待。</t>
  </si>
  <si>
    <t>我对于礼仪和社会常识一无所知。</t>
  </si>
  <si>
    <t>我不喜欢干脏活，更不会因不舒适的食宿勉强自己。</t>
  </si>
  <si>
    <t>财富和礼貌无法帮你对抗一头饥饿枭熊，而我对看重这些东西的家伙不屑一顾。</t>
  </si>
  <si>
    <t>我作出自己的判断前，总会乐意倾听争论双方的论点。</t>
  </si>
  <si>
    <t>我就觉得酒馆是了解一座陌生城市的好地方。</t>
  </si>
  <si>
    <t>我能盯着一只地狱犬看而毫不畏缩。</t>
  </si>
  <si>
    <t>我的吃相像猪一样，十分没有礼数。</t>
  </si>
  <si>
    <t>我通过在这片土地上实践来敬仰我的神灵。</t>
  </si>
  <si>
    <t>我永远不会忘记对我自己或家族的侮辱。</t>
  </si>
  <si>
    <t>高等精灵属性值加成</t>
  </si>
  <si>
    <t>你的敏捷加2，你的智力加1。</t>
  </si>
  <si>
    <t>金龙裔</t>
  </si>
  <si>
    <t>红龙裔</t>
  </si>
  <si>
    <t>蓝龙裔</t>
  </si>
  <si>
    <t>黑龙裔</t>
  </si>
  <si>
    <t>银龙裔</t>
  </si>
  <si>
    <t>绿龙裔</t>
  </si>
  <si>
    <t>白龙裔</t>
  </si>
  <si>
    <t>黄铜龙裔</t>
  </si>
  <si>
    <t>赤铜龙裔</t>
  </si>
  <si>
    <t>青铜龙裔</t>
  </si>
  <si>
    <t>龙国血统_荒洲</t>
  </si>
  <si>
    <t>瑞雯奈特_荒洲</t>
  </si>
  <si>
    <t>斗殴高手</t>
  </si>
  <si>
    <t>你习惯了粗暴而混乱的肉体斗殴，而随手拿个东西都能成为你的武器。你获得下列增益：
• 你的力量或体质加1，上限为20。
• 你获得临时武器的熟练项。
• 你徒手打击的伤害骰变为1d4。
• 你在自己的回合内用徒手打击或临时武器命中敌人时，可以用附赠动作尝试对该敌人进行一次擒抱。</t>
  </si>
  <si>
    <t>游侠武器熟练</t>
  </si>
  <si>
    <t>游侠护甲熟练</t>
  </si>
  <si>
    <t>木制法杖</t>
  </si>
  <si>
    <t>我能容忍（或无法容忍）其它信仰并且尊重（或谴责）对其他神抵的崇拜。</t>
  </si>
  <si>
    <t>讽刺和挖苦是我的首选武器。</t>
  </si>
  <si>
    <t>我不会考虑某个情形中的风险。永远别跟我谈几率。</t>
  </si>
  <si>
    <t>我一旦不能成为众人焦点就会很难受。</t>
  </si>
  <si>
    <t>其他人负责思考。我只负责行动。</t>
  </si>
  <si>
    <t>我喜欢对我的行当高谈阔论。</t>
  </si>
  <si>
    <t>我将周遭发生的一切视作冥冥天意的一部分。</t>
  </si>
  <si>
    <t>我拥有贵族的血统，但并不认为自己比平民百姓更高贵。我们流的血是相同的。</t>
  </si>
  <si>
    <t>我习惯偶尔从地上捡起些东西再漫不经心地摆弄，有的时候还会弄坏它们。</t>
  </si>
  <si>
    <r>
      <rPr>
        <sz val="11"/>
        <color rgb="FF000000"/>
        <rFont val="宋体"/>
        <charset val="134"/>
      </rPr>
      <t>我~跟~白痴们~讲话~时~会~放慢~语速，别~误会~我~是指~所有人~都是~</t>
    </r>
    <r>
      <rPr>
        <sz val="11"/>
        <color rgb="FF000000"/>
        <rFont val="Noto Sans CJK SC"/>
        <charset val="134"/>
      </rPr>
      <t>ग</t>
    </r>
    <r>
      <rPr>
        <sz val="11"/>
        <color rgb="FF000000"/>
        <rFont val="宋体"/>
        <charset val="134"/>
      </rPr>
      <t>痴。</t>
    </r>
  </si>
  <si>
    <t>我从不会放弃友好的赌局。</t>
  </si>
  <si>
    <t>我喜欢强壮的感觉并且乐于打坏东西。</t>
  </si>
  <si>
    <t>我认为任何对我假仁假义的人都不安好心。</t>
  </si>
  <si>
    <t>我通过一种通常和周围人不一样的小型的仪式来开始或结束我一天的生活。</t>
  </si>
  <si>
    <t>我对我家族达成的每一件事都感到激动和兴奋。</t>
  </si>
  <si>
    <t>木精灵属性值加成</t>
  </si>
  <si>
    <t>健壮</t>
  </si>
  <si>
    <t>获得该专长时，你的生命值上限增加你当前等级两倍的数值。并且在你随后每次升级时，生命值上限都会额外加2。</t>
  </si>
  <si>
    <t>野蛮人武器熟练</t>
  </si>
  <si>
    <t>野蛮人护甲熟练</t>
  </si>
  <si>
    <t>紫衫魔杖</t>
  </si>
  <si>
    <t>我喜爱美食、饮料以及同信仰神庙中的精英分子们的高层圈子。粗野的生活令我烦躁。</t>
  </si>
  <si>
    <t>我身上挂着一排圣徽，随时随地都可以祈祷随便哪位神祇保佑。</t>
  </si>
  <si>
    <t>令我做某件事的最好手段就是跟我说不能那样做。</t>
  </si>
  <si>
    <t>我是完美主义者。</t>
  </si>
  <si>
    <t>会错用长单词以试图显得更聪明些。</t>
  </si>
  <si>
    <t>我不会轻易花钱，砍价也总是砍到最低。</t>
  </si>
  <si>
    <t>我时常陷入自我冥思中无法自拔，丝毫不顾周围的事物。</t>
  </si>
  <si>
    <t>一旦辜负我的期待，就将永远失去我的青睐。</t>
  </si>
  <si>
    <t>对于与人相处，和动物在一起会让我更自在。</t>
  </si>
  <si>
    <t>我在社交场合尴尬得特别特别厉害。</t>
  </si>
  <si>
    <t>我的言辞脏污得好比食腐兽的窝。</t>
  </si>
  <si>
    <t>我有着粗俗的幽默感。</t>
  </si>
  <si>
    <t>我不喜欢洗澡。</t>
  </si>
  <si>
    <t>远行者特点只有6种，你也可以自己修改或者添加。——太易</t>
  </si>
  <si>
    <t>我是家族的颜面，同时对自己的外表拥有很高的自信。</t>
  </si>
  <si>
    <t>卓尔精灵属性值加成</t>
  </si>
  <si>
    <t>战地施法者</t>
  </si>
  <si>
    <t>先决条件：至少可以施展一个法术
 你学会如何在混乱的战场上施展法术，并获得下列增益：
• 当你受到伤害时，你为维持法术专注而进行的体质豁免具有优势。
• 你在持握武器和盾牌时依然可以满足施法所需的姿势成分。
• 当敌方生物的移动引发你的借机攻击时，你可以用你的反应对该生物施展一个法术而非发动借机攻击。
该法术的施法时间必须是1动作，且该生物必须为法术的唯一目标。</t>
  </si>
  <si>
    <t>渔具</t>
  </si>
  <si>
    <t>一套渔具工具包中，装有一根木杆、丝线、软木转轴、铅坠、天鹅绒饵以及窄眼网。</t>
  </si>
  <si>
    <t>我在神庙中生活的太久了，以至于我在与外面世界的人们打交道时缺乏实际经验。</t>
  </si>
  <si>
    <t>我会把任何可能有点价值的玩意儿都收集起来。</t>
  </si>
  <si>
    <t>最轻微的侮辱也能把我气炸了。</t>
  </si>
  <si>
    <t>我的情绪和思想变得和弹琴轮指一样快。</t>
  </si>
  <si>
    <t>我时常感到厌烦。我的天命之旅什么时候才有进展呢？</t>
  </si>
  <si>
    <t>我在我这行鼎鼎有名，而我要确保所有人都认同这点。如果人们没听说过我，就会让我大吃一惊。</t>
  </si>
  <si>
    <t>我正致力完成一套哲学理论，且乐于与人分享其理念。</t>
  </si>
  <si>
    <t>我一受到伤害就要碾碎对方，乃至辱其名声毁其土地。</t>
  </si>
  <si>
    <t>我实际上是个由狼养大的孩子。</t>
  </si>
  <si>
    <t>我确信人们始终在试图偷取我的秘密。</t>
  </si>
  <si>
    <t>我喜欢工作都好好完成的样子，如果整个过程都让别人来干就更好了。</t>
  </si>
  <si>
    <t>我迎难而上直面问题。一个简单直接的解决方案是通往成功的最佳路径。</t>
  </si>
  <si>
    <t>我总是直接说出其他人暗示或者想遮掩的事情。</t>
  </si>
  <si>
    <t>我对君主制和任何针对家族的限制都感到不满。</t>
  </si>
  <si>
    <t>雅灵_魔邓肯属性值加成</t>
  </si>
  <si>
    <t>武器大师</t>
  </si>
  <si>
    <t>经过大量练习后，你熟练的掌握了各种武器的使用方法，并获得下列增益： 
• 你的力量或敏捷加1，上限为20。 
• 你从简易武器和军用武器列表中，共选择四种武器并获得其熟练项。</t>
  </si>
  <si>
    <t>扁瓶或大杯</t>
  </si>
  <si>
    <t>0.02gp</t>
  </si>
  <si>
    <t>海精灵_魔邓肯属性值加成</t>
  </si>
  <si>
    <t>提夫林变体_剑湾</t>
  </si>
  <si>
    <t>提夫林亚种_魔邓肯</t>
  </si>
  <si>
    <t>慷慨吉运</t>
  </si>
  <si>
    <t>先决条件：半身人
你的民族有着非同寻常的好运，且你学过如何在看到同伴难堪之时将其秘密地借给他们。你也不知道你是怎么做到的。你只是想想，那就实现了，这是命运的赠礼！
如果一个30尺内你可以看见的队友在攻击检定，属性检定或者豁免检定上扔了个1，你可以用反应让他重扔一次，队友必须接受新的结果。
当你使用这个能力，直到下回合结束你都不能再次使用。</t>
  </si>
  <si>
    <t>布甲</t>
  </si>
  <si>
    <t>是</t>
  </si>
  <si>
    <t>爪钩</t>
  </si>
  <si>
    <t>传统Traditions。古代崇拜与献祭的传统必须被保护并维持。(守序)</t>
  </si>
  <si>
    <t>自主Independence。我的灵魂自由自在——没人能对我指手画脚。（混乱）</t>
  </si>
  <si>
    <t>荣誉Honor。我不会偷行家的东西。(守序)</t>
  </si>
  <si>
    <t>美好Beauty。我表演时的世界会显得更美好。（善良）</t>
  </si>
  <si>
    <t>尊敬Respect。民众应该受到体面而尊敬的对待。（善良）</t>
  </si>
  <si>
    <t>团结Community。加强集体团结，保卫社区安全，是文明人应尽的义务。（守序）</t>
  </si>
  <si>
    <t>大义Greater Good。我的天赋注定要为所有人谋利，而非为一己之私。（善良）</t>
  </si>
  <si>
    <t>尊重Respect。人们尊敬我是因为我的地位，但任何人无论地位高低，都应该被体面地对待。（善良）</t>
  </si>
  <si>
    <t>改变Change。生活如四季流转，变化不止，而我们必须与之一道改变。（混乱）</t>
  </si>
  <si>
    <t>知识Knowledge。知识是通往力量和自我发展的必经之路。(中立)</t>
  </si>
  <si>
    <t>尊重Respect。只有船长和船员相互尊重，船才能乘风破浪。（善良）</t>
  </si>
  <si>
    <t>大义Greater Good。我们的使命即是为保卫他人而献出自己的生命。(善良)</t>
  </si>
  <si>
    <t>尊重Respect。所有人，不论贫富都应受到尊重。（善良）</t>
  </si>
  <si>
    <t>开放。那些在我旅程路上遇到的人，我有很多需要向他们学习。（善良）</t>
  </si>
  <si>
    <t>共同利益。我的龙纹家族在世界上举足轻重，它的繁荣能够让所有人得利。（善良）</t>
  </si>
  <si>
    <t>影灵_魔邓肯属性值加成</t>
  </si>
  <si>
    <t>守护阿斯莫</t>
  </si>
  <si>
    <t>天罚阿斯莫</t>
  </si>
  <si>
    <t>堕落阿斯莫</t>
  </si>
  <si>
    <t>龙族之恐怖</t>
  </si>
  <si>
    <t>先决条件：龙裔
气愤之时，你展露威慑之力。你获得以下好处。
力量，体质或者魅力+1，不能超过20
你可以使用咆哮并消耗你的喷吐武器使三十尺内你选择的每个生物通过一个感知豁免检定（DC＝8+你的熟练加值+魅力调整值）取代喷射毁灭性能量。听不到或看不到你的目标单位自动通过此检定。如果豁免失败，目标恐慌一分钟。如果恐慌的目标受到任何伤害，他可以重投豁免检定，直到通过为止。</t>
  </si>
  <si>
    <t>皮甲</t>
  </si>
  <si>
    <t>锤子</t>
  </si>
  <si>
    <t>仁爱Charity。我总是试图帮助那些需要帮助的人，无论个人的花费如何。（善良）</t>
  </si>
  <si>
    <t>公平Fairness。我从不在那些穷得失不起钱的人身上捞钱。（守序）</t>
  </si>
  <si>
    <t>自由Freedom。枷锁的存在即是被打破，而那些铸造枷锁的人也该受同样对待。（混乱）</t>
  </si>
  <si>
    <t>传统Tradition。过去的故事、史诗以及歌谣塑造了我们，因而他们不该被遗忘。（守序）</t>
  </si>
  <si>
    <t>公平Fairness。没人可以在法律中得到优待，并且没人能凌驾于法律之上。（守序）</t>
  </si>
  <si>
    <t>慷慨Generosity。既然我有天赋，我就要造福世界。（善良）</t>
  </si>
  <si>
    <t>逻辑Logic。绝对不能让情绪干扰我们对正确、真实和理智的思考。（守序）</t>
  </si>
  <si>
    <t>责任Responsibility。我将服从上级视为责任，正如我的下属也必须要服从我一样。（守序）</t>
  </si>
  <si>
    <t>大义Greater Good。部族整体的幸福，是每个成员的义务。（善良）</t>
  </si>
  <si>
    <t>美丽Beauty。美丽的事物指引我们想着其所在的方向继续向前即是真实。（善良）</t>
  </si>
  <si>
    <t>公正Fairness。一起干的活工钱一起分。（守序）</t>
  </si>
  <si>
    <t>责任Reponsibility。我服从权力，并且只做必须做的事。（守序）</t>
  </si>
  <si>
    <t>团结Community。外人不会帮我们，因此我们必须同舟共济。（守序）</t>
  </si>
  <si>
    <t>保守。作为这个奇怪地方的新来者，我在日常交易之中保持谨慎和礼貌的态度。（守序）</t>
  </si>
  <si>
    <t>传统。我恪守家族传统，为家庭争取荣耀。（守序）</t>
  </si>
  <si>
    <t>半精灵属性值加成</t>
  </si>
  <si>
    <t>你的魅力加2。再选择其他两项属性值各加1。</t>
  </si>
  <si>
    <t>森林侏儒</t>
  </si>
  <si>
    <t>岩侏儒</t>
  </si>
  <si>
    <t>地底侏儒_魔邓肯</t>
  </si>
  <si>
    <t>抄录龙纹_艾伯伦</t>
  </si>
  <si>
    <t>龙族皮肤</t>
  </si>
  <si>
    <t>先决条件：龙裔
你显出自你龙族先祖的利爪与鳞片，你获得以下好处：
你的力量，体质或者魅力+1，不能超过20。
你的皮肤硬化，如果你没穿盔甲则你的AC变为13+敏捷调整值。你可以在持握盾牌时仍获得此好处。
你的指尖长出可伸缩的利爪，伸出或缩回爪子不消耗动作，爪子是可以用来徒手打击的天生武器，如果你用他们发动攻击，你造成1d4+你的力量调整值的挥砍伤害，以代替正常徒手打击造成的钝击伤害。</t>
  </si>
  <si>
    <t>已知法术</t>
  </si>
  <si>
    <t>主职业等级</t>
  </si>
  <si>
    <t>副职业等级</t>
  </si>
  <si>
    <t>大铁锤</t>
  </si>
  <si>
    <t>改变Change。我们必须协助引发神在世界中一直为之工作的改变。（混乱）</t>
  </si>
  <si>
    <t>仁爱Charity。我把赚来的钱分给真正需要的人。（善良）</t>
  </si>
  <si>
    <t>仁爱Charity。我从富人处窃取财富然后帮助有需要的人。（善良）</t>
  </si>
  <si>
    <t>创新Creativity。世界需要崭新的创意和大胆的行动。（混乱）</t>
  </si>
  <si>
    <t>自由Freedom。压迫人民的暴君绝不能被容忍。（混乱）</t>
  </si>
  <si>
    <t>自由Freedom。任何人都有选择营生方式的自由。（混乱）</t>
  </si>
  <si>
    <t>解放思想Free Thinking。探究精神和好奇心是学术进步的支柱。（混乱）</t>
  </si>
  <si>
    <t>独立Independence。我必须证明自己即使不借助家族的力量也仍可以自食其力。（混乱）</t>
  </si>
  <si>
    <t>荣誉Honor。我若玷污荣誉，便是给整个氏族蒙羞。（守序）</t>
  </si>
  <si>
    <t>逻辑Logic。情绪绝不能蒙蔽逻辑思考。（守序）</t>
  </si>
  <si>
    <t>自由Freedom。大海即是自由——随你去哪儿，随你干什么。（混乱）</t>
  </si>
  <si>
    <t>独立Independence。盲目的服从命令，某种意义上就相当于接受暴君统治。（混乱）</t>
  </si>
  <si>
    <t>改变Change。下等人可能发迹，上等人可能落马，变化才是万物的本质。（混乱）</t>
  </si>
  <si>
    <t>冒险。我远离了我的家乡，这所有的一切真是奇怪，太棒啦！（混乱）</t>
  </si>
  <si>
    <t>创新。抛弃旧的传统，找到更好的做事方法。（混乱）</t>
  </si>
  <si>
    <t>半精灵变体_剑湾属性值加成</t>
  </si>
  <si>
    <t>熊地精</t>
  </si>
  <si>
    <t>大地精</t>
  </si>
  <si>
    <t>高等卓尔魔法</t>
  </si>
  <si>
    <t>先决条件：卓尔精灵
你学到了更多种类的黑暗精灵魔法。你学会侦测魔法并可以任意释放他，而不会消耗法术位。你学会解除魔法和漂浮术，你可以释放每种一次不消耗法术位。直到你完成一次长休息你才可以再度释放他们。魅力是你施放这三个法术的施法主属性。</t>
  </si>
  <si>
    <t>兽皮甲</t>
  </si>
  <si>
    <t>医疗包</t>
  </si>
  <si>
    <t>一个医疗用小皮包中，装有绷带、药膏和夹板。医疗包可以使用十次。你可以使用一个动作，并花费一次使用次数来为一个生命值为0的生物稳定伤势，而无需进行相应的感知（医药）检定。</t>
  </si>
  <si>
    <t>权力Power。我希望有一天能够升格到所信仰宗教中等级的最高点。（守序）</t>
  </si>
  <si>
    <t>创新Creativity。我从不玩两次同样的把戏。（混乱）</t>
  </si>
  <si>
    <t>贪婪Greed。为了致富我愿意做任何事。（邪恶）</t>
  </si>
  <si>
    <t>贪婪Greed。我只是为名为利罢了。（邪恶）</t>
  </si>
  <si>
    <t>力量Might。如果我变得强大，我就可以理所当然的随心所欲。（邪恶）</t>
  </si>
  <si>
    <t>贪婪Greed。我干这行就只为钱。（邪恶）</t>
  </si>
  <si>
    <t>力量Power。清修和冥想是通往神秘力量或魔法之力的道途。（邪恶）</t>
  </si>
  <si>
    <t>权力Power。只要我掌握了更大的权力，就没人能对我指手画脚了。（邪恶）</t>
  </si>
  <si>
    <t>力量Might。最强者即是规矩本身。（邪恶）</t>
  </si>
  <si>
    <t>无拘无束No Limits。任何东西都不该束缚所有存在中潜在的无限可能。（混乱）</t>
  </si>
  <si>
    <t>统治Mastery。我是个掠夺者，海上其他船都是我的猎物。（邪恶）</t>
  </si>
  <si>
    <t>力量Might。生活与战争一样，只有更强大的一方才能获胜。（邪恶）</t>
  </si>
  <si>
    <t>报应Retribution。富人们应该被按在水沟里尝尝濒死的感觉。（邪恶）</t>
  </si>
  <si>
    <t>狡猾。虽然我不了解他们的处事方式，但是他们也不了解我的，这可以成为我的优势。（邪恶）</t>
  </si>
  <si>
    <t>权力。我想确保家族的繁荣昌盛，以便利用家族在世间的权势。（邪恶）</t>
  </si>
  <si>
    <t>丘陵矮人属性值加成</t>
  </si>
  <si>
    <t>你的体质加2，你的感知加1。</t>
  </si>
  <si>
    <t>矮人之坚毅</t>
  </si>
  <si>
    <t>先决条件：矮人
你的血脉中流淌着矮人英雄的血液。你获得以下好处
你的体质+1，最大20
当你在战斗中使用回避动作时，你可以消耗一颗生命骰来治愈自己。扔一颗骰子，加上你的体质调整值，恢复那么多的生命值（最少为1）。</t>
  </si>
  <si>
    <t>主职业施法等级</t>
  </si>
  <si>
    <t>副职业施法等级</t>
  </si>
  <si>
    <t>总施法等级</t>
  </si>
  <si>
    <t>链甲衫</t>
  </si>
  <si>
    <t>护符</t>
  </si>
  <si>
    <t>枚圣徽是某个神袛或神系象征。它可能是一个描绘有代表一个神袛符号的护身符，相同的符号可能作为一个徽章被仔细地雕刻或镶嵌在一面盾牌上，也可能是一个盛有一块神圣遗物碎片的小盒。附录B中列举有多元宇宙众神的代表性徵记。牧师或圣武士能将圣徽用作其施法的法器。使用这些圣徽时，施法着必须将其握在手中，戴在身上可见处，或者将其装在盾上使用。</t>
  </si>
  <si>
    <t>信仰Faith。我信任神祇能指引我的行为。我信奉如果自己努力工作，事情就会变得顺利。（守序）</t>
  </si>
  <si>
    <t>友谊Friendship。钱财来去如流水，友情长存如青山。（善良）</t>
  </si>
  <si>
    <t>人民People。我忠于我的朋友而非任何理想，此外的其他人就算下到冥河Styx里也与我无关。（中立）</t>
  </si>
  <si>
    <t>人民People。我喜欢表演时人们脸上的笑容。那就是我想要的。（中立）</t>
  </si>
  <si>
    <t>诚实Sincerity。假装自己是另一种人不会有什么好处。（中立）</t>
  </si>
  <si>
    <t>人民People。我为我在乎的人奋斗，而不是为了什么理想。（中立）</t>
  </si>
  <si>
    <t>自持自重Live and Let LIve。胡乱插手他人事务只会造成麻烦。（中立）</t>
  </si>
  <si>
    <t>家族Family。血浓于水。（任意）</t>
  </si>
  <si>
    <t>自然Nature。大自然比任何文明造物都重要。（中立）</t>
  </si>
  <si>
    <t>权力Power。知识是通往权力与统治的捷径。（邪恶）</t>
  </si>
  <si>
    <t>人民People。我只为同伴们出力，而不是为了什么理想。（中立）</t>
  </si>
  <si>
    <t>自持自重Live and Let Live。不该以理想之名行杀戮之事，或是以其名义发动战争。（中立）</t>
  </si>
  <si>
    <t>人民People。我帮助那些帮了我的人——这正是我们存在的根本。（中立）</t>
  </si>
  <si>
    <t>好奇。所有的一切都没见过，但是我渴望了解这些。（中立）</t>
  </si>
  <si>
    <t>发现。为了我的家族和满足好奇心，我想尽我所能地学习。（任何）</t>
  </si>
  <si>
    <t>山地矮人属性值加成</t>
  </si>
  <si>
    <t>你的体质与力量加2。</t>
  </si>
  <si>
    <t>气元素裔</t>
  </si>
  <si>
    <t>土元素裔</t>
  </si>
  <si>
    <t>火元素裔</t>
  </si>
  <si>
    <t>水元素裔</t>
  </si>
  <si>
    <t>精灵之准</t>
  </si>
  <si>
    <t>先决条件：精灵或者半精灵
精灵的准确度是一种传说，尤其以弓箭手和施法者为甚，你在依赖精确度而非蛮力的攻击检定上有着奇妙的准头，你获得以下好处：
你的敏捷，智力，感知或魅力+1，最大20
当你在依靠敏捷，智力，感知或者魅力进行的攻击检定上有优势的时候，你可以重扔其中一个骰子。</t>
  </si>
  <si>
    <t>鳞甲&amp;钉刺甲</t>
  </si>
  <si>
    <t>徽章</t>
  </si>
  <si>
    <t>抱负Aspiration。我将自己的行动与他或她的教导相较，求证明自己配得上吾主的喜爱。（任何）</t>
  </si>
  <si>
    <t>抱负Aspiration。我决心走向成功。（任意）</t>
  </si>
  <si>
    <t>救赎Redemption。人人心中有善念。（善良）</t>
  </si>
  <si>
    <t>正直Honety。艺术展现灵魂。它应当发自内心，揭露本我。（任意）</t>
  </si>
  <si>
    <t>命运Destiny。任何人或事情都无法让我偏离我那崇高的感召。（任意）</t>
  </si>
  <si>
    <t>抱负Aspiration。我努力钻研是为了成为本行中的翘楚。（任意）</t>
  </si>
  <si>
    <t>自知Self-Knowledge。如果你能自知，那么就无所不知。（任意）</t>
  </si>
  <si>
    <t>贵族义务Noble Obligation。保护依附我的人们，是我的责任。（善良）</t>
  </si>
  <si>
    <t>光荣Glory。我必须在战斗中赢得荣耀，既为自己也为氏族。（任意）</t>
  </si>
  <si>
    <t>提升自我Self-Improvement。终生学习为的正是让人变得更好。（任意）</t>
  </si>
  <si>
    <t>抱负Aspiration。早晚有一天，我会拥有自己的船，掌握自己的命运。（任意）</t>
  </si>
  <si>
    <t>国家Nation。我的城市、国家和人民是最重要的事。（任意）</t>
  </si>
  <si>
    <t>抱负Aspiration。我会证明我值得拥有更好的生活。（任意）</t>
  </si>
  <si>
    <t>疑心。我必须要小心，我没有办法告诉朋友们敌人是谁。（任何）</t>
  </si>
  <si>
    <t>舒适。我想要确保我的我的爱人能够享受生活中最美好的东西。（任何）</t>
  </si>
  <si>
    <t>灰矮人_魔邓肯属性值加成</t>
  </si>
  <si>
    <t>你的体质加2，你的力量加1。</t>
  </si>
  <si>
    <t>逐渐消失</t>
  </si>
  <si>
    <t>先决条件：侏儒
你的族人在幻术系魔法的技巧上很有天赋。你学过一种在你受到伤害时逐渐隐去的魔法技巧。你获得以下好处：
你的智力+1，最大20
当你受到伤害，你可以用一个反应来用魔法把自己变成隐形，直到你攻击，造成伤害或使别人通过豁免检定或者下个回合。你只能使用一次这个能力，直到你进行一次短休或者长休。</t>
  </si>
  <si>
    <t>胸甲</t>
  </si>
  <si>
    <t>圣物匣</t>
  </si>
  <si>
    <t>金龙裔属性值加成</t>
  </si>
  <si>
    <t>你力量加2，魅力加1。</t>
  </si>
  <si>
    <t>精类位移</t>
  </si>
  <si>
    <t>先决条件：高等精灵
你的高等精灵学识研究已然解锁了一些其他精灵掌控的精类力量，而非你的艾拉德林表亲。利用你的精类先祖，你可以大步迈入妖精荒野来减短你从一个地方到另一个地方的道路，你获得以下好处：
你的智力或者魅力+1，最大20
你学会说读写木族语。
你学会了迷踪步并且可以不消耗法术位释放它。直到你进行一次短休或者长休你才能再度使用此能力。智力是你的施法关键属性。</t>
  </si>
  <si>
    <t>半身板甲</t>
  </si>
  <si>
    <t>圣水_扁瓶</t>
  </si>
  <si>
    <t>你可以用一个动作将这小瓶液体泼溅到你身边5尺范围内的一个生物身上，或是将小瓶投到至多20尺远的地方，并利用冲击打破它。两种情况都可以视为对一个生物或物件发动一次远程攻击，并将圣水视为一件临时武器。命中时，如果目标是一只邪魔或不死生物，则目标受到2d6点光耀伤害。
一名牧师或圣武士能通过主持一种特殊的仪式来创造圣水。该仪式花费1小时进行，且需要花费价值25gp的银粉，并消耗施法者一枚1环法术位。</t>
  </si>
  <si>
    <t>为了找回很久前丢失的与我信仰有关的一件古代遗物，我可以付出生命。</t>
  </si>
  <si>
    <t>我敲诈错了人，所以必须确保那家伙不和我或者任何我在意的人再度打上交道。</t>
  </si>
  <si>
    <t>我试图偿还一个慷慨的资助者的老债务。</t>
  </si>
  <si>
    <t>我的乐器是我最宝贵的财富，它纪念着某个我所爱之人。</t>
  </si>
  <si>
    <t>我有一个家庭，但我现在不知道他们身处何处。我希望终有一日能够再次见到他们。</t>
  </si>
  <si>
    <t>我学习技艺的厂房对我来说是世界上最重要的地方。</t>
  </si>
  <si>
    <t>任何事物不比我的修行同伴、修行戒律或修会本身那么重要。</t>
  </si>
  <si>
    <t>为了获得家族的认可，我可以面对任何挑战。</t>
  </si>
  <si>
    <t>即使与其异地相隔，我的家族，氏族或部族是我生命中最重要的事物。</t>
  </si>
  <si>
    <t>保护我的学生是我的责任。</t>
  </si>
  <si>
    <t>我首先忠于我的船长，任何事物都要排在后头。</t>
  </si>
  <si>
    <t>我依然会以性命保护曾一起共事之人。</t>
  </si>
  <si>
    <t>这城镇就是我的家，而我必须保卫它。</t>
  </si>
  <si>
    <t>只要我有从家乡培养出的品质，我就可以在这片陌生的土地上面对任何逆境。</t>
  </si>
  <si>
    <t>我的龙纹家族就是我的家人，我愿意为我的家人做任何事。</t>
  </si>
  <si>
    <t>红龙裔属性值加成</t>
  </si>
  <si>
    <t>牛头人_拉尼卡</t>
  </si>
  <si>
    <t>牛头人_塞洛斯</t>
  </si>
  <si>
    <t>弗莱格索斯之焰</t>
  </si>
  <si>
    <t>先决条件：提夫林
你学会了召唤地狱火来听从你的指挥，你获得以下好处：
智力或者魅力+1，最大20
当你施展法术扔火焰伤害的伤害骰时，你可以重扔任何被扔到1的骰子，你必须接受新结果哪怕那也只是个1。
当你施展造成火焰伤害的法术时，你可以让火焰环绕于你，直到你的下个回合结束。那些火焰不会对你或者你的物品造成伤害。他们提供30尺明亮照明和额外30尺昏暗照明，只要处于火焰现形之时，任何在你五尺内对你近战攻击的生物都会受到1d4火焰伤害。</t>
  </si>
  <si>
    <t>环甲</t>
  </si>
  <si>
    <t>沙漏</t>
  </si>
  <si>
    <t>终有一天我会对谴责我为异端的罪恶神庙组织复仇。</t>
  </si>
  <si>
    <t>我的导师是个可能正在某个监牢里面烂着的糟糕人物，然而我欠他很多很多。</t>
  </si>
  <si>
    <t>我的非法所得是为了支持我的家庭。</t>
  </si>
  <si>
    <t>有人偷走了我珍爱的乐器，而我一定要夺回来。</t>
  </si>
  <si>
    <t>我劳作于这片土地，我热爱这片土地，而且我将保卫这片土地。</t>
  </si>
  <si>
    <t>我为某人造出了一件绝世珍品，却发现对方根本配不上它。我仍在寻找配得上它的人。</t>
  </si>
  <si>
    <t>我隐居是为了躲避那些仍在搜捕我的人。而我早晚必须直接面对他们。</t>
  </si>
  <si>
    <t>我必须不惜代价的维持住两个家族之间的联姻关系。</t>
  </si>
  <si>
    <t>破坏家园的原始风貌即是对我的伤害。</t>
  </si>
  <si>
    <t>我有一份载有可怕秘密的远古文献，而它绝不能落入错误的人手中。</t>
  </si>
  <si>
    <t>船才是最重要的，无论船员还是船长都是过客。</t>
  </si>
  <si>
    <t>有人在战场上救过我的命。因而现在我也不会丢下任何一个朋友。</t>
  </si>
  <si>
    <t>我资助了一所孤儿院，以免其他人再遭受我的厄运。</t>
  </si>
  <si>
    <t>我的人民信仰的上神是对于远离家乡的我的一种安慰。</t>
  </si>
  <si>
    <t>我爱上了另一个龙纹家族的人，但是这种关系是禁忌的。</t>
  </si>
  <si>
    <t>绿龙裔属性值加成</t>
  </si>
  <si>
    <t>恶魔体质</t>
  </si>
  <si>
    <t>先决条件：提夫林
恶魔之血支撑着你，解锁一些类似恶魔领主拥有的韧性。你获得以下好处：
体质+1，不能超过20
你获得冷冻与毒素的伤害抗性。
你在对抗毒素时取优势。</t>
  </si>
  <si>
    <t>链甲</t>
  </si>
  <si>
    <t>狩猎陷阱</t>
  </si>
  <si>
    <t>使用动作设置好该陷阱后，其形成一个锯齿钢圈，并在生物踏上其中央压板时闭合。陷阱由一根沉重的链条固定在某处，例如一棵树或是一根钉在地上的钉子。任何踩上压板的生物都必须进行一次DC13的敏捷豁免，豁免失败则受到1d4点穿刺伤害，并停止移动。在该生物从陷阱中解脱前，其移动范围都被限制在链条的长度内（通常为3尺）。一个生物可以使用动作进行一次DC13的力量检定，以解脱自己或其触及范围内的另一生物。每次豁免失败时，被困生物都将受到1点穿刺伤害。</t>
  </si>
  <si>
    <t>我欠那位在我的双亲死亡时收养我的教士一条命。</t>
  </si>
  <si>
    <t>我在某个地方有个未曾见过我的孩子。我正为他改变这个世界。</t>
  </si>
  <si>
    <t>我有一件重要的东西被夺走了，并且我想要把它偷回来。</t>
  </si>
  <si>
    <t>我要不惜一切代价让自己出名。</t>
  </si>
  <si>
    <t>一名傲慢的贵族曾经死命痛打了我一顿，故而我将报复任何我遇到的恃强凌弱者。</t>
  </si>
  <si>
    <t>公会造就了今天的我，因此我仍欠公会良多。</t>
  </si>
  <si>
    <t>我一直在隐居生活中寻找启迪，然而至今仍然一无所获。</t>
  </si>
  <si>
    <t>任何事物都不如家族血亲更重要。</t>
  </si>
  <si>
    <t>我会让那些摧毁我家乡的恶徒见识什么叫狂怒。</t>
  </si>
  <si>
    <t>我为保护一个图书馆，学院，抄写室或修道院而工作。</t>
  </si>
  <si>
    <t>我总是会怀念我上过的第一艘船。</t>
  </si>
  <si>
    <t>荣誉即吾命。</t>
  </si>
  <si>
    <t>我的幸运应归功于那位曾教会我如何在街头生存的另一位流浪儿。</t>
  </si>
  <si>
    <t>没有比为我的人民服务更伟大的事业。</t>
  </si>
  <si>
    <t>我爱的人被自己家族中的敌对派别杀害了，我决心报仇。</t>
  </si>
  <si>
    <t>黑龙裔属性值加成</t>
  </si>
  <si>
    <t>兽人式狂怒</t>
  </si>
  <si>
    <t>先决条件：半兽人
你的狂怒爆发时不知疲倦，你获得以下好处：
你的力量或者体质+1，最高20
当你用简易或者军用武器进行一次攻击命中时，你可以再扔一个武器伤害骰并且用武器伤害同样的伤害类型将它加入额外伤害。你只能使用一次，直到你进行一次短休或者长休。
在你进行坚韧不屈特性之后，你可以立即以反应进行一次武器攻击。</t>
  </si>
  <si>
    <t>板条甲</t>
  </si>
  <si>
    <t>墨水_1盎司瓶</t>
  </si>
  <si>
    <t>我做的每一件事情都是为了普罗大众。</t>
  </si>
  <si>
    <t>我是贵族出身，我早晚一天会从剽窃我领地和头衔的人身上把一切都抢回来。</t>
  </si>
  <si>
    <t>我会成为有史以来最伟大的盗贼。</t>
  </si>
  <si>
    <t>我崇拜古老传奇中的某位英雄，并时时以他作榜样。</t>
  </si>
  <si>
    <t>我的工具是我以往生活的符号，因而我随身携带着它们以便永远记住我的根。</t>
  </si>
  <si>
    <t>我为了向某人求爱而攒钱。</t>
  </si>
  <si>
    <t>我隐居是因为无法得到所爱之人。</t>
  </si>
  <si>
    <t>我爱上了家族所不齿的另一个家族的子嗣。</t>
  </si>
  <si>
    <t>我是部族最后的遗孤，因而只剩我可以让部族的威名成为传奇。</t>
  </si>
  <si>
    <t>我一生的作品就是关于某项特定学识领域的一系列书典。</t>
  </si>
  <si>
    <t>在一个港口里住着我的情人，她的魅力几乎能让我放弃海上生活和她在一起。</t>
  </si>
  <si>
    <t>我永远不会忘记队伍曾遭受到的惨败，以及当时的敌人。</t>
  </si>
  <si>
    <t>我欠某位同情我的绅士一笔我还不起的债。</t>
  </si>
  <si>
    <t>我的自由是我最珍贵的财宝。我不会再让任何人从我手中多去它。</t>
  </si>
  <si>
    <t>我并不关心家族整体如何，但我愿意为我的老导师做任何事。</t>
  </si>
  <si>
    <t>银龙裔属性值加成</t>
  </si>
  <si>
    <t>奇才</t>
  </si>
  <si>
    <t>先决条件：人类或半精灵或者半兽人
你拥有学习新鲜事物的本领，你获得以下好处：
你获得一种自选技能的熟练，一种自选工具的熟练，且娴熟于一种自选的语言。
选择一种你已经熟练于其的技能。你获得这种技能的专精，这意味着你在以其进行的任何技能检定上获得双倍熟练值。你选择的这个技能必须未在任何特性上获得双倍熟练的好处，例如专精。</t>
  </si>
  <si>
    <t>吟游诗人等级</t>
  </si>
  <si>
    <t>板甲</t>
  </si>
  <si>
    <t>墨水笔</t>
  </si>
  <si>
    <t>为了保卫我曾服务的神庙我可以做任何事情。</t>
  </si>
  <si>
    <t>一个大人物杀了我的爱人。要不了多久，我就会向他复仇。</t>
  </si>
  <si>
    <t>我因一桩严重罪行而内疚。并希望从中寻求自我救赎。</t>
  </si>
  <si>
    <t>只要能证明我比那个可恨的对手强，我愿意做任何事情。</t>
  </si>
  <si>
    <t>我保护那些无力自我保护的人。</t>
  </si>
  <si>
    <t>终有一天，我会回到公会，然后证明我是其中最厉害的工匠。</t>
  </si>
  <si>
    <t>倘若我的发现公诸于众，世界必将天翻地覆。</t>
  </si>
  <si>
    <t>我对主君的忠诚固若泰山。</t>
  </si>
  <si>
    <t>我眼前时常浮现灾难将至的幻景，我要尽全力阻止其发生。</t>
  </si>
  <si>
    <t>我终生寻求某个特定问题的解答。</t>
  </si>
  <si>
    <t>我平分财宝时见到有人作弊，而我要夺回我应得的那份。</t>
  </si>
  <si>
    <t>那些与我同袍的人值得为之豁出性命。</t>
  </si>
  <si>
    <t>我通过抢劫一位大人物而脱贫致富，但是也因此而遭到通缉。</t>
  </si>
  <si>
    <t>我为这片美丽而神奇的新土地而着迷。</t>
  </si>
  <si>
    <t>我相信我的家族需要进化才能生存，而我需要引领这个变化。</t>
  </si>
  <si>
    <t>花开二度</t>
  </si>
  <si>
    <t>先决：半身人
命运在有人想要伤害你时眷顾于你，你获得以下好处：
你的敏捷，体质或者魅力+1，最大20
当一个你可以看到的生物对你进行攻击骰命中时，你可以用一个反应让那个生物重骰。一旦你使用此能力，直到你进行一次短休或者长休你才能再度使用此能力。</t>
  </si>
  <si>
    <t>壶或罐</t>
  </si>
  <si>
    <t>我试图去保护一部神圣典籍，而我的敌人认为它是异端的并寻求摧毁它。</t>
  </si>
  <si>
    <t>我毁了一个不该被骗的人。我试图弥补我的过失，但是可能永远不会原谅自己。</t>
  </si>
  <si>
    <t>我深爱的某人因我犯下的错误而死。而我决不会让这种事情再发生了。</t>
  </si>
  <si>
    <t>我可以为老剧团的同伴做任何事。</t>
  </si>
  <si>
    <t>我希望我的青梅竹马能伴着我一起追寻我的命运。</t>
  </si>
  <si>
    <t>我要向那个破坏我工坊，毁掉我生活的邪恶势力复仇。</t>
  </si>
  <si>
    <t>我的苦修向我揭示了只有我能摧毁的可怖邪恶。</t>
  </si>
  <si>
    <t>平民们将我视作人民的英雄。</t>
  </si>
  <si>
    <t>抚养幼童继承部族是我的责任。</t>
  </si>
  <si>
    <t>我出卖了自己的灵魂以获得知识。并希望做一些大事将其赢回来。</t>
  </si>
  <si>
    <t>残忍的海盗杀了我的船长和兄弟，抢走了我的船，只留下濒死的我。而我一定要复仇。</t>
  </si>
  <si>
    <t>我为那些无法为他们自己战斗的人而战。</t>
  </si>
  <si>
    <t>不该再有人遭受我曾经的苦难了。</t>
  </si>
  <si>
    <t>虽然我没有选择，但我还是为之前必须离开所爱之人感到悲哀。我希望在未来某一天能再次见到他们。</t>
  </si>
  <si>
    <t>我决心给家族中的领导留下深刻的印象，并借此上位。</t>
  </si>
  <si>
    <t>白龙裔属性值加成</t>
  </si>
  <si>
    <t>吉斯洋基人</t>
  </si>
  <si>
    <t>吉斯泽莱人</t>
  </si>
  <si>
    <t>低身之机敏</t>
  </si>
  <si>
    <t>先决条件：矮人或者小体型
你有这在你族群中不寻常的机敏，你获得以下好处：
你的力量或者敏捷+1，最大20
你的速度提升5尺
你获得运动或者特技之一的熟练（由你选择）。
你在你进行的脱离擒抱的力量（运动）或者敏捷（特技）的检定上获得优势。</t>
  </si>
  <si>
    <t>爬梯_10尺</t>
  </si>
  <si>
    <t>0.1gp</t>
  </si>
  <si>
    <t>黄铜龙裔属性值加成</t>
  </si>
  <si>
    <t>木精灵魔法</t>
  </si>
  <si>
    <t>先决条件：木精灵
你学会由你的族人保护和尊敬的原初之木的魔法。你学会一种任选的德鲁伊戏法，你同时学会大步奔行和行迹无踪法术。你可以释放他们各一次而不消耗法术位，直到一次长休或者短休，你才可以再次通过此能力施法。这三个法术的施法关键属性是感知。</t>
  </si>
  <si>
    <t>油灯</t>
  </si>
  <si>
    <t>一只油灯可以为其身边15尺半径范围提供明亮光照，以及该范围外30尺的微光光照。点亮的油灯每6小时消耗一扁瓶灯油（1品脱）。</t>
  </si>
  <si>
    <t>我评价他人十分严苛，并且对自己更加苛刻。</t>
  </si>
  <si>
    <t>我对漂亮脸蛋没有抵抗力。</t>
  </si>
  <si>
    <t>当我看到一些有价值的东西时，就会一心只想如何偷到它。</t>
  </si>
  <si>
    <t>我会不择手段的去获取声誉和名望。</t>
  </si>
  <si>
    <t>统治我故乡的暴君会一直追杀我。</t>
  </si>
  <si>
    <t>我会为了获得某些珍贵无价之物做任何事。</t>
  </si>
  <si>
    <t>我现在重返文明世界，却有点过度沉溺于享乐。</t>
  </si>
  <si>
    <t>我暗自认为自己比所有人都高贵。</t>
  </si>
  <si>
    <t>我过度痴迷于麦酒、葡萄酒等醉人之物。</t>
  </si>
  <si>
    <t>以知识许诺很容易打动我。</t>
  </si>
  <si>
    <t>我遵守命令，哪怕是那些并不正确的命令。</t>
  </si>
  <si>
    <t>我们曾在战场上面对的凶暴的敌人依然会令我恐惧的发抖。</t>
  </si>
  <si>
    <t>如果敌人人多势众，我就会在打斗时溜走。</t>
  </si>
  <si>
    <t>我背地里（或者明面上就）觉得我家乡的文化风俗比这片外国土地要好的多。</t>
  </si>
  <si>
    <t>我过分注重遵循既定的程度和协议。</t>
  </si>
  <si>
    <t>赤铜龙裔属性值加成</t>
  </si>
  <si>
    <t>奇械学徒</t>
  </si>
  <si>
    <t>你已习得些许奇械师的创造力。
·你从奇械师法术列表中选择并习得一个戏法。此外，你从该法术列表中选择并习得一个一环法术。智力是你施展这些法术的施法关键属性。
·你可以在不消耗法术位的情况下施展一次来自此专长的一环法术。你必须在完成一次长休后才能再次这样做。你也可以正常消耗法术位来施展该法术。
·你获得你所选的一项工匠工具熟练，并且你可以将该工具作为施展任何以智力为施法关键属性的法术的法器。</t>
  </si>
  <si>
    <t>牛眼提灯</t>
  </si>
  <si>
    <t>一盏牛眼提灯可以为前方60尺的锥状区域提供明亮光照，以及该范围外60尺的微光光照。点亮的牛眼提灯每6小时消耗一扁瓶的灯油（1品脱）。</t>
  </si>
  <si>
    <t>我过于信任那些在我神庙的阶级中控制权势的人。</t>
  </si>
  <si>
    <t>我总是欠债，并且把不义之财花在奢侈品上，还花得比赚得快。</t>
  </si>
  <si>
    <t>在面对金钱与朋友间的抉择时，我通常都选择金钱。</t>
  </si>
  <si>
    <t>我对漂亮脸蛋非常着迷。</t>
  </si>
  <si>
    <t>我深信命运的征兆，以至于看不清自己的不足或是失败的可能性。</t>
  </si>
  <si>
    <t>我常常很急躁地认定某人正在骗我。</t>
  </si>
  <si>
    <t>我怀有即使是苦修和冥想也无法抹消的阴暗、嗜血之心。</t>
  </si>
  <si>
    <t>我努力遮掩一个会永远摧毁家族的可耻秘密。</t>
  </si>
  <si>
    <t>繁忙充实的生活里没有谨慎的余地。</t>
  </si>
  <si>
    <t>一般人看到恶魔时会尖叫着逃跑，而我则会停下来对它作解剖和记录。</t>
  </si>
  <si>
    <t>我会绞尽脑汁避免额外劳动。</t>
  </si>
  <si>
    <t>除那些久经沙场的武士外，任何人都不值得我尊重。</t>
  </si>
  <si>
    <t>我觉得金子很值钱，因此我会不择手段赚很多金子。</t>
  </si>
  <si>
    <t>为了不想和这些当地人交流，我假装不懂这些人当地的语言。</t>
  </si>
  <si>
    <t>我痴迷于阴谋论，担心秘密组织和隐藏起来的恶魔会有所动作。</t>
  </si>
  <si>
    <t>青铜龙裔属性值加成</t>
  </si>
  <si>
    <t>大厨</t>
  </si>
  <si>
    <t>花费在专研厨艺上的工夫已然有了回报，使你获得了以下增益：
·你的体质或感知增加1，上限为20。
·你获得厨师工具的熟练项，如果你还没有的话。
·作为短休的一部分，只要你手上有原料和厨师工具，你便可以烹饪特制料理。你可以为特定数量的生物准备这种食物，其数量等同于4+你的熟练加值。在本次短休结束时，任何食用了料理并且花费了一个或更多生命骰来恢复生命值的生物恢复额外1d8点生命值。
·在花费一小时精心制作后，或者在完成一次长休时，你可以制作等同于你熟练加值个数的餐点。这些餐点在制作完成后持续八小时。任何食用餐点的生物都能获得等同于你熟练加值的临时生命值。</t>
  </si>
  <si>
    <t>附盖提灯</t>
  </si>
  <si>
    <t>一盏附盖提灯可以为其身边30尺半径范围提供明亮光照，以及该范围外30尺的微光光照。点亮的提灯每6小时消耗一扁瓶的灯油（1品脱）。你可以使用一个动作放下盖子，使其光照减弱为5尺范围的微光照明。</t>
  </si>
  <si>
    <t>我的虔诚有时令我盲目信任那些声称与我信仰相同的人。</t>
  </si>
  <si>
    <t>我确信没人能用我骗人的方式骗到我。</t>
  </si>
  <si>
    <t>每当要记住某个计划时，我总会忘掉。就是无法忘掉，我也会选择性无视它。</t>
  </si>
  <si>
    <t>某个丑闻让我背井离乡。而这麻烦依然如影随形。</t>
  </si>
  <si>
    <t>自幼认识我的人知道我羞耻的秘密，所以我再也不能回家了。</t>
  </si>
  <si>
    <t>应当没人知道我曾经从公会金库里偷过钱。</t>
  </si>
  <si>
    <t>我的想法和哲学观非常死板。</t>
  </si>
  <si>
    <t>我总会听到针对我的隐晦侮辱与威胁，且轻易就会因此而发怒。</t>
  </si>
  <si>
    <t>我会记住每次侮辱，并对委屈我的人报以无声的怨恨。</t>
  </si>
  <si>
    <t>揭示一项远古奥秘值得以一整个文明作代价。</t>
  </si>
  <si>
    <t>一旦有人质疑惑我的勇气，我就什么都敢干。</t>
  </si>
  <si>
    <t>我曾在战场上犯了一个严重的错并为此伤害了许多生命——而我为了能守住这个秘密愿意做任何事。</t>
  </si>
  <si>
    <t>我从不会完全信任别人，而只相信我自己。</t>
  </si>
  <si>
    <t>我对这片土地上的新奇的令人沉醉的事物和其他趣事无法抗拒。</t>
  </si>
  <si>
    <t>我认为我的家族和血统让我比其他人更加高贵。</t>
  </si>
  <si>
    <t>机关人属性值加成</t>
  </si>
  <si>
    <t>你的体质加2，另一个由你选择的属性加1。</t>
  </si>
  <si>
    <t>析米克混生体</t>
  </si>
  <si>
    <t>粉碎者</t>
  </si>
  <si>
    <t>你擅长于碾碎敌人的技艺，你获得了以下增益：
·你的力量或体质增加1，上限为20。
·每回合一次，当你用造成钝击伤害的攻击命中一个生物时，只要目标的体型并未比你大一级以上，你就可以将目标移动五尺至一个未被占据的空间。
·当你用造成钝击伤害的攻击命中一个生物并造成重击时，直至你的下一回合开始，所有针对该生物的攻击检定具有优势。</t>
  </si>
  <si>
    <t>锁</t>
  </si>
  <si>
    <t>每把锁与一把钥匙相配套。不使用钥匙时，一个具有盗贼工具熟练项的生物可以通过一次成功的DC15敏捷检定撬开这把锁。你的DM可以决定是否能够用更高的价格购买更好的锁。</t>
  </si>
  <si>
    <t>我思想呆板僵化，不懂变通。</t>
  </si>
  <si>
    <t>我从不满足于现有的财产，而一旦涉及钱财我就会不畏风险。</t>
  </si>
  <si>
    <t>我撒谎时会故意作出某些习惯动作。</t>
  </si>
  <si>
    <t>我曾经讽刺过一个贵族，现在他仍然想要我的脑袋。而这错误我可能还会再犯。</t>
  </si>
  <si>
    <t>我对一些城里的恶习没有抵抗力，尤其是酗酒。</t>
  </si>
  <si>
    <t>我从未满足于自己所有之物，而总是欲壑难填。</t>
  </si>
  <si>
    <t>我对争论的求胜之心胜过了友谊与和睦之心。</t>
  </si>
  <si>
    <t>我总是放纵自己的肉体欲望。</t>
  </si>
  <si>
    <t>我容易信任对那些来自其他种族，部族或社群的人。</t>
  </si>
  <si>
    <t>我总是拿出极度复杂的解决方案，却忽视了那些简单易行的方法。</t>
  </si>
  <si>
    <t>我一旦开始喝酒，就根本停不下来。</t>
  </si>
  <si>
    <t>我对敌人的仇恨盲目而缺乏理性。</t>
  </si>
  <si>
    <t>与其公平决斗，我更喜欢趁人之危偷袭。</t>
  </si>
  <si>
    <t>我并不会对这片土地上的人们抱有友善的态度，因为这帮家伙与我大不相同。</t>
  </si>
  <si>
    <t>我正在隐瞒一个秘密，这个秘密可能会导致我被逐出家族。</t>
  </si>
  <si>
    <t>兽人属性值加成</t>
  </si>
  <si>
    <t>你力量加2，你的体质加1。</t>
  </si>
  <si>
    <t>魔能导师</t>
  </si>
  <si>
    <t>先决条件：施法或契约魔法特性
对神秘学的研究使你解锁了体内的秘法能量。你从邪术师职业中选择并获得一项魔能祈唤。如果该祈唤具有任何先决条件，则仅当你是一位满足该条件的邪术师时才能选择该祈唤。
当你升级时，你可以将该祈唤更换为邪术师职业中的另一个魔能祈唤。</t>
  </si>
  <si>
    <t>放大镜</t>
  </si>
  <si>
    <t>一枚用以详细观察小物件的透镜。生火时，你也可以用它代替燧石与铁片。使用放大镜聚焦光来生火需要如同阳光般明亮的光照、可用的引火物质以及约5分钟的时间来完成点燃作业。进行估价或是检查某个细小或具有精细细节物件时所作的属性检定可以使用放大镜来获得优势。</t>
  </si>
  <si>
    <t>我会怀疑陌生人并将他们想成最坏的情况。</t>
  </si>
  <si>
    <t>我会按捺不住冲动去欺骗远比自己强的人。</t>
  </si>
  <si>
    <t>当事情看起来似乎开始糟糕时，我会转身掉头就跑。</t>
  </si>
  <si>
    <t>我总是忍不住道出自己的真实感受。而我的刻薄言辞也经常带给我麻烦。</t>
  </si>
  <si>
    <t>我暗地里会觉得，如果我是那个统领这片土地的暴君所有事情肯定会更好。</t>
  </si>
  <si>
    <t>我极度渴望贵族头衔。</t>
  </si>
  <si>
    <t>我为了追求失落的知识而不顾任何风险。</t>
  </si>
  <si>
    <t>事实上，世界就是围着我转的。</t>
  </si>
  <si>
    <t>大多时候我会选择用暴力克服难题。</t>
  </si>
  <si>
    <t>我说话时未真正考虑过自己的措辞，因而老是冒犯到他人。</t>
  </si>
  <si>
    <t>我会忍不住收集遇到的各种硬币或小饰品等玩意儿。</t>
  </si>
  <si>
    <t>我遵从法律，而不管其律条是否会招致不幸。</t>
  </si>
  <si>
    <t>如果我比原主人更需要某物，那我拿走就不算偷。</t>
  </si>
  <si>
    <t>我认为其他神的信徒们都是一些被欺骗蒙蔽的无辜百姓（善良），愚蠢无知的白痴（邪恶）.</t>
  </si>
  <si>
    <t>我和家族中的其他人不一样，有着坚定的宗教信仰。</t>
  </si>
  <si>
    <t>半兽人属性值加成</t>
  </si>
  <si>
    <t>精类触碰</t>
  </si>
  <si>
    <t>暴露在妖精荒野的魔法之下的经历已经改变了你，使你获得了以下增益：
·你的智力，感知或魅力提升1，上限为20。
·你习得迷踪步以及一个由你选择的一环法术。该一环法术必须是预言系或者附魔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</si>
  <si>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法师已知戏法</t>
  </si>
  <si>
    <t>术士已知戏法</t>
  </si>
  <si>
    <t>吟游诗人已知戏法</t>
  </si>
  <si>
    <t>牧师已知戏法</t>
  </si>
  <si>
    <t>德鲁伊已知戏法</t>
  </si>
  <si>
    <t>邪术师已知戏法</t>
  </si>
  <si>
    <t>奇械师已知戏法</t>
  </si>
  <si>
    <t>镣铐</t>
  </si>
  <si>
    <t>这些金属束具可以困住一只小型或中型体型的生物。解开镣铐必须成功通过一次DC20的敏捷检定。破坏镣铐则必须成功通过一次DC20的力量检定。每套镣铐配有一把对应的钥匙。不用钥匙时，一个具有盗贼工具熟练项的生物可以通过一次成功的DC15敏捷检定撬开镣铐的锁。镣铐具有15点生命值。</t>
  </si>
  <si>
    <t>一旦我选择了一个目标，就会变得执迷于它以至于因此损害自己生命中的所有其它事物。</t>
  </si>
  <si>
    <t>尽管我难以启齿且痛恨不已，但是见势不妙我会转身就逃，并且只顾把自己藏好。</t>
  </si>
  <si>
    <t>一名无辜者因我犯下的某桩罪行而进了监狱。这事我觉得挺好的。</t>
  </si>
  <si>
    <t>就算我尽了全力，我的朋友们还是认为我靠不住。</t>
  </si>
  <si>
    <t>我难以信任我的盟友。</t>
  </si>
  <si>
    <t>我妒忌任何手艺胜我一筹的人。而我无论走到哪里却都是对手环绕。</t>
  </si>
  <si>
    <t>我喜欢对一切保密，不爱与他人分享所知。</t>
  </si>
  <si>
    <t>我的言行总会为家族带来耻辱。</t>
  </si>
  <si>
    <t>我不会救那些无法自救者。物竞天择，强者生生存。</t>
  </si>
  <si>
    <t>我无法保护关乎自己或其它性命的秘密。</t>
  </si>
  <si>
    <t>我的骄傲可能会毁了自己。</t>
  </si>
  <si>
    <t>我在犯错时宁可吞掉自己的护甲也不愿承认。</t>
  </si>
  <si>
    <t>自己顾不好自己的家伙，只能算活该。</t>
  </si>
  <si>
    <t>我对这片土地上的异国美人们无法抗拒。</t>
  </si>
  <si>
    <t>我在为自己家族中的一个秘密派系工作，这个派系给了我一项机密任务。</t>
  </si>
  <si>
    <t>提夫林属性值加成</t>
  </si>
  <si>
    <t>你的智力加1，你的魅力加2。</t>
  </si>
  <si>
    <t>战斗学徒</t>
  </si>
  <si>
    <t>先决条件：军用武器熟练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</si>
  <si>
    <t>野炊工具</t>
  </si>
  <si>
    <t>一个野炊工具锡盒包括一只茶杯和一些简易餐具。盒子被夹在一起，并且其中一面能够被用作一只煎锅而另一面则可以作为一只碟子或是浅碗。</t>
  </si>
  <si>
    <t>0.2gp</t>
  </si>
  <si>
    <t>提夫林变体_剑湾属性值加成</t>
  </si>
  <si>
    <t>你的智力加1，你的敏捷加2。</t>
  </si>
  <si>
    <t>兽皮化兽者</t>
  </si>
  <si>
    <t>长牙化兽者</t>
  </si>
  <si>
    <t>迅捷化兽者</t>
  </si>
  <si>
    <t>猎食化兽者</t>
  </si>
  <si>
    <t>枪手</t>
  </si>
  <si>
    <t>你持枪时的手快眼明使你获得了以下增益：
·你的敏捷提升1，上限为20。
·你获得枪械的熟练项（见城主指南的“枪械”栏目）。
·你忽略枪械的装填属性。
·你在敌对生物５尺范围内发动远程攻击检定时，不会因此而具有劣势。</t>
  </si>
  <si>
    <t>钢面镜</t>
  </si>
  <si>
    <t>提夫林亚种_魔邓肯属性值加成</t>
  </si>
  <si>
    <t>去找你的祖先去</t>
  </si>
  <si>
    <t>超魔法导师</t>
  </si>
  <si>
    <t>先决条件：施法或契约魔法特性
你习得如何往你的法术上施加你的意志，从而改变它们的功能。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·你获得2点术法点，用于施展超魔法（这些术法点和任何其他来源的术法点叠加，但只能用于超魔法）。你在完成长休后重获所有已消耗的术法点。</t>
  </si>
  <si>
    <t>灯油_扁瓶</t>
  </si>
  <si>
    <t>灯油通常装在一个1品脱大小的陶土扁瓶中。你可以用一个动作将扁瓶中的灯油泼溅到你身边5尺范围内的一个生物身上，或是将扁瓶投到至多20尺远的地方，并利用冲击打破它。两种情况都可以视为对一个生物或物件发动一次远程攻击，并将灯油视为一件临时武器。命中时，目标被灯油洒满全身。如果目标在灯油挥发前（1分钟后）受到任何火焰伤害，则目标因燃烧的灯油受到额外5点火焰伤害。你还可以将一扁瓶灯油泼在地面上，以覆盖一块边长5尺且保持水平的方形区域。点燃该区域后，灯油将持续燃烧2轮，并对任何进入该区域或在该区域结束其回合的生物造成5点火焰伤害。同一生物每回合只受该伤害作用一次。</t>
  </si>
  <si>
    <t>洞悉，宗教</t>
  </si>
  <si>
    <t>欺瞒，巧手</t>
  </si>
  <si>
    <t>欺瞒，隐匿</t>
  </si>
  <si>
    <t>特技，表演</t>
  </si>
  <si>
    <t>驯兽，求生</t>
  </si>
  <si>
    <t>洞悉、游说</t>
  </si>
  <si>
    <t>医药，宗教</t>
  </si>
  <si>
    <t>历史，游说</t>
  </si>
  <si>
    <t>运动，求生</t>
  </si>
  <si>
    <t>奥秘，历史</t>
  </si>
  <si>
    <t>运动，察觉</t>
  </si>
  <si>
    <t>运动，威吓</t>
  </si>
  <si>
    <t>巧手，隐匿</t>
  </si>
  <si>
    <t>运动，洞悉</t>
  </si>
  <si>
    <t>历史，洞悉</t>
  </si>
  <si>
    <t>历史，从奥秘，自然和宗教中选择一个</t>
  </si>
  <si>
    <t>洞悉，游说</t>
  </si>
  <si>
    <t>洞悉，一种自选的作为适合你组织的智力、感知、魅力技能</t>
  </si>
  <si>
    <t>洞悉，察觉</t>
  </si>
  <si>
    <t>生存，从奥秘，历史，宗教中选择一个</t>
  </si>
  <si>
    <t>游说，从奥秘，历史和宗教中适合你教团的技能选择一个</t>
  </si>
  <si>
    <t>运动，游说</t>
  </si>
  <si>
    <t>从欺瞒、洞悉、游说、隐匿中选择两项</t>
  </si>
  <si>
    <t>调查，游说</t>
  </si>
  <si>
    <t>守护阿斯莫属性值加成</t>
  </si>
  <si>
    <t>你的魅力加2，你的感知加1。</t>
  </si>
  <si>
    <t>穿刺者</t>
  </si>
  <si>
    <t>你已经可以在战斗中造成精准的穿刺。你获得以下好处：
·你的力量或敏捷提升1，上限为20。
·每回合一次，当你用造成穿刺伤害的攻击命中一个生物时，你可以重投其中一个伤害骰。你必须使用重投的结果。
·当你用造成穿刺伤害的攻击命中一个生物并且造成重击时，你可以在计算重击伤害时投一个额外的伤害骰。</t>
  </si>
  <si>
    <t>纸_每张</t>
  </si>
  <si>
    <t>天罚阿斯莫属性值加成</t>
  </si>
  <si>
    <t>你的魅力加2，你的体质加1。</t>
  </si>
  <si>
    <t>狮族</t>
  </si>
  <si>
    <t>毒师</t>
  </si>
  <si>
    <t>你可以准备并使用致命的毒药。你获得以下好处：
·当你投造成毒素伤害的伤害骰时，无视目标的伤害抗性。
·你可以以一个附赠动作为一把武器或一枚弹药涂毒，而不是一个动作。
·你获得制毒工具的熟练项，如果你还没有的话。花费一小时使用制毒工具进行制作后，并且消耗价值50gp的材料后，你可以制造一定数量的猛毒，其数量等同于你的熟练加值。当被用于一把武器或一枚弹药后，猛毒的毒性持续一分钟或直至你用该武器或弹药攻击命中后。当一个生物受到来自涂毒武器或弹药的伤害后，该生物必须成功通过DC14的体质豁免，否则将受到2d8毒素伤害并陷入中毒状态，直至你的下回合结束。</t>
  </si>
  <si>
    <t>羊皮纸_每张</t>
  </si>
  <si>
    <t>易容工具，文书伪造工具</t>
  </si>
  <si>
    <t>一种赌具，盗贼工具。</t>
  </si>
  <si>
    <t>易容工具，一种乐器</t>
  </si>
  <si>
    <t>一种工匠工具，载具（陆运）。</t>
  </si>
  <si>
    <t>一种工匠工具</t>
  </si>
  <si>
    <t>一种工匠工具（你可以用领航工具的熟练项，或者掌握额外一门外语来替换工匠工具的熟练项）</t>
  </si>
  <si>
    <t>草药工具</t>
  </si>
  <si>
    <t>一种赌具</t>
  </si>
  <si>
    <t>一种乐器</t>
  </si>
  <si>
    <t>领航工具，载具（水运）</t>
  </si>
  <si>
    <t>一种赌具，载具（陆运）。</t>
  </si>
  <si>
    <t>易容工具，盗贼工具</t>
  </si>
  <si>
    <t>一种自选的匠人工具</t>
  </si>
  <si>
    <t>任何一项音乐或是赌博工具，当做是你故乡本土的东西。</t>
  </si>
  <si>
    <t>从游戏组或乐器中选择一个</t>
  </si>
  <si>
    <t>一种游戏组或乐器</t>
  </si>
  <si>
    <t>一种赌具，载具（陆运）</t>
  </si>
  <si>
    <t>从一种赌具、一种乐器和盗贼工具中选择两项</t>
  </si>
  <si>
    <t>一种乐器或工匠工具</t>
  </si>
  <si>
    <t>一种赌具或一种乐器</t>
  </si>
  <si>
    <t>两种，视家族决定：
·卡尼斯：炼金工具和修补工具
·邓奈斯：一种赌博工具和载具（陆运）
·伽兰达：酿酒工具和厨师工具
·乔拉斯克：炼金工具和草药工具
·昆达拉克：修补工具和盗贼工具
·林兰德：载具（空运/海运）和领航工具
·梅丹尼：盗贼工具和易容工具
·欧瑞恩：载具（陆运）和一种赌博工具
·费奥兰：易容工具和一种乐器
·西维斯：书法工具和文书伪造工具
·萨拉释克：领航工具和一种赌博工具
·索兰尼：制毒工具和一种乐器
·瓦塔利斯：载具（陆运）和草药工具</t>
  </si>
  <si>
    <t>堕落阿斯莫属性值加成</t>
  </si>
  <si>
    <t>你的魅力加2，你的力量加1。</t>
  </si>
  <si>
    <t>半羊人</t>
  </si>
  <si>
    <t>影界触碰</t>
  </si>
  <si>
    <t>暴露在堕影冥界的魔法之下的经历已经改变了你，使你获得了以下增益：
·你的智力，感知或魅力提升1，上限为20。
·你习得隐身术以及一个由你选择的一环法术。该一环法术必须是幻术系或死灵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</si>
  <si>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香水_小瓶</t>
  </si>
  <si>
    <t>森林侏儒属性值加成</t>
  </si>
  <si>
    <t>你的智力加2，你的敏捷加1。</t>
  </si>
  <si>
    <t>技艺专家</t>
  </si>
  <si>
    <t>你已磨练了自身的特定技艺，并获得了以下好处：
·你选择一项属性提升1，上限为20.
·你选择并获得一项技能的熟练项。
·选择一项你熟练的技能，你获得该技能的专精，可以将两倍的熟练加值加到使用该技能进行的属性检定上。你选择的技能必须未受益于其他使熟练加值翻倍的特性，例如专精特性。</t>
  </si>
  <si>
    <t>矿工镐</t>
  </si>
  <si>
    <t>任选两门语言</t>
  </si>
  <si>
    <t>一门自选语言</t>
  </si>
  <si>
    <t>自选一门语言</t>
  </si>
  <si>
    <t>自选两门语言</t>
  </si>
  <si>
    <t>两种由你选择的语言</t>
  </si>
  <si>
    <t>矮人语或者如果你已经熟悉矮人语了就自选一种语言</t>
  </si>
  <si>
    <t>你选择的两种语言</t>
  </si>
  <si>
    <t>两种你选择的语言</t>
  </si>
  <si>
    <t>两种自选语言</t>
  </si>
  <si>
    <t>任意一种你选择的语言</t>
  </si>
  <si>
    <t>一种你选择的语言</t>
  </si>
  <si>
    <t>岩侏儒属性值加成</t>
  </si>
  <si>
    <t>你的智力加2，你的体质加1。</t>
  </si>
  <si>
    <t>劈砍者</t>
  </si>
  <si>
    <t>你已熟知该砍向何处以造成最重的伤害。你获得以下好处：
·你的力量或敏捷提升1，上限为20。
·每回合一次，当你用造成挥砍伤害的攻击命中一个生物时，你可以使其速度降低10尺，直到你的下回合开始。
·当你用造成挥砍伤害的攻击命中一个生物并造成重击时，你将其重伤，使其所作的攻击检定具有劣势，直至你的下回合开始。</t>
  </si>
  <si>
    <t>岩钉</t>
  </si>
  <si>
    <t>地底侏儒_魔邓肯属性值加成</t>
  </si>
  <si>
    <t>念动力</t>
  </si>
  <si>
    <t>你习得用你的意念移动物体的能力。你获得以下好处：
·你的智力，感知或魅力提升1，上限为20。
·你习得法师之手戏法，你施展它无需语言构材或材料构材，并且你可以让该幽灵手隐形。如果你已经习得该戏法，你施展该戏法时其施法距离提升30尺。该戏法的施法关键属性是你由此专长提升的属性。
·以一个附赠动作，你可以尝试以念动力推撞30尺内的一个你可见的生物。当你这样做时，目标必须成功通过一次力量豁免（DC为8+你的熟练加值+你由此专长提升的属性的属性调整值）否则将被你拉近或推离五尺。目标生物可以自愿放弃豁免。</t>
  </si>
  <si>
    <t>基础毒药_小瓶</t>
  </si>
  <si>
    <t>你可以用一个动作将小瓶中的毒药涂于一把挥砍或穿刺武器上，或者涂在至多三发弹药上。涂毒武器或弹药命中时，被命中生物必须进行一次DC10的体质豁免，豁免失败则受到1d4的毒素伤害。涂毒后，武器的毒性效果可以维持1分钟。</t>
  </si>
  <si>
    <t>一枚圣徽（出任神职时的礼物），一本祷告经书或经轮，5根熏香，祭袍，一套普通服装，以及一个装着15gp的小包。</t>
  </si>
  <si>
    <t>一套高档服装，一套易容工具，一些你自选的行骗道具（十个装满五颜六色液体的塞口瓶子，一套作弊骰子，一套暗号纸牌，或者一枚捏造的公爵玺戒），以及一个装有 15gp的小包</t>
  </si>
  <si>
    <t>一根撬棍，一套带兜帽的深色普通服装，一套普通服装，以及一个装有 15gp 的小包</t>
  </si>
  <si>
    <t>一种乐器（由你选择），倾慕者的信物（情书、一缕头发或者饰品），一套表演服装，以及一个装有 15gp 的小包</t>
  </si>
  <si>
    <t>一种乐器（你可以将装备选择中的乐器替换为不昂贵且不常见的武器，比如三叉戟或捕网。），倾慕者的信物（情书、一缕头发或者饰品），一套表演服装，以及一个装有 15gp 的小包</t>
  </si>
  <si>
    <t>一套工匠工具（由你选择），一把铲子，一个铁壶，一套普通服装，以及一个装有 10gp 的小包</t>
  </si>
  <si>
    <t>一套工匠工具（由你选择），一封公会的介绍信，一套旅行者服装，以及一个装有 15gp 的小包</t>
  </si>
  <si>
    <t>一套工匠工具（你可以用一头骡子或者一辆二轮货车代替起始工具中的工匠工具。），一封公会的介绍信，一套旅行者服装，以及一个装有 15gp 的小包</t>
  </si>
  <si>
    <t>一个卷轴匣，用来装纳研究成果和祈祷词的笔记，一张冬用毯子，一套普通服装，一套草药工具，以及 5gp</t>
  </si>
  <si>
    <t>一套高档服装，一枚玺戒，一张血统证书卷轴，以及一个装有 25gp 的钱袋</t>
  </si>
  <si>
    <t>一根手杖，一副狩猎陷阱，一件来自你手刃的动物身上的战利品，一套旅行者服装，以及一个装有 10gp 的小包</t>
  </si>
  <si>
    <t>一瓶黑墨水，一根羽毛笔，一把小刀，一封去世同事信件其内载有你尚不能解答的问题，一套普通服装，以及一个装有 10gp 的小包</t>
  </si>
  <si>
    <t>一根挽缆栓（短棒），50 尺丝绳，兔脚或穿孔小石头一类的护身符（或从第5章的饰品列表中掷骰决定），一套普通服装，以及一个装有 10gp 的小包</t>
  </si>
  <si>
    <t>一枚军衔徽记，一件从某个倒下的敌人身上得到的战利品（一把匕首，毁坏的武器或是军旗碎片），一套骨骰或一组纸牌，一套普通服装，以及一个装有 10gp 的小包</t>
  </si>
  <si>
    <t>一把小刀，一张你所成长城市的地图，一只宠物鼠，一件纪念你父母的纪念品，一套普通服装和一个装有 10gp 的小包</t>
  </si>
  <si>
    <t>一件你所在组织的标示你军衔的制服，一个用来召唤帮手的号角，一副手铐，一个装有10金币的袋子</t>
  </si>
  <si>
    <t>一种你所熟练的匠人工具，一个用来标示出你是从哪个宗族学习何种手工技艺的徽记，一件旅行者衣服，一个有5gp的小包和一块价值10gp的宝石。</t>
  </si>
  <si>
    <t>代表你学院的学者长袍，一份书写工具（一个装着羽毛笔，墨水，折叠起来的羊皮纸，一把小拆信刀），一本从学院中借出阅读的书籍和一个装着10gp的小包。</t>
  </si>
  <si>
    <t>一套华丽的服装和一个装有5gp的小包</t>
  </si>
  <si>
    <t>一个标示你所属组织的徽章或标志。一份你们组织文件的手抄本（或一份你们组织使用的密文本），一套普通衣服，一个装有15gp的小包。</t>
  </si>
  <si>
    <t>旅行者衣服，一项你熟练的音乐或者赌博工具，来自你故乡的一张精密度很差的费伦地图用以标记出你在何处，一小片价值10GP来自你家乡技艺制作的珠宝，和一个5gp的小包。</t>
  </si>
  <si>
    <t>你继承的遗产，一套旅行衣服，任何你所熟练的物品，装着15GP的小包。</t>
  </si>
  <si>
    <t>一件旅行衣服，一个徽记，代表你骑士团或是教团等级的旗帜或是印章，一个装有10GP的袋子。</t>
  </si>
  <si>
    <t>所属兵团的制服（质量等同于旅行者服装），一块对应你军阶的勋章，你自选的一套赌局，装着你的上次军饷的小包（10gp）</t>
  </si>
  <si>
    <t>适合你执勤用的一套服装和一个装着 20gp 的小包</t>
  </si>
  <si>
    <t>狩猎陷阱，标志你忠于乌特加和你部族之图腾的图腾标志或一组纹身，一套旅行者服装和一个装着 10gp 的小袋。</t>
  </si>
  <si>
    <t>一套高档服装，一枚玺戒或胸针，一份族谱，一皮袋的高档 “兹沙 zzar ” 或红酒，以及一个装有 20gp 的小包</t>
  </si>
  <si>
    <t>一套高档服装，一枚家徽玺戒，一份身份证明和一个装有20枚金币的钱包。</t>
  </si>
  <si>
    <t>熊地精属性值加成</t>
  </si>
  <si>
    <t>心电感应</t>
  </si>
  <si>
    <t>你觉醒了用意念与其他生物交流的能力。你获得以下好处：
·你的智力，感知或魅力提升1，上限为20。
·你可以和60尺内任何你可见的生物用心灵感应进行交流。你的心电沟通以一种你已知的语言的形式进行，该生物必须懂得该语言才能理解你。你的主动沟通并未给予该生物以心灵感应的形式回复你的能力。
·你可以施展侦测思想法术，无需法术位和构材。以此法施法后，你在完成一次长休前不能再这样做。该法术的施法关键属性是你由此专长提升的属性。如果你拥有二环或更高的法术位，你可以消耗这些法术位施展该法术。</t>
  </si>
  <si>
    <t>O</t>
  </si>
  <si>
    <t>长杆_10尺</t>
  </si>
  <si>
    <t>地精属性值加成</t>
  </si>
  <si>
    <t>◎</t>
  </si>
  <si>
    <t>铁壶</t>
  </si>
  <si>
    <t>你可以从附录B的表格中选择某名神祇、某个神系或其他类神存在，也可以直接由你的DM进行介绍选择。</t>
  </si>
  <si>
    <t>偏好骗局Favorite Schemes
   每个骗子都有比较偏爱的骗局手法。选择一个偏好骗局，或者掷骰随机决定。
d6 骗局
1  我在博弈游戏中作弊。
2  我造假币或者伪造文件。
3  我渗透进他人生活中，掌握其把柄，夺取他其财产。
4  我像换衣服一样换身份。
5  我在街角靠巧手耍把戏。
6  我说服别人花一大笔辛苦钱买不值钱的垃圾。</t>
  </si>
  <si>
    <t>作案手法Criminal Specialty
    违法犯罪的行为五花八门，而在盗贼公会或类似的犯罪组织中，每个成员也有着不同的专职分工。即便是那些游离于组织之外的罪犯，也会对某些特定的罪行更为偏爱。选择你在犯罪生涯中扮演的角色，或者依据下列表格进行随机投骰。
d8  手法
1 敲诈犯Blackmail
2 盗窃犯Burglar
3 斗殴犯Enforcer
4 销赃犯Fence
5 路匪Highway robber
6 职业杀手Hired killer
7 扒窃犯Pickpocket
8 走私犯Smuggle</t>
  </si>
  <si>
    <t>演艺方向Entertainer Routines
    优秀的艺人应当多才多艺，并且能够在一次表演中以多种不同套路娱乐观众。自选一到三种套路或掷骰随机决定你作为艺人的技艺。
d10  演艺方向
1 演员Actor
2 舞者Dancer
3 吞火艺人Fire-eater 
4 小丑Jester
5 魔术师Juggler
6 乐师Instrumentalist
7 诗人Poet
8 歌手Singer
9 说书人Storyteller
10 杂技演员Tumbler</t>
  </si>
  <si>
    <t>命定事件Defining Event
    从前你与民众一同从事某一项单纯的专职工作，你的可能是专职的农民，矿工，仆役，牧羊人，伐木工或是掘墓人等。但是由于某件事的发生，你便走上了一条不同的道路并标志着你此后的追求将更加伟大。选择或投骰随机决定一个命定事件以标志着你成为人们心中英雄的时机。
d10  命定事件
1 我挺身而出反抗某位暴君的代理人。
2 我在一起自然灾害中救了人。
3 我独自一人对抗一只可怕的怪物。
4 我偷窃了一名腐败商人的钱财再用来帮助穷人。
5 我领导一支民兵击退了一支入侵的军队。
6 我闯进某位暴君的城堡，并从中偷取武器武装民众。
7 我训练农民们以农具作武器抵抗某位暴君的士兵们。
8 为反对一项不公法令，我发起了一场象征性的抗议活动，随后当地领主就将其废止了。
9 一只天界生物，精类生物或是类似的其他生物赐我予祝福，或是揭示了我的秘密血统。
10 我被招募进一位领主的军队，期间我因自己的英雄气概而受到称赞，并被提升为领导者。</t>
  </si>
  <si>
    <t>公会行当Guild Business
    通常只有那些大到足以支持许多同行工匠的城市才能发展出公会。当然，你的公会也可能是一个较大国度中，将分散在不同村镇中的工匠们联系起来的松散网络。与DM一起决定你所在公会的类型。你可以从表中选择或掷骰随机决定你的公会行当。
d20  公会行当
1 炼金师alchemists、药剂师apothecaries
2 盔甲工匠armorers、锁匠locksmiths、镀金师finesmiths
3 酿酒师brewers、蒸馏师distillers、葡萄酒商vintners
4 抄写员calligraphers、书记员scribes、公证人scriveners
5 木匠carpenters、盖顶匠roofers、泥水匠plasterers
6 绘图员cartographers、测量员surveyors、制表员chart-makers
7 补鞋匠cobblers、制鞋匠shoemakers
8 厨师cooks、烘焙师bakers
9 玻璃吹制师glassblowers、玻璃装配师glaziers
10 珠宝匠jewlers、宝石切割师gemcutters
11 皮匠leatherworkers、剥皮师skinners、制革师tanners
12 泥瓦匠masons、石匠stonecutters
13 漆匠painters、画师limners、纹章师sign-makers
14 陶工potters、瓦匠tile-makers
15 船木工shipwrights、修帆匠sailmakers
16 铁匠smiths、冶炼匠metal-forgers
17 修补匠tinkers、锡匠pewterers、铸造师casters
18 车厢工匠wagon-makers、轮匠wheelwrights
19 织布师weavers、染布师dyers
20 木雕师woodcarvers、桶匠coopers、弓匠bowyers
作为公会一员，你熟谙用原材料制造成品所需的技术（表现为你所拥有的特定工匠工具的熟练项），并且熟悉商贸的规则，还拥有做买卖的丰富经验。你需要抉择的是彻底放弃你的家底前去冒险，还是下十二分力气同时经营好冒险和自己的行当。</t>
  </si>
  <si>
    <t>隐居生活Life of Seclusion
   为何你遗世独立，而又为何重踏尘世？你可以和DM共同商讨决定隐居的原因，也可以依下表选择或掷骰随机决定。
d8  隐居生活
1 我正在寻求灵魂的启迪。
2 我遵守修会教规，参与集体清修。
3 我因不白之冤而被流放。
4 某件事情改变我人生的大事使我弃世而去。
5 我为了能潜心于艺术、文字或音乐而去寻找一处僻静之地。
6 我要与自然沟通而远离文明世界。
7 我是一座古代遗迹或一件古代遗物的看守人。
8 我是一名追寻圣人，圣地或圣遗物的朝圣者。</t>
  </si>
  <si>
    <t>和你的DM一起为该背景讨论一个合适的头衔，以及头衔所代表的权力。贵族的头衔并非只是孤立的概念，而是必须联系起一整个家族。无论你持有什么头衔，都有责任将其传给子孙后代。你不只要决定头衔为何，更要和DM一起设计你的家族以及家族对你的影响。
你的家族是古老而稳固，还是于近日刚刚踏入贵族圈？家族的影响力有多大，占据哪块地盘？家族在邻居贵族间名声如何？平民百姓又是如何看待他们的？
你在家族中的地位如何？你是否属于家族头领的子嗣？你对继承头衔的义务感想如何？或者你和继承权相去甚远，以至于除非你给家族蒙羞，否则根本无人在乎？家族头领对你冒险生涯的看法如何？你的家族成员是乐于与你相处，还是唯恐避之不及？
你的家族是否拥有盾徽？你是否需要佩戴家族的玺戒？是否需要穿着特定色系的服装？是否有一种被你的家族血脉视为象征的动物，其甚至会被视为心灵上的家族成员？
这些细节能帮助你设计相应的家族和头衔，并将其融入战役所在的世界设定中。</t>
  </si>
  <si>
    <t>出身Origin
    你曾到达过全然陌生的地方，见识过他人未曾探索过的事物。你可以设定一些曾经造访过的遥远地区，以及这些经过如何影响了你。你可以参考下表掷骰随机决定自己身处荒野时如何维持生计，或者你也可以自选一项最适合选项。
d10  出身
1 护林员forester
2 设阱捕兽者trapper
3 自耕农homesteader
4 向导guide
5 流放者exile or outcast
6 赏金猎人bounty hunter
7 朝圣者pilgrim
8 游牧蛮族tribal nomad
9 狩猎采集者hunter-gatherer
10 劫掠蛮族tribal marauder</t>
  </si>
  <si>
    <t>专业Specialty
   为决定你的学术积累的性质，投一个d8或是从下面的表格中自行选择。
d8  专业
1 炼金师alchemist
2 占星师astronomer
3 失权威学者discredited academic
4 图书馆员librarian
5 教授professor
6 研究员researcher
7 法师学徒wizard’s apprentice
8 书记员scribe</t>
  </si>
  <si>
    <t>与DM讨论设定你曾经所驾驶的船只的相关信息。那是一艘商船、军舰，亦或是探索船、海盗船？它威名远扬，还是不为人知？它航线所至之处多还是少？它如今仍在航行，还是已经失踪，或是和上面的水手一道沉入海底？
你在船上的职位是什么——水手、船长、领航员、厨师，还是别的什么职务？船长是谁，大副又是谁？你是带着同伴们的祝福离舰，还是狼狈地从船上出逃？</t>
  </si>
  <si>
    <t>专职Specialty
   你在身为士兵的时期曾在你的小组或部队中任职一个特定的专职。参照下表投一个d8随机决定角色的专职，或是直接从表中自行选择：
d8  专职
1 军官officer
2 侦察兵scout
3 步兵infantry
4 骑兵cavalry
5 医疗师healer
6 军需官quartermaster
7 旗手standard bearer
8 后勤人员support staff（铁匠blacksmith、厨子cook等）</t>
  </si>
  <si>
    <t>你在开始冒险生涯时，身上带着一笔钱可以让你过上十几天简朴水平的安稳生活。你是如何得到这笔钱的？是什么力量让你能够冲破绝望的生活环境，尝试得到更好的生活？</t>
  </si>
  <si>
    <t>大地精属性值加成</t>
  </si>
  <si>
    <t>◒</t>
  </si>
  <si>
    <t>治疗药水</t>
  </si>
  <si>
    <t>一种红色的魔力药剂，可以使饮用者恢复2d4+2的生命值。喝药或者喂人喝药需要使用一个动作。</t>
  </si>
  <si>
    <t>幻身灵属性值加成</t>
  </si>
  <si>
    <t>你的魅力加2，此外，你选择的一个属性加1。(注：未限制魅力）</t>
  </si>
  <si>
    <t>德鲁伊等级</t>
  </si>
  <si>
    <t>小包</t>
  </si>
  <si>
    <t>一个布料或皮革制成的小包可以装20发弹丸或50发吹矢，或者其他东西。用来装施法材料成分的小包则成为材料包（详见前文）。</t>
  </si>
  <si>
    <t>元素裔属性值加成</t>
  </si>
  <si>
    <t>箭袋</t>
  </si>
  <si>
    <t>一只箭袋可以盛装20支箭。</t>
  </si>
  <si>
    <t>蜥蜴人属性值加成</t>
  </si>
  <si>
    <t>便携式攻城锤</t>
  </si>
  <si>
    <t>你可以使用一具便携式攻城锤破门。此时你破门的力量检定具有 +4加值。如果另一名角色从旁协助，则你破门的力量检定因此而具有优势。</t>
  </si>
  <si>
    <t>4gp</t>
  </si>
  <si>
    <t>半人马属性值加成</t>
  </si>
  <si>
    <t>口粮_1日份</t>
  </si>
  <si>
    <t>适合长途旅行携带的高能量干粮，包括牛肉干、干果、饼干和坚果等。</t>
  </si>
  <si>
    <t>龟人属性值加成</t>
  </si>
  <si>
    <t>长袍</t>
  </si>
  <si>
    <t>斑猫人属性值加成</t>
  </si>
  <si>
    <t>麻绳_50尺</t>
  </si>
  <si>
    <t>麻质的绳索，拥有2点生命值，且可以通过一次成功的DC17力量检定扯断。</t>
  </si>
  <si>
    <t>阿兰寇拉鹰人属性值加成</t>
  </si>
  <si>
    <t>丝绳_50尺</t>
  </si>
  <si>
    <t>丝质的绳索，拥有2点生命值，且可以通过一次成功的DC17力量检定扯断。</t>
  </si>
  <si>
    <t>纯种蛇人属性值加成</t>
  </si>
  <si>
    <t>你的魅力加2，你的智力加1。</t>
  </si>
  <si>
    <t>麻袋</t>
  </si>
  <si>
    <t>吉斯洋基人属性值加成</t>
  </si>
  <si>
    <t>你的智力加1，你的力量加2。</t>
  </si>
  <si>
    <t>商用天平</t>
  </si>
  <si>
    <t>一架天平包括一个小的衡平、一对托盘和一套共重2磅的砝码。它可以用来称量小物件的精细重量（比如稀有贵金属或贸易货物），以便估价。</t>
  </si>
  <si>
    <t>吉斯泽莱人属性值加成</t>
  </si>
  <si>
    <t>你的智力加1，你的感知加2。</t>
  </si>
  <si>
    <t>术士已知法术</t>
  </si>
  <si>
    <t>吟游诗人已知法术</t>
  </si>
  <si>
    <t>邪术士已知法术</t>
  </si>
  <si>
    <t>游侠已知法术</t>
  </si>
  <si>
    <t>封蜡</t>
  </si>
  <si>
    <t>梭螺鱼人属性值加成</t>
  </si>
  <si>
    <t>—</t>
  </si>
  <si>
    <t>铲子</t>
  </si>
  <si>
    <t>歌利亚属性值加成</t>
  </si>
  <si>
    <t>哨子</t>
  </si>
  <si>
    <t>象族属性值加成</t>
  </si>
  <si>
    <t>玺戒</t>
  </si>
  <si>
    <t>析米克混生体属性值加成</t>
  </si>
  <si>
    <t>肥皂</t>
  </si>
  <si>
    <t>维多肯属性值加成</t>
  </si>
  <si>
    <t>法术书</t>
  </si>
  <si>
    <t>硬皮封面的法术书是法师们的必须品，为方便记录法术，其通常都留有100张羊皮纸空书页。</t>
  </si>
  <si>
    <t>狗头人属性值加成</t>
  </si>
  <si>
    <t>长铁钉_10根</t>
  </si>
  <si>
    <t>离梦人属性值加成</t>
  </si>
  <si>
    <t>望远镜</t>
  </si>
  <si>
    <t>从望远镜中观察到的物品能放大其两倍大小。</t>
  </si>
  <si>
    <t>1000gp</t>
  </si>
  <si>
    <t>兽皮化兽者属性值加成</t>
  </si>
  <si>
    <t>双人帐篷</t>
  </si>
  <si>
    <t>一个简单轻便的双人帆布帐篷。</t>
  </si>
  <si>
    <t>长牙化兽者属性值加成</t>
  </si>
  <si>
    <t>火绒盒</t>
  </si>
  <si>
    <t>一个小巧的盒子里装有燧石，铁片和火绒（通常是在轻油中浸过的干布），是一种常用的生火工具。使用火绒盒点燃一支火炬（或其他燃料物质外露的物件）需要使用一个动作，而用来点燃其他物品则需要花费1分钟。</t>
  </si>
  <si>
    <t>迅捷化兽者属性值加成</t>
  </si>
  <si>
    <t>火把</t>
  </si>
  <si>
    <t>一支火炬可以为其身边20尺半径范围提供明亮光照，以及其外20尺范围的微光光照。火炬的照明效果可以持续1小时。你还可以使用一支燃烧的火炬发动一次近战攻击，命中时，该攻击可以造成1点火焰伤害。</t>
  </si>
  <si>
    <t>猎食化兽者属性值加成</t>
  </si>
  <si>
    <t>小瓶</t>
  </si>
  <si>
    <t>天狗属性值加成</t>
  </si>
  <si>
    <t>牧师等级</t>
  </si>
  <si>
    <t>水袋</t>
  </si>
  <si>
    <t>费尔伯格人属性值加成</t>
  </si>
  <si>
    <t>磨刀石</t>
  </si>
  <si>
    <t>牛头人_拉尼卡属性值加成</t>
  </si>
  <si>
    <t>你的力量加2，你的体质加1。</t>
  </si>
  <si>
    <t>炼金工具</t>
  </si>
  <si>
    <t>炼金工具可以用来制作有用的化合物，如强酸或炽火胶。</t>
  </si>
  <si>
    <t>牛头人_塞洛斯属性值加成</t>
  </si>
  <si>
    <t>酿酒工具</t>
  </si>
  <si>
    <t>酿酒即是酿造酒精饮料。除了酿酒以外，这套程序还能用于蒸馏淡水。麦酒的发酵需要等待好几周时间，但酿造工作只需要几个小时。</t>
  </si>
  <si>
    <t>半羊人属性值加成</t>
  </si>
  <si>
    <t>你的魅力加2，你的敏捷加1。</t>
  </si>
  <si>
    <t>书法工具</t>
  </si>
  <si>
    <t>书法将写字升华为富有美感的艺术形式。</t>
  </si>
  <si>
    <t>狮族属性值加成</t>
  </si>
  <si>
    <t>木匠工具</t>
  </si>
  <si>
    <t>木工技能允许角色打造木结构的物品。木匠可以建造房屋、棚屋、木制橱柜或类似的物品。</t>
  </si>
  <si>
    <t>8gp</t>
  </si>
  <si>
    <t>请在角色界面选择种族与亚种</t>
  </si>
  <si>
    <t>制图工具</t>
  </si>
  <si>
    <t>使用制图工具，您可以创建精确的地图做旅行为自己和那些来找你更容易。这些地图可以从山脉的大规模描述到显示地下城平面布局的图表。</t>
  </si>
  <si>
    <t>鞋匠工具</t>
  </si>
  <si>
    <t>虽然鞋匠的生意对冒险者来说似乎太卑微了，但一双好鞋子却能在崎岖的荒野和致命的地牢帮上大忙。</t>
  </si>
  <si>
    <t>厨师工具</t>
  </si>
  <si>
    <t>冒险可是个辛苦活儿。如果能和一位厨师一起旅行，你的伙食可比整天啃饼干嚼果脯好多了。</t>
  </si>
  <si>
    <t>玻璃匠工具</t>
  </si>
  <si>
    <t>具有玻璃匠工具熟练项的人不仅知道如何将玻璃吹制成形，还懂得生产玻璃制品的专业知识。</t>
  </si>
  <si>
    <t>珠宝匠工具</t>
  </si>
  <si>
    <t>珠宝匠工具的培训包括加工珠宝的基本技术，以及鉴定宝石的专业知识。</t>
  </si>
  <si>
    <t>皮匠工具</t>
  </si>
  <si>
    <t>皮革加工的知识还包括兽皮特性、皮革盔甲和类似物品的学识。</t>
  </si>
  <si>
    <t>泥瓦匠工具</t>
  </si>
  <si>
    <t>泥瓦匠工具允许你制造石质或砖制建筑。</t>
  </si>
  <si>
    <t>画家工具</t>
  </si>
  <si>
    <t>画家工具熟练项代表了你的素描和绘画能力。你也会对艺术史有所了解，这有助于你鉴赏艺术作品。</t>
  </si>
  <si>
    <t>陶匠工具</t>
  </si>
  <si>
    <t>陶匠工具用于制造各种各样的陶器，最典型的是陶罐和类似的器皿。</t>
  </si>
  <si>
    <t>铁匠工具</t>
  </si>
  <si>
    <t>铁匠工具允许你加工金属，加热它来塑性变形、修复损坏，或者把钢锭加工成有用的物品。</t>
  </si>
  <si>
    <t>修补工具</t>
  </si>
  <si>
    <t>修补工具用于修复各种普通物件。虽然你不能用修补工具制造很多东西，但你可以缝补衣服、磨砺锋刃，或是修补好破掉的链甲。</t>
  </si>
  <si>
    <t>织布工具</t>
  </si>
  <si>
    <t>织布工具可以让你织布，并把它做成衣服。</t>
  </si>
  <si>
    <t>木雕工具</t>
  </si>
  <si>
    <t>木雕工具允许你加工负责的木制品，如木制令牌或箭杆。</t>
  </si>
  <si>
    <t>易容工具</t>
  </si>
  <si>
    <t>袋装的工具包里包含了化妆品、染发剂以及一些可以物理性的改变容貌的小道具。拥有易容工具熟练项的角色，在使用该工具进行视觉伪装的属性检定时，可以将其熟练加值加入检定结果中。</t>
  </si>
  <si>
    <t>文书伪造工具</t>
  </si>
  <si>
    <t>盒装的工具包内装着各种纸和羊皮纸、笔墨、印章、封蜡、金银叶饰，以及其他用以伪造信用文书的用品。拥有文书伪造工具熟练项的角色，在使用该工具进行伪造实物式信用文书的属性检定时，可以将其熟练加值加入检定结果中。</t>
  </si>
  <si>
    <t>游荡者等级</t>
  </si>
  <si>
    <t>整副骰子</t>
  </si>
  <si>
    <t>整套龙棋</t>
  </si>
  <si>
    <t>整副纸牌</t>
  </si>
  <si>
    <t>整副三龙牌</t>
  </si>
  <si>
    <t>一整副的工具包里包含一系列器具如钳剪、杵磨、袋子、瓶子，以供草药师制作药膏和药水。拥有草药工具熟练项的角色，在使用该工具进行鉴别或应用草药的属性检定时，可以将其熟练加值加入检定结果中。另外，你需要拥有草药工具的熟练项才可以制作抗毒剂或治疗药水potions of healing。</t>
  </si>
  <si>
    <t>3d6</t>
  </si>
  <si>
    <t>风笛</t>
  </si>
  <si>
    <t>鼓</t>
  </si>
  <si>
    <t>6gp</t>
  </si>
  <si>
    <t>4d6</t>
  </si>
  <si>
    <t>扬琴</t>
  </si>
  <si>
    <t>长笛</t>
  </si>
  <si>
    <t>5d6</t>
  </si>
  <si>
    <t>鲁特琴</t>
  </si>
  <si>
    <t>35gp</t>
  </si>
  <si>
    <t>里拉琴</t>
  </si>
  <si>
    <t>6d6</t>
  </si>
  <si>
    <t>角号</t>
  </si>
  <si>
    <t>3gp</t>
  </si>
  <si>
    <t>排箫</t>
  </si>
  <si>
    <t>12gp</t>
  </si>
  <si>
    <t>7d6</t>
  </si>
  <si>
    <t>芦笛</t>
  </si>
  <si>
    <t>提琴</t>
  </si>
  <si>
    <t>8d6</t>
  </si>
  <si>
    <t>领航工具</t>
  </si>
  <si>
    <t>一整副的领航工具被用于海上航行的导航工作。拥有领航工具熟练项的角色，在使用该工具进行绘制航线和跟随航线的属性检定时，可以将其熟练加值加入检定结果中。此外，在进行避免在海上迷失方形的属性检定时，拥有该熟练项的角色也可以将其熟练加值加入检定结果中。</t>
  </si>
  <si>
    <t>制毒工具</t>
  </si>
  <si>
    <t>一整副的工具包里包含了若干小瓶、各种化学品，以及其他用以制造毒药的必须用具。拥有制毒工具熟练项的角色，在使用该工具进行制造或使用毒药的属性检定时，可以将其熟练加值加入检定结果中。</t>
  </si>
  <si>
    <t>9d6</t>
  </si>
  <si>
    <t>盗贼工具</t>
  </si>
  <si>
    <t>整套的工具包括一把细锉刀、一套撬锁工具、一个附炳小镜、一把尖嘴剪和一把镊子。拥有盗贼工具熟练项的角色，在使用该工具进行解除陷阱或撬锁的属性检定时，可以将其熟练加值加入检定结果中。</t>
  </si>
  <si>
    <t>窃贼套装</t>
  </si>
  <si>
    <t>包括一个背包、一包1000粒的滚珠、10尺弦线、一个铃铛、五支蜡烛、一根撬棍、一把锤子、十支岩钉、一盏附盖提灯、两支扁瓶灯油、五天份口粮、一个火绒盒、和一个水袋。背包外还挂着50尺麻绳。</t>
  </si>
  <si>
    <t>优惠5gp</t>
  </si>
  <si>
    <t>10d6</t>
  </si>
  <si>
    <t>大使套装</t>
  </si>
  <si>
    <t>包括一个箱子、两个地图或卷轴匣、一套高档服装、一瓶墨水、一支墨水笔、一盏油灯、两支扁瓶灯油、五张纸、一支小瓶香水、一块封蜡和一块肥皂。</t>
  </si>
  <si>
    <t>无优惠</t>
  </si>
  <si>
    <t>地城套装</t>
  </si>
  <si>
    <t>包括一个背包、一根撬棍、一把锤子、十支岩钉、十支火把、一个火绒盒、十天份口粮和一只水袋。背包外还挂着50尺麻绳。</t>
  </si>
  <si>
    <t>邪术师等级</t>
  </si>
  <si>
    <t>艺人套装</t>
  </si>
  <si>
    <t>包括一个背包、一卷铺盖、两套表演服装、五支蜡烛、五天份口粮、一个水袋和一套易容工具。</t>
  </si>
  <si>
    <t>优惠23gp</t>
  </si>
  <si>
    <t>探索套装</t>
  </si>
  <si>
    <t>包括一个背包、一卷铺盖、一套野炊工具、一个火绒盒、十支火把、十天份口粮和一个水袋。背包外还挂着50尺麻绳。</t>
  </si>
  <si>
    <t>祭司套装</t>
  </si>
  <si>
    <t>包括一个背包、一条毯子、十支蜡烛、一个火绒盒、一个募捐盒、两块熏香、一个香炉、祭袍、两天份口粮和一只水袋。</t>
  </si>
  <si>
    <t>优惠8gp</t>
  </si>
  <si>
    <t>学者套装</t>
  </si>
  <si>
    <t>包括一个背包、一本学科书、一瓶墨水、一只墨水笔、十张羊皮纸、一小袋沙和一把小刀。</t>
  </si>
  <si>
    <t>战士等级</t>
  </si>
  <si>
    <t>圣武士等级</t>
  </si>
  <si>
    <t>游侠等级</t>
  </si>
  <si>
    <t>野蛮人等级</t>
  </si>
  <si>
    <t>奇械师等级</t>
  </si>
  <si>
    <t>购买属性值</t>
  </si>
  <si>
    <t>对应花费点数</t>
  </si>
  <si>
    <t>对应花费</t>
  </si>
  <si>
    <r>
      <rPr>
        <b/>
        <sz val="11"/>
        <color rgb="FF000000"/>
        <rFont val="宋体"/>
        <charset val="134"/>
      </rPr>
      <t xml:space="preserve">变体：自定义属性值
Variant: Customizing Ability Scores
</t>
    </r>
    <r>
      <rPr>
        <sz val="11"/>
        <color rgb="FF000000"/>
        <rFont val="宋体"/>
        <charset val="134"/>
      </rPr>
      <t>　　你的地下城主可以选择启用该变体规则，使你可以选用另一种方式分别选择你所创建角色的属性值。
　　你获得总计27点可花费的点数用于兑换各属性值，每个属性值的花费在“属性值花费点数”表中显示。例如，一个属性值14需要花费7点进行兑换。以该方式能兑换到的属性值在加入种族增益前其最值为15。而你也不能拥有低于8的属性值。
　　这种决定属性值的方式可让你得到三个相等的高数值和三个相等的低数值组成的组合（15、15、15、8、8、8），或一个平均值更高但各数值几乎相等的数值组合（13、13、13、12、12、12），或是任何这两个极端之间的数值集合。</t>
    </r>
  </si>
  <si>
    <t>可花费点数</t>
  </si>
  <si>
    <t>总计花费点数</t>
  </si>
  <si>
    <t>剩余花费点数</t>
  </si>
  <si>
    <t>一号武器</t>
  </si>
  <si>
    <t>具有熟练</t>
  </si>
  <si>
    <t>伤害加值</t>
  </si>
  <si>
    <t>二号武器</t>
  </si>
  <si>
    <t>三号武器</t>
  </si>
  <si>
    <t>更新日志</t>
  </si>
  <si>
    <t>武器工坊</t>
  </si>
  <si>
    <t>V1.6</t>
  </si>
  <si>
    <t>如果你希望通过公式来填写你的四号和五号武器，请跟随以下步骤：</t>
  </si>
  <si>
    <t>与法术大全V1.36保持同步，增加了一些新的种族选项。</t>
  </si>
  <si>
    <t>V1.61</t>
  </si>
  <si>
    <t>1、将下方的公式复制到你的四号或五号武器的攻击命中加值栏中</t>
  </si>
  <si>
    <t>重置了施法与法术大全界面的公式。</t>
  </si>
  <si>
    <t>四号武器命中公式</t>
  </si>
  <si>
    <t>V1.62</t>
  </si>
  <si>
    <t>五号武器命中公式</t>
  </si>
  <si>
    <t>加入塞洛斯拓展种族，修正浮空术与防护善恶翻译。</t>
  </si>
  <si>
    <t>2、在下方的格子里，填写四号和五号武器的额外命中加值</t>
  </si>
  <si>
    <t>V1.63</t>
  </si>
  <si>
    <t>四号武器命中加值</t>
  </si>
  <si>
    <t>修正吟游诗人与游荡者的工具遗漏。修正负重公式。术士与吟游诗人等现在会自动计算已知法术。已知戏法数量自动计算。增加新的配色——天堂辉烈焰。</t>
  </si>
  <si>
    <t>五号武器命中加值</t>
  </si>
  <si>
    <t>V1.64</t>
  </si>
  <si>
    <t>3、在下方为你的四号武器和五号武器填写伤害骰面和额外的伤害加值</t>
  </si>
  <si>
    <t>与法术大全V1.42保持同步。优化了一些名称定义。开始为种族特性半自动填写分配接口。修正了玩家手册的一些错误翻译，与玩家手册不同请以人物卡模板为准。</t>
  </si>
  <si>
    <t>四号武器伤害骰面</t>
  </si>
  <si>
    <t>四号武器伤害加值</t>
  </si>
  <si>
    <t>V1.65</t>
  </si>
  <si>
    <t>五号武器伤害骰面</t>
  </si>
  <si>
    <t>五号武器伤害加值</t>
  </si>
  <si>
    <t>修复手斧属性，更正了职业、背景的技能熟练项</t>
  </si>
  <si>
    <t>4、将下方公式复制到你的四号和五号武器的武器伤害栏里</t>
  </si>
  <si>
    <t>V1.66</t>
  </si>
  <si>
    <t>四号武器伤害公式</t>
  </si>
  <si>
    <t>修正了职业特性文本。与法术大全V1.45保持一致。选择专长【警觉】现在会让被动察觉自动+5了。加入了部分种族属性值加成的半自动提醒。</t>
  </si>
  <si>
    <t>五号武器伤害公式</t>
  </si>
  <si>
    <t>V1.67</t>
  </si>
  <si>
    <t>5、若你不熟练于这些武器，请将下方的“是”改为“否”</t>
  </si>
  <si>
    <t>增加了更多种族的属性值加成半自动提醒。与法术大全V1.46保持一致。</t>
  </si>
  <si>
    <t>是否熟练于四号武器</t>
  </si>
  <si>
    <t>V1.7</t>
  </si>
  <si>
    <t>是否熟练于五号武器</t>
  </si>
  <si>
    <t>修正了一些法术上的引用bug。加入了专精与半熟练。优化了专长“警觉”与“观察力”的自动判断。与法术大全V1.5保持一致（也就是加入了塔莎书的新法术）。</t>
  </si>
  <si>
    <t>联系作者</t>
  </si>
  <si>
    <t>为吟游诗人添加了一键万事通的自动公式，只要主职或兼职为吟游诗人且等级为2以上即可自动获得万事通效果，包括为技能自动选择半熟练标记以及自动增加先攻加值</t>
  </si>
  <si>
    <r>
      <rPr>
        <sz val="11"/>
        <color rgb="FF000000"/>
        <rFont val="宋体"/>
        <charset val="134"/>
      </rPr>
      <t xml:space="preserve">若你在使用过程中遇到了BUG，或是有更好的优化建议，可以通过以下方式联系作者以获取及时修复或更新
QQ
</t>
    </r>
    <r>
      <rPr>
        <b/>
        <sz val="11"/>
        <color rgb="FF000000"/>
        <rFont val="宋体"/>
        <charset val="134"/>
      </rPr>
      <t>太易：3137211319
超级可爱的北极熊mama：1009277896</t>
    </r>
  </si>
  <si>
    <t>为各个职业追加了自动化的职业豁免熟练公式</t>
  </si>
  <si>
    <t>为主要属性，包括主要情况和施法栏的主要属性都追加了可选下拉框，并且分拆了施法和主要情况的DC和加值部分，方便某些较为特殊的情况（兼职、天生施法等）</t>
  </si>
  <si>
    <t>以环位为依据变更了法术的下拉栏，不影响你手动输入名字填法术，但稍微容易从下拉找法术一些了</t>
  </si>
  <si>
    <t>追加了武僧和野蛮人的无甲防御自动计算公式，损坏公式右侧有备份填写至护甲AC</t>
  </si>
  <si>
    <t>自动化了中甲的最大敏捷加值，且会自动判断专长“中甲大师”而改变，你再也不需要手动输入2或者3了，</t>
  </si>
  <si>
    <t>为额外生命值项写上了丘陵矮人和专长“健壮”的自动公式，当然你也可以手动修改它来符合你的正确加值</t>
  </si>
  <si>
    <t>给自动武器读取追加了较为常见的文艺复兴火器，并优化了武器标签的排版</t>
  </si>
  <si>
    <t>加入了购点计算器</t>
  </si>
  <si>
    <t>追加了适用于非负重变体的最大载重选项，原负重状态仍旧保留于原文，选择“负重状态”即可</t>
  </si>
  <si>
    <t>V1.73</t>
  </si>
  <si>
    <t>追加了护甲的下拉栏，现在可以使用自动公式来计算基础护甲的AC了，也包括了职业无甲防御和法师护甲</t>
  </si>
  <si>
    <t>为武器部分重做了UI，现在可以直接根据使用的属性调整值来计算命中和伤害加值了，并追加了用以调整这些加值的武器调整栏</t>
  </si>
  <si>
    <t>移除了将观察力专长提供的被动调查加值直接加到调查技能的错误公式</t>
  </si>
  <si>
    <t>追加了第三兼职格子和适配公式，就在兼职格子下面，选择第三兼职后UI也会跟着改变</t>
  </si>
  <si>
    <t>把生命骰公式从只读主职改成了也读取兼职等级</t>
  </si>
  <si>
    <t>录入了塔莎专长（使用不全书的文本）</t>
  </si>
  <si>
    <t>（虽然很想把公司扩的背景和法术追进去，但是这块的内容实在是比较乱所以这个重任就交给太易了！）</t>
  </si>
  <si>
    <t>1.73fix</t>
  </si>
  <si>
    <t>紧急修复了武器伤害部分忘记加入适配武器调整栏伤害调整公式的问题</t>
  </si>
  <si>
    <r>
      <rPr>
        <sz val="11"/>
        <color rgb="FF000000"/>
        <rFont val="宋体"/>
        <charset val="134"/>
      </rPr>
      <t>适配了法术大全1.56（部分法术翻译订正、</t>
    </r>
    <r>
      <rPr>
        <b/>
        <sz val="11"/>
        <color rgb="FF000000"/>
        <rFont val="宋体"/>
        <charset val="134"/>
      </rPr>
      <t>附魔学派→惑控学派</t>
    </r>
    <r>
      <rPr>
        <sz val="11"/>
        <color rgb="FF000000"/>
        <rFont val="宋体"/>
        <charset val="134"/>
      </rPr>
      <t>）</t>
    </r>
  </si>
  <si>
    <t>增加了法术的出处筛选功能。</t>
  </si>
  <si>
    <t>施法界面沿用1.73m的页面，把控件弄成了普通表格，方便手机查看（更防止手机WPS直接爆破控件导致根本无法查看法术准备的血压事件）</t>
  </si>
  <si>
    <t>修复了之前版本中，具有熟练等状态的技能填入修正不被计算的公式错误问题</t>
  </si>
  <si>
    <t>1.75fix</t>
  </si>
  <si>
    <t>与法术大全1.7保持同步。（修复回了表对应下拉）</t>
  </si>
  <si>
    <t>体操→特技</t>
  </si>
  <si>
    <t>修复了环甲的AC错误问题（15→14）</t>
  </si>
  <si>
    <t>1.75fixx</t>
  </si>
  <si>
    <t>追加了法术环位合计法术值的功能，方便启用法术值的团务查阅</t>
  </si>
  <si>
    <t>加入了一些也许能够帮DM降低一下审卡血压的究极防呆文本，但大概仍然防不了真正的呆</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</si>
</sst>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quot;1d8+&quot;0"/>
  </numFmts>
  <fonts count="100">
    <font>
      <sz val="11"/>
      <color rgb="FF000000"/>
      <name val="宋体"/>
      <charset val="134"/>
    </font>
    <font>
      <b/>
      <sz val="12"/>
      <color rgb="FF000000"/>
      <name val="微软雅黑"/>
      <charset val="134"/>
    </font>
    <font>
      <b/>
      <sz val="11"/>
      <color rgb="FF000000"/>
      <name val="微软雅黑"/>
      <charset val="134"/>
    </font>
    <font>
      <sz val="11"/>
      <color rgb="FF000000"/>
      <name val="微软雅黑"/>
      <charset val="134"/>
    </font>
    <font>
      <b/>
      <sz val="11"/>
      <color rgb="FF000000"/>
      <name val="宋体"/>
      <charset val="134"/>
    </font>
    <font>
      <sz val="11"/>
      <color rgb="FFFFFFFF"/>
      <name val="宋体"/>
      <charset val="134"/>
    </font>
    <font>
      <b/>
      <sz val="11"/>
      <color rgb="FFFFFFFF"/>
      <name val="宋体"/>
      <charset val="134"/>
    </font>
    <font>
      <sz val="9"/>
      <color rgb="FF000000"/>
      <name val="微软雅黑"/>
      <charset val="134"/>
    </font>
    <font>
      <sz val="11"/>
      <color rgb="FF000000"/>
      <name val="仿宋"/>
      <charset val="134"/>
    </font>
    <font>
      <sz val="10"/>
      <color rgb="FF000000"/>
      <name val="宋体"/>
      <charset val="134"/>
    </font>
    <font>
      <b/>
      <sz val="12"/>
      <color rgb="FFFFFFFF"/>
      <name val="微软雅黑"/>
      <charset val="134"/>
    </font>
    <font>
      <b/>
      <sz val="11"/>
      <color rgb="FFFFFFFF"/>
      <name val="微软雅黑"/>
      <charset val="134"/>
    </font>
    <font>
      <sz val="9"/>
      <color rgb="FF0070C0"/>
      <name val="微软雅黑"/>
      <charset val="134"/>
    </font>
    <font>
      <sz val="10"/>
      <color rgb="FF000000"/>
      <name val="微软雅黑"/>
      <charset val="134"/>
    </font>
    <font>
      <sz val="10"/>
      <name val="微软雅黑"/>
      <charset val="134"/>
    </font>
    <font>
      <b/>
      <sz val="10"/>
      <color rgb="FFFFFFFF"/>
      <name val="微软雅黑"/>
      <charset val="134"/>
    </font>
    <font>
      <b/>
      <sz val="12"/>
      <color rgb="FFFFFF00"/>
      <name val="微软雅黑"/>
      <charset val="134"/>
    </font>
    <font>
      <b/>
      <sz val="11"/>
      <color rgb="FFFFFF00"/>
      <name val="宋体"/>
      <charset val="134"/>
    </font>
    <font>
      <b/>
      <sz val="11"/>
      <color rgb="FFFFFF00"/>
      <name val="微软雅黑"/>
      <charset val="134"/>
    </font>
    <font>
      <b/>
      <sz val="11"/>
      <name val="微软雅黑"/>
      <charset val="134"/>
    </font>
    <font>
      <b/>
      <sz val="10"/>
      <color rgb="FF000000"/>
      <name val="微软雅黑"/>
      <charset val="134"/>
    </font>
    <font>
      <sz val="10"/>
      <color rgb="FFBFBFBF"/>
      <name val="微软雅黑"/>
      <charset val="134"/>
    </font>
    <font>
      <sz val="11"/>
      <color rgb="FFFFFFFF"/>
      <name val="微软雅黑"/>
      <charset val="134"/>
    </font>
    <font>
      <sz val="9"/>
      <color rgb="FFFF0000"/>
      <name val="微软雅黑"/>
      <charset val="134"/>
    </font>
    <font>
      <sz val="11"/>
      <color rgb="FFFF0000"/>
      <name val="微软雅黑"/>
      <charset val="134"/>
    </font>
    <font>
      <sz val="10"/>
      <color rgb="FFFFFFFF"/>
      <name val="微软雅黑"/>
      <charset val="134"/>
    </font>
    <font>
      <sz val="9"/>
      <name val="微软雅黑"/>
      <charset val="134"/>
    </font>
    <font>
      <sz val="11"/>
      <color rgb="FF808080"/>
      <name val="微软雅黑"/>
      <charset val="134"/>
    </font>
    <font>
      <sz val="11"/>
      <name val="微软雅黑"/>
      <charset val="134"/>
    </font>
    <font>
      <sz val="10"/>
      <color rgb="FF0070C0"/>
      <name val="微软雅黑"/>
      <charset val="134"/>
    </font>
    <font>
      <sz val="9"/>
      <color rgb="FF0066CC"/>
      <name val="微软雅黑"/>
      <charset val="134"/>
    </font>
    <font>
      <sz val="9"/>
      <color rgb="FF00CCFF"/>
      <name val="微软雅黑"/>
      <charset val="134"/>
    </font>
    <font>
      <sz val="12"/>
      <color rgb="FFFFFFFF"/>
      <name val="微软雅黑"/>
      <charset val="134"/>
    </font>
    <font>
      <sz val="12"/>
      <name val="微软雅黑"/>
      <charset val="134"/>
    </font>
    <font>
      <b/>
      <sz val="12"/>
      <color rgb="FFFF0000"/>
      <name val="微软雅黑"/>
      <charset val="134"/>
    </font>
    <font>
      <sz val="10"/>
      <color rgb="FF808080"/>
      <name val="微软雅黑"/>
      <charset val="134"/>
    </font>
    <font>
      <sz val="9"/>
      <color rgb="FF808080"/>
      <name val="微软雅黑"/>
      <charset val="134"/>
    </font>
    <font>
      <sz val="10"/>
      <color rgb="FFF7F7EB"/>
      <name val="微软雅黑"/>
      <charset val="134"/>
    </font>
    <font>
      <b/>
      <sz val="12"/>
      <color rgb="FF0070C0"/>
      <name val="微软雅黑"/>
      <charset val="134"/>
    </font>
    <font>
      <b/>
      <sz val="12"/>
      <color rgb="FFCCFFFF"/>
      <name val="微软雅黑"/>
      <charset val="134"/>
    </font>
    <font>
      <b/>
      <sz val="12"/>
      <color rgb="FFB3FFB9"/>
      <name val="微软雅黑"/>
      <charset val="134"/>
    </font>
    <font>
      <b/>
      <sz val="12"/>
      <color rgb="FF993300"/>
      <name val="微软雅黑"/>
      <charset val="134"/>
    </font>
    <font>
      <b/>
      <sz val="12"/>
      <color rgb="FFFFC000"/>
      <name val="微软雅黑"/>
      <charset val="134"/>
    </font>
    <font>
      <b/>
      <sz val="10"/>
      <color rgb="FFD7E4BD"/>
      <name val="微软雅黑"/>
      <charset val="134"/>
    </font>
    <font>
      <b/>
      <sz val="12"/>
      <color rgb="FF00B0F0"/>
      <name val="微软雅黑"/>
      <charset val="134"/>
    </font>
    <font>
      <b/>
      <sz val="12"/>
      <color rgb="FFFAC090"/>
      <name val="微软雅黑"/>
      <charset val="134"/>
    </font>
    <font>
      <sz val="9"/>
      <color rgb="FFFFFFFF"/>
      <name val="微软雅黑"/>
      <charset val="134"/>
    </font>
    <font>
      <sz val="12"/>
      <color rgb="FF00CCFF"/>
      <name val="微软雅黑"/>
      <charset val="134"/>
    </font>
    <font>
      <sz val="9"/>
      <color rgb="FF00B0F0"/>
      <name val="微软雅黑"/>
      <charset val="134"/>
    </font>
    <font>
      <sz val="12"/>
      <color rgb="FFFF0000"/>
      <name val="微软雅黑"/>
      <charset val="134"/>
    </font>
    <font>
      <b/>
      <sz val="10"/>
      <color rgb="FFFF0000"/>
      <name val="微软雅黑"/>
      <charset val="134"/>
    </font>
    <font>
      <sz val="12"/>
      <color rgb="FF000000"/>
      <name val="微软雅黑"/>
      <charset val="134"/>
    </font>
    <font>
      <sz val="12"/>
      <color rgb="FF808080"/>
      <name val="微软雅黑"/>
      <charset val="134"/>
    </font>
    <font>
      <b/>
      <sz val="16"/>
      <color rgb="FFE6B9B8"/>
      <name val="微软雅黑"/>
      <charset val="134"/>
    </font>
    <font>
      <b/>
      <sz val="9"/>
      <color rgb="FFD7E4BD"/>
      <name val="微软雅黑"/>
      <charset val="134"/>
    </font>
    <font>
      <sz val="8"/>
      <color rgb="FF0070C0"/>
      <name val="微软雅黑"/>
      <charset val="134"/>
    </font>
    <font>
      <b/>
      <sz val="12"/>
      <color rgb="FF339966"/>
      <name val="微软雅黑"/>
      <charset val="134"/>
    </font>
    <font>
      <sz val="12"/>
      <color rgb="FFC0C0C0"/>
      <name val="微软雅黑"/>
      <charset val="134"/>
    </font>
    <font>
      <b/>
      <sz val="10"/>
      <name val="微软雅黑"/>
      <charset val="134"/>
    </font>
    <font>
      <b/>
      <sz val="10"/>
      <color rgb="FF376092"/>
      <name val="微软雅黑"/>
      <charset val="134"/>
    </font>
    <font>
      <sz val="16"/>
      <color rgb="FF953735"/>
      <name val="微软雅黑"/>
      <charset val="134"/>
    </font>
    <font>
      <b/>
      <sz val="16"/>
      <color rgb="FF339966"/>
      <name val="微软雅黑"/>
      <charset val="134"/>
    </font>
    <font>
      <sz val="16"/>
      <name val="微软雅黑"/>
      <charset val="134"/>
    </font>
    <font>
      <sz val="14"/>
      <name val="微软雅黑"/>
      <charset val="134"/>
    </font>
    <font>
      <b/>
      <sz val="10"/>
      <color rgb="FF00B050"/>
      <name val="微软雅黑"/>
      <charset val="134"/>
    </font>
    <font>
      <sz val="10"/>
      <color rgb="FFFF0000"/>
      <name val="微软雅黑"/>
      <charset val="134"/>
    </font>
    <font>
      <sz val="8"/>
      <name val="微软雅黑"/>
      <charset val="134"/>
    </font>
    <font>
      <b/>
      <sz val="16"/>
      <color rgb="FF376092"/>
      <name val="微软雅黑"/>
      <charset val="134"/>
    </font>
    <font>
      <b/>
      <sz val="14"/>
      <color rgb="FF993300"/>
      <name val="微软雅黑"/>
      <charset val="134"/>
    </font>
    <font>
      <sz val="9"/>
      <color rgb="FF632523"/>
      <name val="微软雅黑"/>
      <charset val="134"/>
    </font>
    <font>
      <b/>
      <sz val="11"/>
      <color rgb="FF4F81BD"/>
      <name val="微软雅黑"/>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Noto Sans CJK SC"/>
      <charset val="134"/>
    </font>
    <font>
      <b/>
      <sz val="11"/>
      <color rgb="FF000000"/>
      <name val="仿宋"/>
      <charset val="134"/>
    </font>
    <font>
      <i/>
      <sz val="11"/>
      <color rgb="FF000000"/>
      <name val="仿宋"/>
      <charset val="134"/>
    </font>
    <font>
      <b/>
      <sz val="9"/>
      <color rgb="FF0066CC"/>
      <name val="微软雅黑"/>
      <charset val="134"/>
    </font>
    <font>
      <b/>
      <sz val="9"/>
      <name val="微软雅黑"/>
      <charset val="134"/>
    </font>
    <font>
      <sz val="12"/>
      <name val="Noto Sans CJK SC"/>
      <charset val="134"/>
    </font>
    <font>
      <sz val="9"/>
      <name val="宋体"/>
      <charset val="134"/>
    </font>
    <font>
      <b/>
      <sz val="9"/>
      <name val="宋体"/>
      <charset val="134"/>
    </font>
  </fonts>
  <fills count="60">
    <fill>
      <patternFill patternType="none"/>
    </fill>
    <fill>
      <patternFill patternType="gray125"/>
    </fill>
    <fill>
      <patternFill patternType="solid">
        <fgColor rgb="FFEEECE1"/>
        <bgColor rgb="FFEBF1DE"/>
      </patternFill>
    </fill>
    <fill>
      <patternFill patternType="solid">
        <fgColor rgb="FFF2F2F2"/>
        <bgColor rgb="FFF7F7EB"/>
      </patternFill>
    </fill>
    <fill>
      <patternFill patternType="solid">
        <fgColor rgb="FFF2DCDB"/>
        <bgColor rgb="FFF5D7F1"/>
      </patternFill>
    </fill>
    <fill>
      <patternFill patternType="solid">
        <fgColor rgb="FFFDEADA"/>
        <bgColor rgb="FFEEECE1"/>
      </patternFill>
    </fill>
    <fill>
      <patternFill patternType="solid">
        <fgColor rgb="FFDBEEF4"/>
        <bgColor rgb="FFDCE6F2"/>
      </patternFill>
    </fill>
    <fill>
      <patternFill patternType="solid">
        <fgColor rgb="FFD9D9D9"/>
        <bgColor rgb="FFDDD9C3"/>
      </patternFill>
    </fill>
    <fill>
      <patternFill patternType="solid">
        <fgColor rgb="FF808080"/>
        <bgColor rgb="FF4F81BD"/>
      </patternFill>
    </fill>
    <fill>
      <patternFill patternType="solid">
        <fgColor rgb="FF1F497D"/>
        <bgColor rgb="FF376092"/>
      </patternFill>
    </fill>
    <fill>
      <patternFill patternType="solid">
        <fgColor rgb="FFEBF1DE"/>
        <bgColor rgb="FFEEECE1"/>
      </patternFill>
    </fill>
    <fill>
      <patternFill patternType="solid">
        <fgColor rgb="FFFFFFFF"/>
        <bgColor rgb="FFF7F7EB"/>
      </patternFill>
    </fill>
    <fill>
      <patternFill patternType="solid">
        <fgColor rgb="FFDCE6F2"/>
        <bgColor rgb="FFDBEEF4"/>
      </patternFill>
    </fill>
    <fill>
      <patternFill patternType="solid">
        <fgColor rgb="FFFEDEAB"/>
        <bgColor rgb="FFF2DCDB"/>
      </patternFill>
    </fill>
    <fill>
      <patternFill patternType="solid">
        <fgColor rgb="FFF9D2E1"/>
        <bgColor rgb="FFF5D7F1"/>
      </patternFill>
    </fill>
    <fill>
      <patternFill patternType="solid">
        <fgColor rgb="FFDDD9C3"/>
        <bgColor rgb="FFD9D9D9"/>
      </patternFill>
    </fill>
    <fill>
      <patternFill patternType="solid">
        <fgColor rgb="FFF5D7F1"/>
        <bgColor rgb="FFF9D2E1"/>
      </patternFill>
    </fill>
    <fill>
      <patternFill patternType="solid">
        <fgColor rgb="FFFAFEC2"/>
        <bgColor rgb="FFFFFFCC"/>
      </patternFill>
    </fill>
    <fill>
      <patternFill patternType="solid">
        <fgColor rgb="FFB9FBFE"/>
        <bgColor rgb="FFCCFFFF"/>
      </patternFill>
    </fill>
    <fill>
      <patternFill patternType="solid">
        <fgColor rgb="FFF7F7EB"/>
        <bgColor rgb="FFF8F7E5"/>
      </patternFill>
    </fill>
    <fill>
      <patternFill patternType="solid">
        <fgColor rgb="FF7030A0"/>
        <bgColor rgb="FF953735"/>
      </patternFill>
    </fill>
    <fill>
      <patternFill patternType="solid">
        <fgColor rgb="FFFFFFCC"/>
        <bgColor rgb="FFFAFEC2"/>
      </patternFill>
    </fill>
    <fill>
      <patternFill patternType="solid">
        <fgColor rgb="FFFFC000"/>
        <bgColor rgb="FFFFCC00"/>
      </patternFill>
    </fill>
    <fill>
      <patternFill patternType="solid">
        <fgColor rgb="FF93CDDD"/>
        <bgColor rgb="FF92CDDC"/>
      </patternFill>
    </fill>
    <fill>
      <patternFill patternType="solid">
        <fgColor rgb="FFCCC1DA"/>
        <bgColor rgb="FFC0C0C0"/>
      </patternFill>
    </fill>
    <fill>
      <patternFill patternType="solid">
        <fgColor rgb="FF953735"/>
        <bgColor rgb="FF993300"/>
      </patternFill>
    </fill>
    <fill>
      <patternFill patternType="solid">
        <fgColor rgb="FFF8F7E5"/>
        <bgColor rgb="FFF7F7EB"/>
      </patternFill>
    </fill>
    <fill>
      <patternFill patternType="solid">
        <fgColor rgb="FF558ED5"/>
        <bgColor rgb="FF4F81BD"/>
      </patternFill>
    </fill>
    <fill>
      <patternFill patternType="solid">
        <fgColor rgb="FF92CDDC"/>
        <bgColor rgb="FF93CDD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style="double">
        <color auto="1"/>
      </bottom>
      <diagonal/>
    </border>
    <border>
      <left style="medium">
        <color auto="1"/>
      </left>
      <right style="medium">
        <color auto="1"/>
      </right>
      <top style="double">
        <color auto="1"/>
      </top>
      <bottom style="double">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diagonal/>
    </border>
    <border>
      <left style="thin">
        <color auto="1"/>
      </left>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auto="1"/>
      </top>
      <bottom style="thin">
        <color auto="1"/>
      </bottom>
      <diagonal/>
    </border>
    <border>
      <left style="thin">
        <color auto="1"/>
      </left>
      <right style="medium">
        <color auto="1"/>
      </right>
      <top/>
      <bottom style="thin">
        <color auto="1"/>
      </bottom>
      <diagonal/>
    </border>
    <border>
      <left style="thin">
        <color auto="1"/>
      </left>
      <right style="medium">
        <color auto="1"/>
      </right>
      <top/>
      <bottom style="medium">
        <color auto="1"/>
      </bottom>
      <diagonal/>
    </border>
    <border>
      <left/>
      <right/>
      <top style="thin">
        <color auto="1"/>
      </top>
      <bottom/>
      <diagonal/>
    </border>
    <border>
      <left style="thin">
        <color auto="1"/>
      </left>
      <right style="thin">
        <color auto="1"/>
      </right>
      <top style="thin">
        <color auto="1"/>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1" fillId="0" borderId="0" applyBorder="0" applyAlignment="0" applyProtection="0"/>
    <xf numFmtId="44" fontId="71" fillId="0" borderId="0" applyBorder="0" applyAlignment="0" applyProtection="0"/>
    <xf numFmtId="9" fontId="71" fillId="0" borderId="0" applyBorder="0" applyAlignment="0" applyProtection="0"/>
    <xf numFmtId="41" fontId="71" fillId="0" borderId="0" applyBorder="0" applyAlignment="0" applyProtection="0"/>
    <xf numFmtId="42" fontId="71" fillId="0" borderId="0" applyBorder="0" applyAlignment="0" applyProtection="0"/>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29" borderId="38" applyNumberFormat="0" applyFont="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0" borderId="39" applyNumberFormat="0" applyFill="0" applyAlignment="0" applyProtection="0">
      <alignment vertical="center"/>
    </xf>
    <xf numFmtId="0" fontId="79" fillId="0" borderId="39" applyNumberFormat="0" applyFill="0" applyAlignment="0" applyProtection="0">
      <alignment vertical="center"/>
    </xf>
    <xf numFmtId="0" fontId="80" fillId="0" borderId="40" applyNumberFormat="0" applyFill="0" applyAlignment="0" applyProtection="0">
      <alignment vertical="center"/>
    </xf>
    <xf numFmtId="0" fontId="80" fillId="0" borderId="0" applyNumberFormat="0" applyFill="0" applyBorder="0" applyAlignment="0" applyProtection="0">
      <alignment vertical="center"/>
    </xf>
    <xf numFmtId="0" fontId="81" fillId="30" borderId="41" applyNumberFormat="0" applyAlignment="0" applyProtection="0">
      <alignment vertical="center"/>
    </xf>
    <xf numFmtId="0" fontId="82" fillId="31" borderId="42" applyNumberFormat="0" applyAlignment="0" applyProtection="0">
      <alignment vertical="center"/>
    </xf>
    <xf numFmtId="0" fontId="83" fillId="31" borderId="41" applyNumberFormat="0" applyAlignment="0" applyProtection="0">
      <alignment vertical="center"/>
    </xf>
    <xf numFmtId="0" fontId="84" fillId="32" borderId="43" applyNumberFormat="0" applyAlignment="0" applyProtection="0">
      <alignment vertical="center"/>
    </xf>
    <xf numFmtId="0" fontId="85" fillId="0" borderId="44" applyNumberFormat="0" applyFill="0" applyAlignment="0" applyProtection="0">
      <alignment vertical="center"/>
    </xf>
    <xf numFmtId="0" fontId="86" fillId="0" borderId="45" applyNumberFormat="0" applyFill="0" applyAlignment="0" applyProtection="0">
      <alignment vertical="center"/>
    </xf>
    <xf numFmtId="0" fontId="87" fillId="33" borderId="0" applyNumberFormat="0" applyBorder="0" applyAlignment="0" applyProtection="0">
      <alignment vertical="center"/>
    </xf>
    <xf numFmtId="0" fontId="88" fillId="34" borderId="0" applyNumberFormat="0" applyBorder="0" applyAlignment="0" applyProtection="0">
      <alignment vertical="center"/>
    </xf>
    <xf numFmtId="0" fontId="89" fillId="35" borderId="0" applyNumberFormat="0" applyBorder="0" applyAlignment="0" applyProtection="0">
      <alignment vertical="center"/>
    </xf>
    <xf numFmtId="0" fontId="90" fillId="36" borderId="0" applyNumberFormat="0" applyBorder="0" applyAlignment="0" applyProtection="0">
      <alignment vertical="center"/>
    </xf>
    <xf numFmtId="0" fontId="91" fillId="37" borderId="0" applyNumberFormat="0" applyBorder="0" applyAlignment="0" applyProtection="0">
      <alignment vertical="center"/>
    </xf>
    <xf numFmtId="0" fontId="91" fillId="38" borderId="0" applyNumberFormat="0" applyBorder="0" applyAlignment="0" applyProtection="0">
      <alignment vertical="center"/>
    </xf>
    <xf numFmtId="0" fontId="90" fillId="39" borderId="0" applyNumberFormat="0" applyBorder="0" applyAlignment="0" applyProtection="0">
      <alignment vertical="center"/>
    </xf>
    <xf numFmtId="0" fontId="90" fillId="40" borderId="0" applyNumberFormat="0" applyBorder="0" applyAlignment="0" applyProtection="0">
      <alignment vertical="center"/>
    </xf>
    <xf numFmtId="0" fontId="91" fillId="41" borderId="0" applyNumberFormat="0" applyBorder="0" applyAlignment="0" applyProtection="0">
      <alignment vertical="center"/>
    </xf>
    <xf numFmtId="0" fontId="91" fillId="42" borderId="0" applyNumberFormat="0" applyBorder="0" applyAlignment="0" applyProtection="0">
      <alignment vertical="center"/>
    </xf>
    <xf numFmtId="0" fontId="90" fillId="43" borderId="0" applyNumberFormat="0" applyBorder="0" applyAlignment="0" applyProtection="0">
      <alignment vertical="center"/>
    </xf>
    <xf numFmtId="0" fontId="90" fillId="44" borderId="0" applyNumberFormat="0" applyBorder="0" applyAlignment="0" applyProtection="0">
      <alignment vertical="center"/>
    </xf>
    <xf numFmtId="0" fontId="91" fillId="45" borderId="0" applyNumberFormat="0" applyBorder="0" applyAlignment="0" applyProtection="0">
      <alignment vertical="center"/>
    </xf>
    <xf numFmtId="0" fontId="91" fillId="46" borderId="0" applyNumberFormat="0" applyBorder="0" applyAlignment="0" applyProtection="0">
      <alignment vertical="center"/>
    </xf>
    <xf numFmtId="0" fontId="90" fillId="47" borderId="0" applyNumberFormat="0" applyBorder="0" applyAlignment="0" applyProtection="0">
      <alignment vertical="center"/>
    </xf>
    <xf numFmtId="0" fontId="90" fillId="48" borderId="0" applyNumberFormat="0" applyBorder="0" applyAlignment="0" applyProtection="0">
      <alignment vertical="center"/>
    </xf>
    <xf numFmtId="0" fontId="91" fillId="49" borderId="0" applyNumberFormat="0" applyBorder="0" applyAlignment="0" applyProtection="0">
      <alignment vertical="center"/>
    </xf>
    <xf numFmtId="0" fontId="91" fillId="50" borderId="0" applyNumberFormat="0" applyBorder="0" applyAlignment="0" applyProtection="0">
      <alignment vertical="center"/>
    </xf>
    <xf numFmtId="0" fontId="90" fillId="51" borderId="0" applyNumberFormat="0" applyBorder="0" applyAlignment="0" applyProtection="0">
      <alignment vertical="center"/>
    </xf>
    <xf numFmtId="0" fontId="90" fillId="52" borderId="0" applyNumberFormat="0" applyBorder="0" applyAlignment="0" applyProtection="0">
      <alignment vertical="center"/>
    </xf>
    <xf numFmtId="0" fontId="91" fillId="53" borderId="0" applyNumberFormat="0" applyBorder="0" applyAlignment="0" applyProtection="0">
      <alignment vertical="center"/>
    </xf>
    <xf numFmtId="0" fontId="91" fillId="54" borderId="0" applyNumberFormat="0" applyBorder="0" applyAlignment="0" applyProtection="0">
      <alignment vertical="center"/>
    </xf>
    <xf numFmtId="0" fontId="90" fillId="55" borderId="0" applyNumberFormat="0" applyBorder="0" applyAlignment="0" applyProtection="0">
      <alignment vertical="center"/>
    </xf>
    <xf numFmtId="0" fontId="90" fillId="56" borderId="0" applyNumberFormat="0" applyBorder="0" applyAlignment="0" applyProtection="0">
      <alignment vertical="center"/>
    </xf>
    <xf numFmtId="0" fontId="91" fillId="57" borderId="0" applyNumberFormat="0" applyBorder="0" applyAlignment="0" applyProtection="0">
      <alignment vertical="center"/>
    </xf>
    <xf numFmtId="0" fontId="91" fillId="58" borderId="0" applyNumberFormat="0" applyBorder="0" applyAlignment="0" applyProtection="0">
      <alignment vertical="center"/>
    </xf>
    <xf numFmtId="0" fontId="90" fillId="59" borderId="0" applyNumberFormat="0" applyBorder="0" applyAlignment="0" applyProtection="0">
      <alignment vertical="center"/>
    </xf>
  </cellStyleXfs>
  <cellXfs count="404">
    <xf numFmtId="0" fontId="0" fillId="0" borderId="0" xfId="0">
      <alignment vertical="center"/>
    </xf>
    <xf numFmtId="0" fontId="0" fillId="0" borderId="0" xfId="0" applyFont="1" applyAlignment="1">
      <alignment vertical="center"/>
    </xf>
    <xf numFmtId="0" fontId="0" fillId="0" borderId="0" xfId="0" applyFont="1">
      <alignment vertical="center"/>
    </xf>
    <xf numFmtId="0" fontId="0" fillId="0" borderId="0" xfId="0" applyFont="1" applyAlignment="1">
      <alignment horizontal="left" vertical="center"/>
    </xf>
    <xf numFmtId="0" fontId="0" fillId="0" borderId="0" xfId="0" applyAlignment="1">
      <alignment horizontal="left" vertical="center"/>
    </xf>
    <xf numFmtId="0" fontId="1" fillId="2"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4" borderId="3" xfId="0" applyFont="1" applyFill="1" applyBorder="1" applyAlignment="1">
      <alignment horizontal="center" vertical="center"/>
    </xf>
    <xf numFmtId="0" fontId="2" fillId="5" borderId="4" xfId="0" applyFont="1" applyFill="1" applyBorder="1" applyAlignment="1">
      <alignment horizontal="center" vertical="center"/>
    </xf>
    <xf numFmtId="0" fontId="3" fillId="5" borderId="5" xfId="0" applyFont="1" applyFill="1" applyBorder="1" applyAlignment="1">
      <alignment horizontal="center" vertical="center"/>
    </xf>
    <xf numFmtId="0" fontId="2" fillId="6" borderId="6" xfId="0" applyFont="1" applyFill="1" applyBorder="1" applyAlignment="1">
      <alignment horizontal="center" vertical="center"/>
    </xf>
    <xf numFmtId="0" fontId="3" fillId="6" borderId="7" xfId="0" applyFont="1" applyFill="1" applyBorder="1" applyAlignment="1">
      <alignment horizontal="center" vertical="center"/>
    </xf>
    <xf numFmtId="0" fontId="1" fillId="4" borderId="8" xfId="0" applyFont="1" applyFill="1" applyBorder="1" applyAlignment="1">
      <alignment horizontal="center" vertical="center"/>
    </xf>
    <xf numFmtId="0" fontId="2" fillId="5" borderId="9" xfId="0" applyFont="1" applyFill="1" applyBorder="1" applyAlignment="1">
      <alignment horizontal="center" vertical="center"/>
    </xf>
    <xf numFmtId="0" fontId="3" fillId="5" borderId="10" xfId="0" applyFont="1" applyFill="1" applyBorder="1" applyAlignment="1">
      <alignment horizontal="center" vertical="center"/>
    </xf>
    <xf numFmtId="0" fontId="2" fillId="5" borderId="10" xfId="0" applyFont="1" applyFill="1" applyBorder="1" applyAlignment="1">
      <alignment horizontal="center" vertical="center"/>
    </xf>
    <xf numFmtId="0" fontId="3" fillId="5" borderId="11" xfId="0" applyFont="1" applyFill="1" applyBorder="1" applyAlignment="1">
      <alignment horizontal="center" vertical="center"/>
    </xf>
    <xf numFmtId="0" fontId="2" fillId="6" borderId="12" xfId="0" applyFont="1" applyFill="1" applyBorder="1" applyAlignment="1">
      <alignment horizontal="center" vertical="center"/>
    </xf>
    <xf numFmtId="0" fontId="3" fillId="6" borderId="13"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3" fillId="6" borderId="15" xfId="0" applyFont="1" applyFill="1" applyBorder="1" applyAlignment="1">
      <alignment horizontal="center" vertical="center"/>
    </xf>
    <xf numFmtId="0" fontId="0" fillId="7" borderId="0" xfId="0" applyFont="1" applyFill="1" applyBorder="1" applyAlignment="1">
      <alignment horizontal="center" vertical="center"/>
    </xf>
    <xf numFmtId="0" fontId="0" fillId="0" borderId="0" xfId="0" applyFont="1" applyBorder="1" applyAlignment="1">
      <alignment horizontal="left" vertical="top" wrapText="1"/>
    </xf>
    <xf numFmtId="0" fontId="0" fillId="0" borderId="16" xfId="0" applyFont="1" applyBorder="1" applyAlignment="1">
      <alignment horizontal="center" vertical="center"/>
    </xf>
    <xf numFmtId="0" fontId="4" fillId="0" borderId="0" xfId="0" applyFont="1" applyBorder="1" applyAlignment="1">
      <alignment horizontal="left" vertical="center" wrapText="1"/>
    </xf>
    <xf numFmtId="0" fontId="5" fillId="8" borderId="16" xfId="0" applyFont="1" applyFill="1" applyBorder="1" applyAlignment="1">
      <alignment horizontal="center"/>
    </xf>
    <xf numFmtId="0" fontId="0" fillId="0" borderId="16" xfId="0" applyBorder="1" applyAlignment="1">
      <alignment horizontal="center"/>
    </xf>
    <xf numFmtId="0" fontId="0" fillId="0" borderId="0" xfId="0" applyAlignment="1"/>
    <xf numFmtId="0" fontId="0" fillId="0" borderId="16" xfId="0" applyFont="1" applyBorder="1" applyAlignment="1"/>
    <xf numFmtId="0" fontId="0" fillId="0" borderId="16" xfId="0" applyFont="1" applyBorder="1">
      <alignment vertical="center"/>
    </xf>
    <xf numFmtId="0" fontId="6" fillId="9"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5" xfId="0" applyFont="1" applyFill="1" applyBorder="1" applyAlignment="1">
      <alignment horizontal="center" vertical="center"/>
    </xf>
    <xf numFmtId="0" fontId="0" fillId="0" borderId="14" xfId="0" applyFont="1" applyBorder="1" applyAlignment="1">
      <alignment horizontal="center" vertical="center"/>
    </xf>
    <xf numFmtId="0" fontId="0" fillId="0" borderId="17" xfId="0" applyBorder="1" applyAlignment="1">
      <alignment horizontal="center" vertical="center"/>
    </xf>
    <xf numFmtId="0" fontId="0" fillId="0" borderId="15" xfId="0" applyBorder="1" applyAlignment="1">
      <alignment horizontal="center" vertical="center"/>
    </xf>
    <xf numFmtId="0" fontId="0" fillId="0" borderId="0" xfId="0" applyAlignment="1">
      <alignment horizontal="fill" vertical="center"/>
    </xf>
    <xf numFmtId="0" fontId="7" fillId="0" borderId="16" xfId="0" applyFont="1" applyBorder="1" applyAlignment="1">
      <alignment horizontal="center" vertical="center"/>
    </xf>
    <xf numFmtId="0" fontId="0" fillId="0" borderId="18" xfId="0" applyFont="1" applyBorder="1">
      <alignment vertical="center"/>
    </xf>
    <xf numFmtId="0" fontId="0" fillId="0" borderId="19" xfId="0" applyFont="1" applyBorder="1">
      <alignment vertical="center"/>
    </xf>
    <xf numFmtId="0" fontId="0" fillId="0" borderId="20" xfId="0" applyBorder="1">
      <alignment vertical="center"/>
    </xf>
    <xf numFmtId="0" fontId="0" fillId="0" borderId="0" xfId="0" applyFont="1" applyAlignment="1">
      <alignment vertical="center" wrapText="1"/>
    </xf>
    <xf numFmtId="0" fontId="0" fillId="0" borderId="21" xfId="0" applyFont="1" applyBorder="1">
      <alignment vertical="center"/>
    </xf>
    <xf numFmtId="0" fontId="0" fillId="0" borderId="0" xfId="0" applyFont="1" applyBorder="1">
      <alignment vertical="center"/>
    </xf>
    <xf numFmtId="0" fontId="0" fillId="0" borderId="16" xfId="0" applyBorder="1">
      <alignment vertical="center"/>
    </xf>
    <xf numFmtId="0" fontId="0" fillId="0" borderId="20" xfId="0" applyFont="1" applyBorder="1">
      <alignment vertical="center"/>
    </xf>
    <xf numFmtId="0" fontId="0" fillId="0" borderId="22" xfId="0" applyBorder="1">
      <alignment vertical="center"/>
    </xf>
    <xf numFmtId="0" fontId="0" fillId="0" borderId="16" xfId="0" applyFont="1" applyBorder="1" applyAlignment="1">
      <alignment horizontal="fill" vertical="center"/>
    </xf>
    <xf numFmtId="0" fontId="0" fillId="0" borderId="16" xfId="0" applyFont="1" applyBorder="1" applyAlignment="1">
      <alignment horizontal="fill" vertical="center" wrapText="1"/>
    </xf>
    <xf numFmtId="0" fontId="0" fillId="0" borderId="0" xfId="0" applyFont="1" applyAlignment="1">
      <alignment horizontal="fill" vertical="center" wrapText="1"/>
    </xf>
    <xf numFmtId="0" fontId="0" fillId="0" borderId="0" xfId="0" applyFont="1" applyAlignment="1">
      <alignment horizontal="fill" vertical="center"/>
    </xf>
    <xf numFmtId="0" fontId="0" fillId="0" borderId="16" xfId="0" applyFont="1" applyBorder="1" applyAlignment="1">
      <alignment horizontal="left" vertical="center"/>
    </xf>
    <xf numFmtId="0" fontId="0" fillId="0" borderId="0" xfId="0" applyFont="1" applyBorder="1" applyAlignment="1">
      <alignment horizontal="left" vertical="center"/>
    </xf>
    <xf numFmtId="0" fontId="0" fillId="0" borderId="0" xfId="0" applyFont="1" applyBorder="1" applyAlignment="1">
      <alignment horizontal="fill" vertical="center"/>
    </xf>
    <xf numFmtId="0" fontId="0" fillId="0" borderId="0" xfId="0" applyFont="1" applyBorder="1" applyAlignment="1">
      <alignment horizontal="fill" vertical="center" wrapText="1"/>
    </xf>
    <xf numFmtId="0" fontId="0" fillId="10" borderId="0" xfId="0" applyFill="1" applyAlignment="1">
      <alignment horizontal="left" vertical="center"/>
    </xf>
    <xf numFmtId="0" fontId="0" fillId="10" borderId="0" xfId="0" applyFill="1" applyAlignment="1">
      <alignment horizontal="fill" vertical="center"/>
    </xf>
    <xf numFmtId="0" fontId="0" fillId="0" borderId="0" xfId="0" applyBorder="1" applyAlignment="1">
      <alignment horizontal="fill" vertical="center"/>
    </xf>
    <xf numFmtId="0" fontId="0" fillId="0" borderId="0" xfId="0" applyAlignment="1">
      <alignment horizontal="right" vertical="center"/>
    </xf>
    <xf numFmtId="0" fontId="8" fillId="11" borderId="23" xfId="0" applyFont="1" applyFill="1" applyBorder="1" applyAlignment="1">
      <alignment vertical="center"/>
    </xf>
    <xf numFmtId="0" fontId="0" fillId="0" borderId="23" xfId="0" applyFont="1" applyBorder="1" applyAlignment="1">
      <alignment vertical="center"/>
    </xf>
    <xf numFmtId="0" fontId="0" fillId="0" borderId="23" xfId="0" applyFont="1" applyBorder="1" applyAlignment="1">
      <alignment vertical="center" wrapText="1"/>
    </xf>
    <xf numFmtId="0" fontId="9" fillId="0" borderId="23" xfId="0" applyFont="1" applyBorder="1" applyAlignment="1">
      <alignment horizontal="left" vertical="top" wrapText="1"/>
    </xf>
    <xf numFmtId="0" fontId="8" fillId="0" borderId="23" xfId="0" applyFont="1" applyBorder="1" applyAlignment="1">
      <alignment horizontal="left" vertical="center"/>
    </xf>
    <xf numFmtId="0" fontId="8" fillId="12" borderId="23" xfId="0" applyFont="1" applyFill="1" applyBorder="1" applyAlignment="1">
      <alignment horizontal="left" vertical="center"/>
    </xf>
    <xf numFmtId="0" fontId="8" fillId="13" borderId="23" xfId="0" applyFont="1" applyFill="1" applyBorder="1" applyAlignment="1">
      <alignment horizontal="left" vertical="center"/>
    </xf>
    <xf numFmtId="0" fontId="8" fillId="14" borderId="23" xfId="0" applyFont="1" applyFill="1" applyBorder="1" applyAlignment="1">
      <alignment horizontal="left" vertical="center"/>
    </xf>
    <xf numFmtId="0" fontId="8" fillId="15" borderId="23" xfId="0" applyFont="1" applyFill="1" applyBorder="1" applyAlignment="1">
      <alignment horizontal="left" vertical="center"/>
    </xf>
    <xf numFmtId="0" fontId="8" fillId="5" borderId="23" xfId="0" applyFont="1" applyFill="1" applyBorder="1" applyAlignment="1">
      <alignment horizontal="left" vertical="center"/>
    </xf>
    <xf numFmtId="0" fontId="8" fillId="16" borderId="23" xfId="0" applyFont="1" applyFill="1" applyBorder="1" applyAlignment="1">
      <alignment horizontal="left" vertical="center"/>
    </xf>
    <xf numFmtId="0" fontId="8" fillId="17" borderId="23" xfId="0" applyFont="1" applyFill="1" applyBorder="1" applyAlignment="1">
      <alignment horizontal="left" vertical="center"/>
    </xf>
    <xf numFmtId="0" fontId="8" fillId="18" borderId="23" xfId="0" applyFont="1" applyFill="1" applyBorder="1" applyAlignment="1">
      <alignment horizontal="left" vertical="center"/>
    </xf>
    <xf numFmtId="0" fontId="8" fillId="0" borderId="23" xfId="0" applyFont="1" applyBorder="1" applyAlignment="1">
      <alignment horizontal="center" vertical="top"/>
    </xf>
    <xf numFmtId="0" fontId="8" fillId="12" borderId="23" xfId="0" applyFont="1" applyFill="1" applyBorder="1" applyAlignment="1">
      <alignment horizontal="fill" vertical="top"/>
    </xf>
    <xf numFmtId="0" fontId="8" fillId="13" borderId="23" xfId="0" applyFont="1" applyFill="1" applyBorder="1" applyAlignment="1">
      <alignment horizontal="fill" vertical="top"/>
    </xf>
    <xf numFmtId="0" fontId="8" fillId="14" borderId="23" xfId="0" applyFont="1" applyFill="1" applyBorder="1" applyAlignment="1">
      <alignment horizontal="fill" vertical="top"/>
    </xf>
    <xf numFmtId="0" fontId="8" fillId="15" borderId="23" xfId="0" applyFont="1" applyFill="1" applyBorder="1" applyAlignment="1">
      <alignment horizontal="fill" vertical="top" wrapText="1"/>
    </xf>
    <xf numFmtId="0" fontId="8" fillId="5" borderId="23" xfId="0" applyFont="1" applyFill="1" applyBorder="1" applyAlignment="1">
      <alignment horizontal="fill" vertical="top"/>
    </xf>
    <xf numFmtId="0" fontId="8" fillId="12" borderId="23" xfId="0" applyFont="1" applyFill="1" applyBorder="1" applyAlignment="1">
      <alignment horizontal="fill" vertical="top" wrapText="1"/>
    </xf>
    <xf numFmtId="0" fontId="8" fillId="16" borderId="23" xfId="0" applyFont="1" applyFill="1" applyBorder="1" applyAlignment="1">
      <alignment horizontal="fill" vertical="top"/>
    </xf>
    <xf numFmtId="0" fontId="8" fillId="14" borderId="23" xfId="0" applyFont="1" applyFill="1" applyBorder="1" applyAlignment="1">
      <alignment horizontal="fill" vertical="top" wrapText="1"/>
    </xf>
    <xf numFmtId="0" fontId="8" fillId="17" borderId="23" xfId="0" applyFont="1" applyFill="1" applyBorder="1" applyAlignment="1">
      <alignment horizontal="fill" vertical="top"/>
    </xf>
    <xf numFmtId="0" fontId="8" fillId="5" borderId="23" xfId="0" applyFont="1" applyFill="1" applyBorder="1" applyAlignment="1">
      <alignment horizontal="fill" vertical="top" wrapText="1"/>
    </xf>
    <xf numFmtId="0" fontId="8" fillId="16" borderId="23" xfId="0" applyFont="1" applyFill="1" applyBorder="1" applyAlignment="1">
      <alignment horizontal="fill" vertical="center" wrapText="1"/>
    </xf>
    <xf numFmtId="0" fontId="8" fillId="18" borderId="23" xfId="0" applyFont="1" applyFill="1" applyBorder="1" applyAlignment="1">
      <alignment horizontal="fill" vertical="top"/>
    </xf>
    <xf numFmtId="0" fontId="8" fillId="15" borderId="23" xfId="0" applyFont="1" applyFill="1" applyBorder="1" applyAlignment="1">
      <alignment horizontal="fill" vertical="center" wrapText="1"/>
    </xf>
    <xf numFmtId="0" fontId="8" fillId="15" borderId="23" xfId="0" applyFont="1" applyFill="1" applyBorder="1" applyAlignment="1">
      <alignment horizontal="fill" vertical="top"/>
    </xf>
    <xf numFmtId="0" fontId="8" fillId="16" borderId="23" xfId="0" applyFont="1" applyFill="1" applyBorder="1" applyAlignment="1">
      <alignment horizontal="fill" vertical="top" wrapText="1"/>
    </xf>
    <xf numFmtId="0" fontId="8" fillId="13" borderId="23" xfId="0" applyFont="1" applyFill="1" applyBorder="1" applyAlignment="1">
      <alignment horizontal="fill" vertical="top" wrapText="1"/>
    </xf>
    <xf numFmtId="0" fontId="8" fillId="18" borderId="23" xfId="0" applyFont="1" applyFill="1" applyBorder="1" applyAlignment="1">
      <alignment horizontal="fill" vertical="top" wrapText="1"/>
    </xf>
    <xf numFmtId="0" fontId="8" fillId="0" borderId="23" xfId="0" applyFont="1" applyBorder="1" applyAlignment="1"/>
    <xf numFmtId="0" fontId="8" fillId="16" borderId="23" xfId="0" applyFont="1" applyFill="1" applyBorder="1" applyAlignment="1"/>
    <xf numFmtId="0" fontId="0" fillId="0" borderId="0" xfId="0" applyBorder="1">
      <alignment vertical="center"/>
    </xf>
    <xf numFmtId="0" fontId="8" fillId="17" borderId="23" xfId="0" applyFont="1" applyFill="1" applyBorder="1" applyAlignment="1">
      <alignment horizontal="fill" vertical="top" wrapText="1"/>
    </xf>
    <xf numFmtId="0" fontId="8" fillId="17" borderId="23" xfId="0" applyFont="1" applyFill="1" applyBorder="1" applyAlignment="1">
      <alignment horizontal="fill" vertical="center"/>
    </xf>
    <xf numFmtId="0" fontId="8" fillId="5" borderId="23" xfId="0" applyFont="1" applyFill="1" applyBorder="1" applyAlignment="1">
      <alignment horizontal="fill" vertical="center" wrapText="1"/>
    </xf>
    <xf numFmtId="0" fontId="8" fillId="14" borderId="23" xfId="0" applyFont="1" applyFill="1" applyBorder="1" applyAlignment="1">
      <alignment horizontal="fill" vertical="center" wrapText="1"/>
    </xf>
    <xf numFmtId="0" fontId="8" fillId="18" borderId="24" xfId="0" applyFont="1" applyFill="1" applyBorder="1" applyAlignment="1">
      <alignment horizontal="left" vertical="center"/>
    </xf>
    <xf numFmtId="0" fontId="8" fillId="18" borderId="23" xfId="0" applyFont="1" applyFill="1" applyBorder="1" applyAlignment="1">
      <alignment horizontal="fill" vertical="center" wrapText="1"/>
    </xf>
    <xf numFmtId="0" fontId="8" fillId="14" borderId="24" xfId="0" applyFont="1" applyFill="1" applyBorder="1" applyAlignment="1">
      <alignment horizontal="left" vertical="center"/>
    </xf>
    <xf numFmtId="0" fontId="8" fillId="16" borderId="24" xfId="0" applyFont="1" applyFill="1" applyBorder="1" applyAlignment="1">
      <alignment horizontal="left" vertical="center"/>
    </xf>
    <xf numFmtId="0" fontId="8" fillId="14" borderId="23" xfId="0" applyFont="1" applyFill="1" applyBorder="1" applyAlignment="1"/>
    <xf numFmtId="0" fontId="8" fillId="18" borderId="23" xfId="0" applyFont="1" applyFill="1" applyBorder="1" applyAlignment="1"/>
    <xf numFmtId="0" fontId="8" fillId="0" borderId="0" xfId="0" applyFont="1" applyAlignment="1"/>
    <xf numFmtId="0" fontId="8" fillId="17" borderId="23" xfId="0" applyFont="1" applyFill="1" applyBorder="1" applyAlignment="1">
      <alignment horizontal="fill" vertical="center" wrapText="1"/>
    </xf>
    <xf numFmtId="0" fontId="8" fillId="12" borderId="23" xfId="0" applyFont="1" applyFill="1" applyBorder="1" applyAlignment="1">
      <alignment horizontal="fill" vertical="center" wrapText="1"/>
    </xf>
    <xf numFmtId="0" fontId="8" fillId="16" borderId="23" xfId="0" applyFont="1" applyFill="1" applyBorder="1" applyAlignment="1">
      <alignment horizontal="fill" vertical="center"/>
    </xf>
    <xf numFmtId="0" fontId="8" fillId="17" borderId="24" xfId="0" applyFont="1" applyFill="1" applyBorder="1" applyAlignment="1">
      <alignment horizontal="left" vertical="center"/>
    </xf>
    <xf numFmtId="0" fontId="8" fillId="5" borderId="24" xfId="0" applyFont="1" applyFill="1" applyBorder="1" applyAlignment="1">
      <alignment horizontal="left" vertical="center"/>
    </xf>
    <xf numFmtId="0" fontId="8" fillId="12" borderId="24" xfId="0" applyFont="1" applyFill="1" applyBorder="1" applyAlignment="1">
      <alignment horizontal="left" vertical="center"/>
    </xf>
    <xf numFmtId="0" fontId="8" fillId="15" borderId="24" xfId="0" applyFont="1" applyFill="1" applyBorder="1" applyAlignment="1">
      <alignment horizontal="left" vertical="center"/>
    </xf>
    <xf numFmtId="0" fontId="8" fillId="13" borderId="23" xfId="0" applyFont="1" applyFill="1" applyBorder="1" applyAlignment="1">
      <alignment horizontal="fill" vertical="center" wrapText="1"/>
    </xf>
    <xf numFmtId="0" fontId="8" fillId="12" borderId="23" xfId="0" applyFont="1" applyFill="1" applyBorder="1" applyAlignment="1"/>
    <xf numFmtId="0" fontId="8" fillId="17" borderId="23" xfId="0" applyFont="1" applyFill="1" applyBorder="1" applyAlignment="1"/>
    <xf numFmtId="0" fontId="8" fillId="5" borderId="23" xfId="0" applyFont="1" applyFill="1" applyBorder="1" applyAlignment="1"/>
    <xf numFmtId="0" fontId="8" fillId="15" borderId="23" xfId="0" applyFont="1" applyFill="1" applyBorder="1" applyAlignment="1"/>
    <xf numFmtId="0" fontId="8" fillId="13" borderId="23" xfId="0" applyFont="1" applyFill="1" applyBorder="1" applyAlignment="1"/>
    <xf numFmtId="0" fontId="8" fillId="12" borderId="23" xfId="0" applyFont="1" applyFill="1" applyBorder="1" applyAlignment="1">
      <alignment horizontal="fill" vertical="center"/>
    </xf>
    <xf numFmtId="0" fontId="8" fillId="14" borderId="23" xfId="0" applyFont="1" applyFill="1" applyBorder="1" applyAlignment="1">
      <alignment horizontal="fill" vertical="center"/>
    </xf>
    <xf numFmtId="0" fontId="8" fillId="5" borderId="23" xfId="0" applyFont="1" applyFill="1" applyBorder="1" applyAlignment="1">
      <alignment horizontal="fill" vertical="center"/>
    </xf>
    <xf numFmtId="0" fontId="8" fillId="13" borderId="24" xfId="0" applyFont="1" applyFill="1" applyBorder="1" applyAlignment="1">
      <alignment horizontal="left" vertical="center"/>
    </xf>
    <xf numFmtId="0" fontId="8" fillId="15" borderId="23" xfId="0" applyFont="1" applyFill="1" applyBorder="1" applyAlignment="1">
      <alignment horizontal="fill" vertical="center"/>
    </xf>
    <xf numFmtId="0" fontId="0" fillId="11" borderId="16" xfId="0" applyFill="1" applyBorder="1">
      <alignment vertical="center"/>
    </xf>
    <xf numFmtId="0" fontId="0" fillId="0" borderId="25" xfId="0" applyFont="1" applyBorder="1" applyAlignment="1">
      <alignment vertical="center"/>
    </xf>
    <xf numFmtId="0" fontId="0" fillId="7" borderId="25" xfId="0" applyFont="1" applyFill="1" applyBorder="1" applyAlignment="1">
      <alignment vertical="center"/>
    </xf>
    <xf numFmtId="0" fontId="0" fillId="7" borderId="23" xfId="0" applyFont="1" applyFill="1" applyBorder="1" applyAlignment="1">
      <alignment vertical="center"/>
    </xf>
    <xf numFmtId="0" fontId="0" fillId="7" borderId="23" xfId="0" applyFont="1" applyFill="1" applyBorder="1" applyAlignment="1">
      <alignment vertical="center" wrapText="1"/>
    </xf>
    <xf numFmtId="0" fontId="0" fillId="0" borderId="23" xfId="0" applyFont="1" applyBorder="1" applyAlignment="1">
      <alignment horizontal="left" vertical="center"/>
    </xf>
    <xf numFmtId="0" fontId="9" fillId="7" borderId="23" xfId="0" applyFont="1" applyFill="1" applyBorder="1" applyAlignment="1">
      <alignment horizontal="left" vertical="top" wrapText="1"/>
    </xf>
    <xf numFmtId="0" fontId="0" fillId="0" borderId="23" xfId="0" applyBorder="1">
      <alignment vertical="center"/>
    </xf>
    <xf numFmtId="0" fontId="0" fillId="19" borderId="0" xfId="0" applyFill="1">
      <alignment vertical="center"/>
    </xf>
    <xf numFmtId="0" fontId="10" fillId="20" borderId="0" xfId="0" applyFont="1" applyFill="1" applyBorder="1" applyAlignment="1">
      <alignment horizontal="center" vertical="center"/>
    </xf>
    <xf numFmtId="0" fontId="3" fillId="19" borderId="0" xfId="0" applyFont="1" applyFill="1" applyBorder="1" applyAlignment="1">
      <alignment vertical="center"/>
    </xf>
    <xf numFmtId="0" fontId="11" fillId="8" borderId="16" xfId="0" applyFont="1" applyFill="1" applyBorder="1" applyAlignment="1">
      <alignment horizontal="center" vertical="center"/>
    </xf>
    <xf numFmtId="0" fontId="3" fillId="21" borderId="16" xfId="0" applyFont="1" applyFill="1" applyBorder="1" applyAlignment="1">
      <alignment horizontal="center" vertical="center"/>
    </xf>
    <xf numFmtId="0" fontId="12" fillId="19" borderId="0" xfId="0" applyFont="1" applyFill="1" applyBorder="1" applyAlignment="1">
      <alignment horizontal="center"/>
    </xf>
    <xf numFmtId="0" fontId="12" fillId="19" borderId="0" xfId="0" applyFont="1" applyFill="1" applyAlignment="1">
      <alignment horizontal="center"/>
    </xf>
    <xf numFmtId="0" fontId="12" fillId="19" borderId="0" xfId="0" applyFont="1" applyFill="1" applyBorder="1" applyAlignment="1" applyProtection="1">
      <alignment horizontal="center"/>
    </xf>
    <xf numFmtId="0" fontId="13" fillId="19" borderId="0" xfId="0" applyFont="1" applyFill="1" applyAlignment="1">
      <alignment horizontal="center" vertical="center"/>
    </xf>
    <xf numFmtId="0" fontId="13" fillId="19" borderId="0" xfId="0" applyFont="1" applyFill="1" applyAlignment="1">
      <alignment vertical="center"/>
    </xf>
    <xf numFmtId="0" fontId="14" fillId="11" borderId="16" xfId="0" applyFont="1" applyFill="1" applyBorder="1" applyAlignment="1" applyProtection="1">
      <alignment horizontal="center" vertical="center"/>
    </xf>
    <xf numFmtId="0" fontId="14" fillId="7" borderId="16" xfId="0" applyFont="1" applyFill="1" applyBorder="1" applyAlignment="1" applyProtection="1">
      <alignment horizontal="center" vertical="center"/>
    </xf>
    <xf numFmtId="0" fontId="14" fillId="19" borderId="0" xfId="0" applyFont="1" applyFill="1" applyAlignment="1">
      <alignment vertical="center"/>
    </xf>
    <xf numFmtId="0" fontId="3" fillId="19" borderId="0" xfId="0" applyFont="1" applyFill="1">
      <alignment vertical="center"/>
    </xf>
    <xf numFmtId="0" fontId="12" fillId="19" borderId="0" xfId="0" applyFont="1" applyFill="1" applyAlignment="1"/>
    <xf numFmtId="0" fontId="14" fillId="11" borderId="16" xfId="0" applyFont="1" applyFill="1" applyBorder="1" applyAlignment="1" applyProtection="1">
      <alignment horizontal="center" vertical="center"/>
      <protection locked="0"/>
    </xf>
    <xf numFmtId="0" fontId="15" fillId="20" borderId="0" xfId="0" applyFont="1" applyFill="1" applyAlignment="1" applyProtection="1">
      <alignment vertical="center"/>
    </xf>
    <xf numFmtId="0" fontId="14" fillId="11" borderId="16" xfId="0" applyFont="1" applyFill="1" applyBorder="1" applyAlignment="1" applyProtection="1">
      <alignment horizontal="left" vertical="center"/>
    </xf>
    <xf numFmtId="0" fontId="14" fillId="7" borderId="16" xfId="0" applyFont="1" applyFill="1" applyBorder="1" applyAlignment="1" applyProtection="1">
      <alignment horizontal="center" vertical="center"/>
      <protection locked="0"/>
    </xf>
    <xf numFmtId="0" fontId="14" fillId="7" borderId="16" xfId="0" applyFont="1" applyFill="1" applyBorder="1" applyAlignment="1" applyProtection="1">
      <alignment horizontal="left" vertical="center"/>
    </xf>
    <xf numFmtId="0" fontId="12" fillId="19" borderId="0" xfId="0" applyFont="1" applyFill="1" applyAlignment="1" applyProtection="1"/>
    <xf numFmtId="0" fontId="12" fillId="19" borderId="0" xfId="0" applyFont="1" applyFill="1" applyBorder="1" applyAlignment="1" applyProtection="1">
      <alignment horizontal="left"/>
    </xf>
    <xf numFmtId="0" fontId="3" fillId="21" borderId="16" xfId="0" applyFont="1" applyFill="1" applyBorder="1" applyAlignment="1" applyProtection="1">
      <alignment horizontal="center" vertical="center"/>
      <protection locked="0"/>
    </xf>
    <xf numFmtId="0" fontId="3" fillId="19" borderId="0" xfId="0" applyFont="1" applyFill="1" applyProtection="1">
      <alignment vertical="center"/>
    </xf>
    <xf numFmtId="0" fontId="11" fillId="8" borderId="26" xfId="0" applyFont="1" applyFill="1" applyBorder="1" applyAlignment="1">
      <alignment horizontal="center" vertical="center"/>
    </xf>
    <xf numFmtId="0" fontId="13" fillId="11" borderId="26" xfId="0" applyFont="1" applyFill="1" applyBorder="1" applyAlignment="1" applyProtection="1">
      <alignment horizontal="center" vertical="center"/>
    </xf>
    <xf numFmtId="0" fontId="13" fillId="7" borderId="26" xfId="0" applyFont="1" applyFill="1" applyBorder="1" applyAlignment="1" applyProtection="1">
      <alignment horizontal="center" vertical="center"/>
    </xf>
    <xf numFmtId="0" fontId="12" fillId="19" borderId="0" xfId="0" applyFont="1" applyFill="1" applyAlignment="1" applyProtection="1">
      <alignment horizontal="center"/>
    </xf>
    <xf numFmtId="0" fontId="13" fillId="11" borderId="16" xfId="0" applyFont="1" applyFill="1" applyBorder="1" applyAlignment="1" applyProtection="1">
      <alignment horizontal="center" vertical="center" wrapText="1"/>
      <protection locked="0"/>
    </xf>
    <xf numFmtId="0" fontId="13" fillId="7" borderId="16" xfId="0" applyFont="1" applyFill="1" applyBorder="1" applyAlignment="1" applyProtection="1">
      <alignment horizontal="center" vertical="center"/>
      <protection locked="0"/>
    </xf>
    <xf numFmtId="0" fontId="13" fillId="11" borderId="16" xfId="0" applyFont="1" applyFill="1" applyBorder="1" applyAlignment="1" applyProtection="1">
      <alignment horizontal="center" vertical="center"/>
      <protection locked="0"/>
    </xf>
    <xf numFmtId="0" fontId="3" fillId="21" borderId="16" xfId="0" applyFont="1" applyFill="1" applyBorder="1" applyAlignment="1" applyProtection="1">
      <alignment horizontal="center" vertical="center"/>
    </xf>
    <xf numFmtId="0" fontId="3" fillId="19" borderId="0" xfId="0" applyFont="1" applyFill="1" applyBorder="1" applyAlignment="1" applyProtection="1">
      <alignment vertical="center"/>
    </xf>
    <xf numFmtId="0" fontId="13" fillId="19" borderId="0" xfId="0" applyFont="1" applyFill="1" applyBorder="1" applyAlignment="1" applyProtection="1">
      <alignment vertical="center"/>
    </xf>
    <xf numFmtId="0" fontId="10" fillId="20" borderId="16" xfId="0" applyFont="1" applyFill="1" applyBorder="1" applyAlignment="1" applyProtection="1">
      <alignment horizontal="center" vertical="center"/>
    </xf>
    <xf numFmtId="0" fontId="16" fillId="20" borderId="16" xfId="0" applyFont="1" applyFill="1" applyBorder="1" applyAlignment="1" applyProtection="1">
      <alignment horizontal="center" vertical="center"/>
    </xf>
    <xf numFmtId="0" fontId="12" fillId="19" borderId="0" xfId="0" applyFont="1" applyFill="1" applyBorder="1" applyAlignment="1"/>
    <xf numFmtId="0" fontId="17" fillId="20" borderId="26" xfId="0" applyFont="1" applyFill="1" applyBorder="1" applyAlignment="1">
      <alignment horizontal="center" vertical="center"/>
    </xf>
    <xf numFmtId="0" fontId="13" fillId="19" borderId="0" xfId="0" applyFont="1" applyFill="1" applyBorder="1" applyAlignment="1" applyProtection="1">
      <alignment vertical="center"/>
      <protection locked="0"/>
    </xf>
    <xf numFmtId="0" fontId="18" fillId="20" borderId="1" xfId="0" applyFont="1" applyFill="1" applyBorder="1" applyAlignment="1" applyProtection="1">
      <alignment horizontal="center" vertical="center"/>
    </xf>
    <xf numFmtId="0" fontId="11" fillId="20" borderId="27" xfId="0" applyFont="1" applyFill="1" applyBorder="1" applyAlignment="1" applyProtection="1">
      <alignment horizontal="center" vertical="center"/>
    </xf>
    <xf numFmtId="0" fontId="11" fillId="20" borderId="14" xfId="0" applyFont="1" applyFill="1" applyBorder="1" applyAlignment="1" applyProtection="1">
      <alignment horizontal="center" vertical="center"/>
    </xf>
    <xf numFmtId="0" fontId="12" fillId="19" borderId="0" xfId="0" applyFont="1" applyFill="1" applyBorder="1" applyAlignment="1" applyProtection="1"/>
    <xf numFmtId="0" fontId="0" fillId="19" borderId="0" xfId="0" applyFill="1" applyProtection="1">
      <alignment vertical="center"/>
    </xf>
    <xf numFmtId="0" fontId="0" fillId="19" borderId="0" xfId="0" applyFill="1" applyBorder="1" applyProtection="1">
      <alignment vertical="center"/>
    </xf>
    <xf numFmtId="0" fontId="3" fillId="19" borderId="0" xfId="0" applyFont="1" applyFill="1" applyBorder="1" applyAlignment="1" applyProtection="1">
      <alignment horizontal="center" vertical="center"/>
    </xf>
    <xf numFmtId="0" fontId="3" fillId="19" borderId="0" xfId="0" applyFont="1" applyFill="1" applyBorder="1" applyProtection="1">
      <alignment vertical="center"/>
    </xf>
    <xf numFmtId="0" fontId="19" fillId="11" borderId="26" xfId="0" applyFont="1" applyFill="1" applyBorder="1" applyAlignment="1" applyProtection="1">
      <alignment horizontal="right" vertical="center"/>
    </xf>
    <xf numFmtId="0" fontId="14" fillId="11" borderId="28" xfId="0" applyFont="1" applyFill="1" applyBorder="1" applyAlignment="1" applyProtection="1">
      <alignment horizontal="center" vertical="center"/>
    </xf>
    <xf numFmtId="0" fontId="19" fillId="11" borderId="20" xfId="0" applyFont="1" applyFill="1" applyBorder="1" applyAlignment="1" applyProtection="1">
      <alignment horizontal="left" vertical="center"/>
    </xf>
    <xf numFmtId="0" fontId="2" fillId="11" borderId="20" xfId="0" applyFont="1" applyFill="1" applyBorder="1" applyAlignment="1" applyProtection="1">
      <alignment horizontal="center" vertical="center"/>
    </xf>
    <xf numFmtId="0" fontId="19" fillId="7" borderId="26" xfId="0" applyFont="1" applyFill="1" applyBorder="1" applyAlignment="1" applyProtection="1">
      <alignment horizontal="right" vertical="center"/>
      <protection locked="0"/>
    </xf>
    <xf numFmtId="0" fontId="14" fillId="7" borderId="28" xfId="0" applyFont="1" applyFill="1" applyBorder="1" applyAlignment="1" applyProtection="1">
      <alignment horizontal="center" vertical="center"/>
    </xf>
    <xf numFmtId="0" fontId="19" fillId="7" borderId="20" xfId="0" applyFont="1" applyFill="1" applyBorder="1" applyAlignment="1" applyProtection="1">
      <alignment horizontal="left" vertical="center"/>
      <protection locked="0"/>
    </xf>
    <xf numFmtId="0" fontId="2" fillId="7" borderId="20" xfId="0" applyFont="1" applyFill="1" applyBorder="1" applyAlignment="1" applyProtection="1">
      <alignment horizontal="center" vertical="center"/>
    </xf>
    <xf numFmtId="0" fontId="19" fillId="11" borderId="26" xfId="0" applyFont="1" applyFill="1" applyBorder="1" applyAlignment="1" applyProtection="1">
      <alignment horizontal="right" vertical="center"/>
      <protection locked="0"/>
    </xf>
    <xf numFmtId="0" fontId="19" fillId="11" borderId="20" xfId="0" applyFont="1" applyFill="1" applyBorder="1" applyAlignment="1" applyProtection="1">
      <alignment horizontal="left" vertical="center"/>
      <protection locked="0"/>
    </xf>
    <xf numFmtId="0" fontId="2" fillId="7" borderId="20" xfId="0" applyFont="1" applyFill="1" applyBorder="1" applyAlignment="1" applyProtection="1">
      <alignment horizontal="left" vertical="center"/>
      <protection locked="0"/>
    </xf>
    <xf numFmtId="0" fontId="3" fillId="11" borderId="26" xfId="0" applyFont="1" applyFill="1" applyBorder="1" applyAlignment="1">
      <alignment horizontal="center" vertical="center"/>
    </xf>
    <xf numFmtId="0" fontId="20" fillId="11" borderId="29" xfId="0" applyFont="1" applyFill="1" applyBorder="1" applyAlignment="1" applyProtection="1">
      <alignment horizontal="center" vertical="center"/>
    </xf>
    <xf numFmtId="0" fontId="20" fillId="7" borderId="30" xfId="0" applyFont="1" applyFill="1" applyBorder="1" applyAlignment="1" applyProtection="1">
      <alignment horizontal="center" vertical="center"/>
    </xf>
    <xf numFmtId="0" fontId="2" fillId="11" borderId="16" xfId="0" applyFont="1" applyFill="1" applyBorder="1" applyAlignment="1" applyProtection="1">
      <alignment horizontal="center" vertical="center"/>
    </xf>
    <xf numFmtId="0" fontId="2" fillId="7" borderId="16" xfId="0" applyFont="1" applyFill="1" applyBorder="1" applyAlignment="1" applyProtection="1">
      <alignment horizontal="center" vertical="center"/>
    </xf>
    <xf numFmtId="0" fontId="3" fillId="19" borderId="0" xfId="0" applyFont="1" applyFill="1" applyBorder="1" applyAlignment="1">
      <alignment horizontal="center" vertical="center"/>
    </xf>
    <xf numFmtId="176" fontId="2" fillId="11" borderId="20" xfId="0" applyNumberFormat="1" applyFont="1" applyFill="1" applyBorder="1" applyAlignment="1">
      <alignment horizontal="center" vertical="center"/>
    </xf>
    <xf numFmtId="0" fontId="3" fillId="19" borderId="0" xfId="0" applyFont="1" applyFill="1" applyBorder="1">
      <alignment vertical="center"/>
    </xf>
    <xf numFmtId="0" fontId="21" fillId="19" borderId="0" xfId="0" applyFont="1" applyFill="1" applyBorder="1" applyAlignment="1">
      <alignment vertical="center"/>
    </xf>
    <xf numFmtId="0" fontId="12" fillId="19" borderId="0" xfId="0" applyFont="1" applyFill="1" applyBorder="1" applyAlignment="1">
      <alignment vertical="center"/>
    </xf>
    <xf numFmtId="0" fontId="21" fillId="19" borderId="0" xfId="0" applyFont="1" applyFill="1" applyBorder="1" applyAlignment="1" applyProtection="1">
      <alignment vertical="center"/>
    </xf>
    <xf numFmtId="0" fontId="10" fillId="22" borderId="0" xfId="0" applyFont="1" applyFill="1" applyBorder="1" applyAlignment="1">
      <alignment horizontal="center" vertical="center"/>
    </xf>
    <xf numFmtId="0" fontId="3" fillId="19" borderId="0" xfId="0" applyFont="1" applyFill="1" applyAlignment="1">
      <alignment horizontal="center" vertical="center"/>
    </xf>
    <xf numFmtId="0" fontId="22" fillId="8" borderId="16" xfId="0" applyFont="1" applyFill="1" applyBorder="1" applyAlignment="1">
      <alignment horizontal="center" vertical="center"/>
    </xf>
    <xf numFmtId="0" fontId="23" fillId="19" borderId="0" xfId="0" applyFont="1" applyFill="1" applyAlignment="1">
      <alignment horizontal="center" vertical="center"/>
    </xf>
    <xf numFmtId="0" fontId="3" fillId="19" borderId="0" xfId="0" applyFont="1" applyFill="1" applyAlignment="1" applyProtection="1">
      <alignment horizontal="center" vertical="center"/>
    </xf>
    <xf numFmtId="0" fontId="13" fillId="19" borderId="0" xfId="0" applyFont="1" applyFill="1" applyAlignment="1" applyProtection="1">
      <alignment horizontal="center" vertical="center"/>
    </xf>
    <xf numFmtId="0" fontId="22" fillId="8" borderId="16" xfId="0" applyFont="1" applyFill="1" applyBorder="1" applyAlignment="1">
      <alignment horizontal="center" vertical="center" wrapText="1"/>
    </xf>
    <xf numFmtId="0" fontId="24" fillId="19" borderId="0" xfId="0" applyFont="1" applyFill="1" applyAlignment="1">
      <alignment horizontal="center" vertical="center"/>
    </xf>
    <xf numFmtId="0" fontId="25" fillId="8" borderId="16" xfId="0" applyFont="1" applyFill="1" applyBorder="1" applyAlignment="1">
      <alignment horizontal="center" vertical="center" wrapText="1"/>
    </xf>
    <xf numFmtId="0" fontId="13" fillId="11" borderId="16" xfId="0" applyFont="1" applyFill="1" applyBorder="1" applyAlignment="1" applyProtection="1">
      <alignment vertical="center"/>
      <protection locked="0"/>
    </xf>
    <xf numFmtId="0" fontId="26" fillId="7" borderId="16" xfId="0" applyFont="1" applyFill="1" applyBorder="1" applyAlignment="1">
      <alignment horizontal="center" vertical="center"/>
    </xf>
    <xf numFmtId="0" fontId="26" fillId="11" borderId="16" xfId="0" applyFont="1" applyFill="1" applyBorder="1" applyAlignment="1" applyProtection="1">
      <alignment horizontal="center" vertical="center"/>
    </xf>
    <xf numFmtId="0" fontId="26" fillId="7" borderId="16" xfId="0" applyFont="1" applyFill="1" applyBorder="1" applyAlignment="1" applyProtection="1">
      <alignment horizontal="center" vertical="center"/>
    </xf>
    <xf numFmtId="0" fontId="7" fillId="19" borderId="0" xfId="0" applyFont="1" applyFill="1" applyAlignment="1" applyProtection="1">
      <alignment horizontal="center" vertical="center"/>
    </xf>
    <xf numFmtId="0" fontId="27" fillId="19" borderId="0" xfId="0" applyFont="1" applyFill="1" applyAlignment="1" applyProtection="1">
      <alignment horizontal="center" vertical="center"/>
    </xf>
    <xf numFmtId="0" fontId="26" fillId="23" borderId="16" xfId="0" applyFont="1" applyFill="1" applyBorder="1" applyAlignment="1" applyProtection="1">
      <alignment horizontal="center" vertical="center" wrapText="1"/>
      <protection locked="0"/>
    </xf>
    <xf numFmtId="0" fontId="12" fillId="19" borderId="0" xfId="0" applyFont="1" applyFill="1" applyAlignment="1">
      <alignment horizontal="center" vertical="center"/>
    </xf>
    <xf numFmtId="0" fontId="26" fillId="11" borderId="16" xfId="0" applyFont="1" applyFill="1" applyBorder="1" applyAlignment="1" applyProtection="1">
      <alignment horizontal="center" vertical="center"/>
      <protection locked="0"/>
    </xf>
    <xf numFmtId="0" fontId="26" fillId="7" borderId="16" xfId="0" applyFont="1" applyFill="1" applyBorder="1" applyAlignment="1" applyProtection="1">
      <alignment horizontal="center" vertical="center"/>
      <protection locked="0"/>
    </xf>
    <xf numFmtId="0" fontId="7" fillId="19" borderId="0" xfId="0" applyFont="1" applyFill="1" applyAlignment="1">
      <alignment horizontal="center" vertical="center"/>
    </xf>
    <xf numFmtId="0" fontId="27" fillId="19" borderId="0" xfId="0" applyFont="1" applyFill="1" applyAlignment="1">
      <alignment horizontal="center" vertical="center"/>
    </xf>
    <xf numFmtId="0" fontId="7" fillId="24" borderId="16" xfId="0" applyFont="1" applyFill="1" applyBorder="1" applyAlignment="1">
      <alignment horizontal="center" vertical="center"/>
    </xf>
    <xf numFmtId="0" fontId="25" fillId="25" borderId="0" xfId="0" applyFont="1" applyFill="1" applyBorder="1" applyAlignment="1">
      <alignment horizontal="center" vertical="center"/>
    </xf>
    <xf numFmtId="0" fontId="28" fillId="0" borderId="16" xfId="0" applyFont="1" applyBorder="1" applyAlignment="1" applyProtection="1">
      <alignment horizontal="left" vertical="top" wrapText="1"/>
      <protection locked="0"/>
    </xf>
    <xf numFmtId="0" fontId="0" fillId="19" borderId="0" xfId="0" applyFill="1" applyProtection="1">
      <alignment vertical="center"/>
      <protection locked="0"/>
    </xf>
    <xf numFmtId="0" fontId="0" fillId="19" borderId="0" xfId="0" applyFill="1" applyAlignment="1" applyProtection="1">
      <alignment vertical="center"/>
    </xf>
    <xf numFmtId="0" fontId="0" fillId="19" borderId="0" xfId="0" applyFill="1" applyAlignment="1" applyProtection="1">
      <alignment vertical="center"/>
      <protection locked="0"/>
    </xf>
    <xf numFmtId="0" fontId="10" fillId="25" borderId="0" xfId="0" applyFont="1" applyFill="1" applyBorder="1" applyAlignment="1">
      <alignment horizontal="center" vertical="center"/>
    </xf>
    <xf numFmtId="0" fontId="29" fillId="19" borderId="0" xfId="0" applyFont="1" applyFill="1" applyAlignment="1">
      <alignment horizontal="center" vertical="center"/>
    </xf>
    <xf numFmtId="0" fontId="25" fillId="8" borderId="16" xfId="0" applyFont="1" applyFill="1" applyBorder="1" applyAlignment="1">
      <alignment horizontal="center" vertical="center"/>
    </xf>
    <xf numFmtId="0" fontId="14" fillId="0" borderId="16" xfId="0" applyFont="1" applyBorder="1" applyAlignment="1" applyProtection="1">
      <alignment horizontal="center" vertical="center"/>
    </xf>
    <xf numFmtId="0" fontId="30" fillId="26" borderId="0" xfId="0" applyFont="1" applyFill="1" applyBorder="1" applyAlignment="1" applyProtection="1"/>
    <xf numFmtId="0" fontId="31" fillId="26" borderId="0" xfId="0" applyFont="1" applyFill="1" applyAlignment="1">
      <alignment horizontal="center"/>
    </xf>
    <xf numFmtId="0" fontId="30" fillId="26" borderId="0" xfId="0" applyFont="1" applyFill="1" applyBorder="1" applyAlignment="1" applyProtection="1">
      <alignment horizontal="center"/>
    </xf>
    <xf numFmtId="0" fontId="13" fillId="23" borderId="16" xfId="0" applyFont="1" applyFill="1" applyBorder="1" applyAlignment="1" applyProtection="1">
      <alignment horizontal="center" vertical="center"/>
      <protection locked="0"/>
    </xf>
    <xf numFmtId="0" fontId="32" fillId="8" borderId="16" xfId="0" applyFont="1" applyFill="1" applyBorder="1" applyAlignment="1">
      <alignment horizontal="center" vertical="center"/>
    </xf>
    <xf numFmtId="0" fontId="33" fillId="11" borderId="16" xfId="0" applyFont="1" applyFill="1" applyBorder="1" applyAlignment="1" applyProtection="1">
      <alignment horizontal="center" vertical="center"/>
      <protection locked="0"/>
    </xf>
    <xf numFmtId="0" fontId="34" fillId="21" borderId="16" xfId="0" applyFont="1" applyFill="1" applyBorder="1" applyAlignment="1" applyProtection="1">
      <alignment horizontal="center" vertical="center"/>
    </xf>
    <xf numFmtId="0" fontId="32" fillId="19" borderId="0" xfId="0" applyFont="1" applyFill="1" applyBorder="1" applyAlignment="1">
      <alignment vertical="center"/>
    </xf>
    <xf numFmtId="0" fontId="14" fillId="19" borderId="0" xfId="0" applyFont="1" applyFill="1" applyBorder="1" applyAlignment="1" applyProtection="1">
      <alignment vertical="center"/>
      <protection locked="0"/>
    </xf>
    <xf numFmtId="0" fontId="34" fillId="19" borderId="0" xfId="0" applyFont="1" applyFill="1" applyBorder="1" applyAlignment="1" applyProtection="1">
      <alignment vertical="center"/>
    </xf>
    <xf numFmtId="0" fontId="30" fillId="26" borderId="0" xfId="0" applyFont="1" applyFill="1" applyAlignment="1" applyProtection="1"/>
    <xf numFmtId="0" fontId="35" fillId="26" borderId="0" xfId="0" applyFont="1" applyFill="1" applyAlignment="1">
      <alignment horizontal="center" vertical="center"/>
    </xf>
    <xf numFmtId="0" fontId="30" fillId="26" borderId="0" xfId="0" applyFont="1" applyFill="1" applyBorder="1" applyAlignment="1">
      <alignment horizontal="center"/>
    </xf>
    <xf numFmtId="0" fontId="36" fillId="26" borderId="0" xfId="0" applyFont="1" applyFill="1" applyAlignment="1">
      <alignment horizontal="center" vertical="center"/>
    </xf>
    <xf numFmtId="0" fontId="30" fillId="26" borderId="0" xfId="0" applyFont="1" applyFill="1" applyBorder="1" applyAlignment="1">
      <alignment horizontal="center" vertical="center"/>
    </xf>
    <xf numFmtId="0" fontId="13" fillId="19" borderId="0" xfId="0" applyFont="1" applyFill="1" applyBorder="1" applyAlignment="1" applyProtection="1">
      <alignment horizontal="center" vertical="center"/>
      <protection locked="0"/>
    </xf>
    <xf numFmtId="0" fontId="25" fillId="19" borderId="0" xfId="0" applyFont="1" applyFill="1" applyBorder="1" applyAlignment="1">
      <alignment horizontal="center" vertical="center"/>
    </xf>
    <xf numFmtId="0" fontId="35" fillId="19" borderId="0" xfId="0" applyFont="1" applyFill="1" applyBorder="1" applyAlignment="1">
      <alignment horizontal="center" vertical="center"/>
    </xf>
    <xf numFmtId="0" fontId="37" fillId="19" borderId="31" xfId="0" applyFont="1" applyFill="1" applyBorder="1" applyAlignment="1">
      <alignment horizontal="center" vertical="center"/>
    </xf>
    <xf numFmtId="0" fontId="33" fillId="0" borderId="16" xfId="0" applyFont="1" applyBorder="1" applyAlignment="1" applyProtection="1">
      <alignment horizontal="center" vertical="center"/>
      <protection locked="0"/>
    </xf>
    <xf numFmtId="0" fontId="38" fillId="7" borderId="16" xfId="0" applyFont="1" applyFill="1" applyBorder="1" applyAlignment="1" applyProtection="1">
      <alignment horizontal="center" vertical="center"/>
    </xf>
    <xf numFmtId="0" fontId="39" fillId="19" borderId="0" xfId="0" applyFont="1" applyFill="1" applyBorder="1" applyAlignment="1" applyProtection="1">
      <alignment vertical="center"/>
    </xf>
    <xf numFmtId="0" fontId="40" fillId="8" borderId="16" xfId="0" applyFont="1" applyFill="1" applyBorder="1" applyAlignment="1">
      <alignment horizontal="center" vertical="center"/>
    </xf>
    <xf numFmtId="0" fontId="41" fillId="21" borderId="16" xfId="0" applyFont="1" applyFill="1" applyBorder="1" applyAlignment="1">
      <alignment horizontal="center" vertical="center"/>
    </xf>
    <xf numFmtId="0" fontId="42" fillId="8" borderId="32" xfId="0" applyFont="1" applyFill="1" applyBorder="1" applyAlignment="1">
      <alignment horizontal="center" vertical="center"/>
    </xf>
    <xf numFmtId="0" fontId="41" fillId="21" borderId="18" xfId="0" applyFont="1" applyFill="1" applyBorder="1" applyAlignment="1">
      <alignment horizontal="center" vertical="center" wrapText="1"/>
    </xf>
    <xf numFmtId="0" fontId="43" fillId="8" borderId="16" xfId="0" applyFont="1" applyFill="1" applyBorder="1" applyAlignment="1">
      <alignment horizontal="center" vertical="center"/>
    </xf>
    <xf numFmtId="0" fontId="44" fillId="19" borderId="0" xfId="0" applyFont="1" applyFill="1" applyBorder="1" applyAlignment="1" applyProtection="1">
      <alignment vertical="center"/>
    </xf>
    <xf numFmtId="0" fontId="41" fillId="19" borderId="0" xfId="0" applyFont="1" applyFill="1" applyBorder="1" applyAlignment="1" applyProtection="1">
      <alignment vertical="center"/>
    </xf>
    <xf numFmtId="0" fontId="45" fillId="8" borderId="16" xfId="0" applyFont="1" applyFill="1" applyBorder="1" applyAlignment="1">
      <alignment horizontal="center" vertical="center"/>
    </xf>
    <xf numFmtId="0" fontId="46" fillId="19" borderId="0" xfId="0" applyFont="1" applyFill="1" applyBorder="1" applyAlignment="1">
      <alignment vertical="center"/>
    </xf>
    <xf numFmtId="0" fontId="25" fillId="19" borderId="0" xfId="0" applyFont="1" applyFill="1" applyBorder="1" applyAlignment="1" applyProtection="1">
      <alignment vertical="center"/>
    </xf>
    <xf numFmtId="0" fontId="13" fillId="26" borderId="0" xfId="0" applyFont="1" applyFill="1" applyAlignment="1">
      <alignment horizontal="center" vertical="center"/>
    </xf>
    <xf numFmtId="0" fontId="14" fillId="19" borderId="0" xfId="0" applyFont="1" applyFill="1" applyBorder="1" applyAlignment="1" applyProtection="1">
      <alignment vertical="center"/>
    </xf>
    <xf numFmtId="0" fontId="12" fillId="26" borderId="0" xfId="0" applyFont="1" applyFill="1" applyBorder="1" applyAlignment="1" applyProtection="1">
      <alignment horizontal="center"/>
    </xf>
    <xf numFmtId="0" fontId="12" fillId="26" borderId="0" xfId="0" applyFont="1" applyFill="1" applyAlignment="1" applyProtection="1">
      <alignment horizontal="center" vertical="center"/>
    </xf>
    <xf numFmtId="0" fontId="12" fillId="26" borderId="0" xfId="0" applyFont="1" applyFill="1" applyBorder="1" applyAlignment="1">
      <alignment horizontal="center"/>
    </xf>
    <xf numFmtId="0" fontId="34" fillId="21" borderId="16" xfId="0" applyFont="1" applyFill="1" applyBorder="1" applyAlignment="1">
      <alignment horizontal="center" vertical="center"/>
    </xf>
    <xf numFmtId="0" fontId="35" fillId="19" borderId="0" xfId="0" applyFont="1" applyFill="1" applyAlignment="1">
      <alignment horizontal="center" vertical="center"/>
    </xf>
    <xf numFmtId="0" fontId="14" fillId="0" borderId="16" xfId="0" applyFont="1" applyBorder="1" applyAlignment="1" applyProtection="1">
      <alignment horizontal="center" vertical="center"/>
      <protection locked="0"/>
    </xf>
    <xf numFmtId="0" fontId="47" fillId="26" borderId="0" xfId="0" applyFont="1" applyFill="1" applyAlignment="1">
      <alignment horizontal="center" vertical="center"/>
    </xf>
    <xf numFmtId="0" fontId="13" fillId="19" borderId="0" xfId="0" applyFont="1" applyFill="1" applyBorder="1" applyAlignment="1">
      <alignment horizontal="center" vertical="center"/>
    </xf>
    <xf numFmtId="0" fontId="12" fillId="26" borderId="0" xfId="0" applyFont="1" applyFill="1" applyAlignment="1">
      <alignment horizontal="center" vertical="center"/>
    </xf>
    <xf numFmtId="0" fontId="48" fillId="26" borderId="0" xfId="0" applyFont="1" applyFill="1" applyAlignment="1">
      <alignment horizontal="center" vertical="center"/>
    </xf>
    <xf numFmtId="0" fontId="49" fillId="26" borderId="0" xfId="0" applyFont="1" applyFill="1" applyAlignment="1">
      <alignment horizontal="center" vertical="center"/>
    </xf>
    <xf numFmtId="0" fontId="36" fillId="19" borderId="0" xfId="0" applyFont="1" applyFill="1" applyAlignment="1">
      <alignment horizontal="center" vertical="center"/>
    </xf>
    <xf numFmtId="0" fontId="25" fillId="8" borderId="16" xfId="0" applyFont="1" applyFill="1" applyBorder="1" applyAlignment="1" applyProtection="1">
      <alignment horizontal="center" vertical="center"/>
    </xf>
    <xf numFmtId="0" fontId="13" fillId="7" borderId="16" xfId="0" applyFont="1" applyFill="1" applyBorder="1" applyAlignment="1" applyProtection="1">
      <alignment horizontal="center" vertical="center"/>
    </xf>
    <xf numFmtId="0" fontId="50" fillId="19" borderId="0" xfId="0" applyFont="1" applyFill="1" applyBorder="1" applyAlignment="1">
      <alignment horizontal="center" vertical="center"/>
    </xf>
    <xf numFmtId="0" fontId="13" fillId="19" borderId="0" xfId="0" applyFont="1" applyFill="1" applyBorder="1" applyAlignment="1">
      <alignment vertical="center"/>
    </xf>
    <xf numFmtId="0" fontId="25" fillId="19" borderId="0" xfId="0" applyFont="1" applyFill="1" applyBorder="1" applyAlignment="1">
      <alignment vertical="center"/>
    </xf>
    <xf numFmtId="0" fontId="29" fillId="19" borderId="33" xfId="0" applyFont="1" applyFill="1" applyBorder="1" applyAlignment="1">
      <alignment horizontal="center"/>
    </xf>
    <xf numFmtId="0" fontId="51" fillId="23" borderId="16" xfId="0" applyFont="1" applyFill="1" applyBorder="1" applyAlignment="1" applyProtection="1">
      <alignment horizontal="center" vertical="center"/>
      <protection locked="0"/>
    </xf>
    <xf numFmtId="0" fontId="14" fillId="11" borderId="20" xfId="0" applyFont="1" applyFill="1" applyBorder="1" applyAlignment="1" applyProtection="1">
      <alignment horizontal="center" vertical="center"/>
      <protection locked="0"/>
    </xf>
    <xf numFmtId="0" fontId="13" fillId="19" borderId="31" xfId="0" applyFont="1" applyFill="1" applyBorder="1" applyAlignment="1">
      <alignment horizontal="center" vertical="center"/>
    </xf>
    <xf numFmtId="0" fontId="30" fillId="19" borderId="0" xfId="0" applyFont="1" applyFill="1" applyAlignment="1"/>
    <xf numFmtId="0" fontId="30" fillId="19" borderId="0" xfId="0" applyFont="1" applyFill="1" applyBorder="1" applyAlignment="1">
      <alignment horizontal="center"/>
    </xf>
    <xf numFmtId="0" fontId="31" fillId="19" borderId="0" xfId="0" applyFont="1" applyFill="1" applyBorder="1" applyAlignment="1" applyProtection="1">
      <alignment horizontal="center" vertical="center"/>
    </xf>
    <xf numFmtId="0" fontId="52" fillId="26" borderId="0" xfId="0" applyFont="1" applyFill="1" applyBorder="1" applyAlignment="1">
      <alignment horizontal="center" vertical="center"/>
    </xf>
    <xf numFmtId="0" fontId="53" fillId="8" borderId="26" xfId="0" applyFont="1" applyFill="1" applyBorder="1" applyAlignment="1" applyProtection="1">
      <alignment horizontal="center" vertical="center"/>
    </xf>
    <xf numFmtId="0" fontId="33" fillId="11" borderId="21" xfId="0" applyFont="1" applyFill="1" applyBorder="1" applyAlignment="1" applyProtection="1">
      <alignment horizontal="center" vertical="center"/>
      <protection locked="0"/>
    </xf>
    <xf numFmtId="0" fontId="31" fillId="26" borderId="0" xfId="0" applyFont="1" applyFill="1" applyAlignment="1">
      <alignment horizontal="center" vertical="center"/>
    </xf>
    <xf numFmtId="0" fontId="11" fillId="8" borderId="34" xfId="0" applyFont="1" applyFill="1" applyBorder="1" applyAlignment="1" applyProtection="1">
      <alignment horizontal="center" vertical="center" wrapText="1"/>
    </xf>
    <xf numFmtId="0" fontId="11" fillId="8" borderId="26" xfId="0" applyFont="1" applyFill="1" applyBorder="1" applyAlignment="1" applyProtection="1">
      <alignment horizontal="center" vertical="center" wrapText="1"/>
    </xf>
    <xf numFmtId="0" fontId="54" fillId="19" borderId="0" xfId="0" applyFont="1" applyFill="1" applyAlignment="1">
      <alignment vertical="center"/>
    </xf>
    <xf numFmtId="0" fontId="11" fillId="8" borderId="16" xfId="0" applyFont="1" applyFill="1" applyBorder="1" applyAlignment="1" applyProtection="1">
      <alignment horizontal="center" vertical="center"/>
    </xf>
    <xf numFmtId="0" fontId="52" fillId="19" borderId="0" xfId="0" applyFont="1" applyFill="1" applyBorder="1" applyAlignment="1" applyProtection="1">
      <alignment vertical="center"/>
    </xf>
    <xf numFmtId="0" fontId="13" fillId="26" borderId="0" xfId="0" applyFont="1" applyFill="1" applyAlignment="1" applyProtection="1">
      <alignment horizontal="center" vertical="center"/>
    </xf>
    <xf numFmtId="0" fontId="55" fillId="19" borderId="0" xfId="0" applyFont="1" applyFill="1" applyAlignment="1" applyProtection="1">
      <alignment vertical="center"/>
    </xf>
    <xf numFmtId="0" fontId="25" fillId="8" borderId="16" xfId="0" applyFont="1" applyFill="1" applyBorder="1" applyAlignment="1" applyProtection="1">
      <alignment horizontal="center" vertical="center" wrapText="1"/>
      <protection locked="0"/>
    </xf>
    <xf numFmtId="0" fontId="56" fillId="11" borderId="16" xfId="0" applyFont="1" applyFill="1" applyBorder="1" applyAlignment="1" applyProtection="1">
      <alignment horizontal="center" vertical="center"/>
      <protection locked="0"/>
    </xf>
    <xf numFmtId="0" fontId="57" fillId="26" borderId="0" xfId="0" applyFont="1" applyFill="1" applyBorder="1" applyAlignment="1">
      <alignment horizontal="center" vertical="center"/>
    </xf>
    <xf numFmtId="0" fontId="14" fillId="23" borderId="16" xfId="0" applyFont="1" applyFill="1" applyBorder="1" applyAlignment="1" applyProtection="1">
      <alignment horizontal="center" vertical="center"/>
      <protection locked="0"/>
    </xf>
    <xf numFmtId="0" fontId="13" fillId="11" borderId="16" xfId="0" applyFont="1" applyFill="1" applyBorder="1" applyAlignment="1" applyProtection="1">
      <alignment horizontal="left" vertical="center" wrapText="1" indent="1"/>
      <protection locked="0"/>
    </xf>
    <xf numFmtId="0" fontId="7" fillId="7" borderId="35" xfId="0" applyFont="1" applyFill="1" applyBorder="1" applyAlignment="1" applyProtection="1">
      <alignment horizontal="center" vertical="center"/>
      <protection locked="0"/>
    </xf>
    <xf numFmtId="0" fontId="7" fillId="11" borderId="35" xfId="0" applyFont="1" applyFill="1" applyBorder="1" applyAlignment="1" applyProtection="1">
      <alignment horizontal="center" vertical="center"/>
      <protection locked="0"/>
    </xf>
    <xf numFmtId="0" fontId="7" fillId="7" borderId="31" xfId="0" applyFont="1" applyFill="1" applyBorder="1" applyAlignment="1" applyProtection="1">
      <alignment horizontal="center" vertical="center"/>
      <protection locked="0"/>
    </xf>
    <xf numFmtId="0" fontId="7" fillId="11" borderId="28" xfId="0" applyFont="1" applyFill="1" applyBorder="1" applyAlignment="1" applyProtection="1">
      <alignment horizontal="center" vertical="center"/>
      <protection locked="0"/>
    </xf>
    <xf numFmtId="0" fontId="7" fillId="7" borderId="20" xfId="0" applyFont="1" applyFill="1" applyBorder="1" applyAlignment="1" applyProtection="1">
      <alignment horizontal="center" vertical="center"/>
      <protection locked="0"/>
    </xf>
    <xf numFmtId="0" fontId="13" fillId="7" borderId="16" xfId="0" applyFont="1" applyFill="1" applyBorder="1" applyAlignment="1" applyProtection="1">
      <alignment horizontal="left" vertical="center" wrapText="1" indent="1"/>
      <protection locked="0"/>
    </xf>
    <xf numFmtId="0" fontId="14" fillId="7" borderId="16" xfId="0" applyFont="1" applyFill="1" applyBorder="1" applyAlignment="1" applyProtection="1">
      <alignment horizontal="center" vertical="center" wrapText="1"/>
      <protection locked="0"/>
    </xf>
    <xf numFmtId="0" fontId="25" fillId="8" borderId="26" xfId="0" applyFont="1" applyFill="1" applyBorder="1" applyAlignment="1" applyProtection="1">
      <alignment horizontal="center" vertical="center"/>
    </xf>
    <xf numFmtId="0" fontId="13" fillId="24" borderId="16" xfId="0" applyFont="1" applyFill="1" applyBorder="1" applyAlignment="1" applyProtection="1">
      <alignment horizontal="center" vertical="center"/>
    </xf>
    <xf numFmtId="0" fontId="13" fillId="21" borderId="26" xfId="0" applyFont="1" applyFill="1" applyBorder="1" applyAlignment="1" applyProtection="1">
      <alignment horizontal="center" vertical="center"/>
    </xf>
    <xf numFmtId="0" fontId="58" fillId="24" borderId="16" xfId="0" applyFont="1" applyFill="1" applyBorder="1" applyAlignment="1" applyProtection="1">
      <alignment horizontal="center" vertical="center"/>
    </xf>
    <xf numFmtId="0" fontId="59" fillId="19" borderId="0" xfId="0" applyFont="1" applyFill="1" applyBorder="1" applyAlignment="1">
      <alignment vertical="center"/>
    </xf>
    <xf numFmtId="0" fontId="25" fillId="8" borderId="26" xfId="0" applyFont="1" applyFill="1" applyBorder="1" applyAlignment="1">
      <alignment horizontal="center" vertical="center" wrapText="1"/>
    </xf>
    <xf numFmtId="0" fontId="60" fillId="24" borderId="16" xfId="0" applyFont="1" applyFill="1" applyBorder="1" applyAlignment="1">
      <alignment horizontal="center" vertical="center"/>
    </xf>
    <xf numFmtId="0" fontId="14" fillId="0" borderId="16" xfId="0" applyFont="1" applyBorder="1" applyAlignment="1">
      <alignment horizontal="center" vertical="center"/>
    </xf>
    <xf numFmtId="0" fontId="30" fillId="19" borderId="0" xfId="0" applyFont="1" applyFill="1" applyBorder="1" applyAlignment="1" applyProtection="1">
      <alignment horizontal="center"/>
    </xf>
    <xf numFmtId="0" fontId="31" fillId="19" borderId="0" xfId="0" applyFont="1" applyFill="1" applyAlignment="1" applyProtection="1">
      <alignment horizontal="center" vertical="center"/>
    </xf>
    <xf numFmtId="0" fontId="61" fillId="11" borderId="26" xfId="0" applyFont="1" applyFill="1" applyBorder="1" applyAlignment="1" applyProtection="1">
      <alignment horizontal="center" vertical="center"/>
      <protection locked="0"/>
    </xf>
    <xf numFmtId="0" fontId="62" fillId="11" borderId="28" xfId="0" applyFont="1" applyFill="1" applyBorder="1" applyAlignment="1" applyProtection="1">
      <alignment horizontal="center" vertical="center"/>
    </xf>
    <xf numFmtId="0" fontId="61" fillId="11" borderId="20" xfId="0" applyFont="1" applyFill="1" applyBorder="1" applyAlignment="1" applyProtection="1">
      <alignment horizontal="center" vertical="center"/>
    </xf>
    <xf numFmtId="0" fontId="33" fillId="11" borderId="26" xfId="0" applyFont="1" applyFill="1" applyBorder="1" applyAlignment="1" applyProtection="1">
      <alignment horizontal="center" vertical="center"/>
      <protection locked="0"/>
    </xf>
    <xf numFmtId="0" fontId="33" fillId="11" borderId="31" xfId="0" applyFont="1" applyFill="1" applyBorder="1" applyAlignment="1" applyProtection="1">
      <alignment horizontal="center" vertical="center"/>
    </xf>
    <xf numFmtId="0" fontId="33" fillId="11" borderId="22" xfId="0" applyFont="1" applyFill="1" applyBorder="1" applyAlignment="1" applyProtection="1">
      <alignment horizontal="center" vertical="center"/>
    </xf>
    <xf numFmtId="0" fontId="33" fillId="11" borderId="36" xfId="0" applyFont="1" applyFill="1" applyBorder="1" applyAlignment="1" applyProtection="1">
      <alignment horizontal="center" vertical="center"/>
      <protection locked="0"/>
    </xf>
    <xf numFmtId="0" fontId="33" fillId="11" borderId="37" xfId="0" applyFont="1" applyFill="1" applyBorder="1" applyAlignment="1" applyProtection="1">
      <alignment horizontal="center" vertical="center"/>
    </xf>
    <xf numFmtId="0" fontId="33" fillId="11" borderId="28" xfId="0" applyFont="1" applyFill="1" applyBorder="1" applyAlignment="1" applyProtection="1">
      <alignment horizontal="center" vertical="center"/>
    </xf>
    <xf numFmtId="0" fontId="63" fillId="11" borderId="28" xfId="0" applyFont="1" applyFill="1" applyBorder="1" applyAlignment="1" applyProtection="1">
      <alignment horizontal="center" vertical="center"/>
    </xf>
    <xf numFmtId="0" fontId="28" fillId="23" borderId="16" xfId="0" applyFont="1" applyFill="1" applyBorder="1" applyAlignment="1" applyProtection="1">
      <alignment horizontal="center" vertical="center"/>
      <protection locked="0"/>
    </xf>
    <xf numFmtId="0" fontId="14" fillId="19" borderId="0" xfId="0" applyFont="1" applyFill="1" applyBorder="1" applyAlignment="1" applyProtection="1">
      <alignment horizontal="center" vertical="center"/>
      <protection locked="0"/>
    </xf>
    <xf numFmtId="0" fontId="14" fillId="11" borderId="26" xfId="0" applyFont="1" applyFill="1" applyBorder="1" applyAlignment="1" applyProtection="1">
      <alignment horizontal="center" vertical="center"/>
      <protection locked="0"/>
    </xf>
    <xf numFmtId="0" fontId="14" fillId="11" borderId="20" xfId="0" applyFont="1" applyFill="1" applyBorder="1" applyAlignment="1" applyProtection="1">
      <alignment horizontal="center" vertical="center"/>
    </xf>
    <xf numFmtId="0" fontId="64" fillId="11" borderId="16" xfId="0" applyFont="1" applyFill="1" applyBorder="1" applyAlignment="1" applyProtection="1">
      <alignment horizontal="center" vertical="center"/>
      <protection locked="0"/>
    </xf>
    <xf numFmtId="0" fontId="12" fillId="26" borderId="28" xfId="0" applyFont="1" applyFill="1" applyBorder="1" applyAlignment="1" applyProtection="1">
      <alignment horizontal="center"/>
    </xf>
    <xf numFmtId="0" fontId="65" fillId="19" borderId="0" xfId="0" applyFont="1" applyFill="1" applyBorder="1" applyAlignment="1">
      <alignment horizontal="center" vertical="center"/>
    </xf>
    <xf numFmtId="0" fontId="35" fillId="19" borderId="0" xfId="0" applyFont="1" applyFill="1" applyBorder="1" applyAlignment="1">
      <alignment vertical="center"/>
    </xf>
    <xf numFmtId="0" fontId="21" fillId="19" borderId="0" xfId="0" applyFont="1" applyFill="1" applyAlignment="1">
      <alignment horizontal="center" vertical="center"/>
    </xf>
    <xf numFmtId="0" fontId="10" fillId="8" borderId="16" xfId="0" applyFont="1" applyFill="1" applyBorder="1" applyAlignment="1">
      <alignment horizontal="center" vertical="center"/>
    </xf>
    <xf numFmtId="0" fontId="21" fillId="19" borderId="0" xfId="0" applyFont="1" applyFill="1" applyAlignment="1">
      <alignment vertical="center"/>
    </xf>
    <xf numFmtId="0" fontId="29" fillId="19" borderId="0" xfId="0" applyFont="1" applyFill="1" applyBorder="1" applyAlignment="1">
      <alignment horizontal="center" vertical="top"/>
    </xf>
    <xf numFmtId="0" fontId="66" fillId="11" borderId="16" xfId="0" applyFont="1" applyFill="1" applyBorder="1" applyAlignment="1" applyProtection="1">
      <alignment horizontal="center" vertical="top"/>
      <protection locked="0"/>
    </xf>
    <xf numFmtId="0" fontId="67" fillId="19" borderId="0" xfId="0" applyFont="1" applyFill="1" applyBorder="1" applyAlignment="1">
      <alignment vertical="center"/>
    </xf>
    <xf numFmtId="0" fontId="29" fillId="19" borderId="0" xfId="0" applyFont="1" applyFill="1" applyAlignment="1">
      <alignment vertical="top"/>
    </xf>
    <xf numFmtId="0" fontId="58" fillId="11" borderId="16" xfId="0" applyFont="1" applyFill="1" applyBorder="1" applyAlignment="1" applyProtection="1">
      <alignment horizontal="center" vertical="center"/>
      <protection locked="0"/>
    </xf>
    <xf numFmtId="0" fontId="13" fillId="23" borderId="16" xfId="0" applyFont="1" applyFill="1" applyBorder="1" applyAlignment="1">
      <alignment horizontal="center" vertical="center"/>
    </xf>
    <xf numFmtId="177" fontId="14" fillId="7" borderId="16" xfId="0" applyNumberFormat="1" applyFont="1" applyFill="1" applyBorder="1" applyAlignment="1" applyProtection="1">
      <alignment horizontal="center" vertical="center"/>
      <protection locked="0"/>
    </xf>
    <xf numFmtId="177" fontId="14" fillId="11" borderId="16" xfId="0" applyNumberFormat="1" applyFont="1" applyFill="1" applyBorder="1" applyAlignment="1" applyProtection="1">
      <alignment horizontal="center" vertical="center"/>
      <protection locked="0"/>
    </xf>
    <xf numFmtId="0" fontId="13" fillId="23" borderId="16" xfId="0" applyFont="1" applyFill="1" applyBorder="1" applyAlignment="1" applyProtection="1">
      <alignment horizontal="center" vertical="center"/>
    </xf>
    <xf numFmtId="0" fontId="68" fillId="21" borderId="16" xfId="0" applyFont="1" applyFill="1" applyBorder="1" applyAlignment="1">
      <alignment horizontal="center" vertical="center"/>
    </xf>
    <xf numFmtId="0" fontId="25" fillId="19" borderId="0" xfId="0" applyFont="1" applyFill="1" applyAlignment="1">
      <alignment vertical="center"/>
    </xf>
    <xf numFmtId="0" fontId="12" fillId="26" borderId="0" xfId="0" applyFont="1" applyFill="1" applyBorder="1" applyAlignment="1" applyProtection="1">
      <alignment horizontal="center" wrapText="1"/>
    </xf>
    <xf numFmtId="0" fontId="69" fillId="7" borderId="16" xfId="0" applyFont="1" applyFill="1" applyBorder="1" applyAlignment="1">
      <alignment horizontal="center" vertical="center"/>
    </xf>
    <xf numFmtId="0" fontId="13" fillId="11" borderId="16" xfId="0" applyFont="1" applyFill="1" applyBorder="1" applyAlignment="1" applyProtection="1">
      <alignment horizontal="center" vertical="center" wrapText="1"/>
    </xf>
    <xf numFmtId="0" fontId="13" fillId="7" borderId="16" xfId="0" applyFont="1" applyFill="1" applyBorder="1" applyAlignment="1" applyProtection="1">
      <alignment horizontal="center" vertical="center" wrapText="1"/>
    </xf>
    <xf numFmtId="0" fontId="19" fillId="7" borderId="28" xfId="0" applyFont="1" applyFill="1" applyBorder="1" applyAlignment="1" applyProtection="1">
      <alignment horizontal="center" vertical="center"/>
    </xf>
    <xf numFmtId="0" fontId="19" fillId="7" borderId="20" xfId="0" applyFont="1" applyFill="1" applyBorder="1" applyAlignment="1" applyProtection="1">
      <alignment horizontal="center" vertical="center"/>
    </xf>
    <xf numFmtId="0" fontId="19" fillId="11" borderId="28" xfId="0" applyFont="1" applyFill="1" applyBorder="1" applyAlignment="1" applyProtection="1">
      <alignment horizontal="center" vertical="center"/>
    </xf>
    <xf numFmtId="0" fontId="19" fillId="11" borderId="20" xfId="0" applyFont="1" applyFill="1" applyBorder="1" applyAlignment="1" applyProtection="1">
      <alignment horizontal="center" vertical="center"/>
    </xf>
    <xf numFmtId="0" fontId="13" fillId="7" borderId="26" xfId="0" applyFont="1" applyFill="1" applyBorder="1" applyAlignment="1" applyProtection="1">
      <alignment horizontal="center" vertical="center" wrapText="1"/>
    </xf>
    <xf numFmtId="0" fontId="14" fillId="7" borderId="16" xfId="0" applyFont="1" applyFill="1" applyBorder="1" applyAlignment="1" applyProtection="1">
      <alignment horizontal="center" vertical="center" wrapText="1"/>
    </xf>
    <xf numFmtId="0" fontId="14" fillId="11" borderId="16" xfId="0" applyFont="1" applyFill="1" applyBorder="1" applyAlignment="1" applyProtection="1">
      <alignment horizontal="center" vertical="center" wrapText="1"/>
    </xf>
    <xf numFmtId="0" fontId="70" fillId="19" borderId="0" xfId="0" applyFont="1" applyFill="1" applyBorder="1" applyAlignment="1" applyProtection="1">
      <alignment horizontal="center" vertical="center"/>
      <protection locked="0"/>
    </xf>
    <xf numFmtId="0" fontId="14" fillId="19" borderId="0" xfId="0" applyFont="1" applyFill="1" applyBorder="1" applyAlignment="1">
      <alignment horizontal="center" vertical="center"/>
    </xf>
    <xf numFmtId="0" fontId="70" fillId="19" borderId="0" xfId="0" applyFont="1" applyFill="1" applyBorder="1" applyAlignment="1" applyProtection="1">
      <alignment horizontal="left" vertical="center"/>
      <protection locked="0"/>
    </xf>
    <xf numFmtId="0" fontId="13" fillId="19" borderId="0" xfId="0" applyFont="1" applyFill="1" applyBorder="1" applyAlignment="1" applyProtection="1">
      <alignment vertical="top" wrapText="1"/>
      <protection locked="0"/>
    </xf>
    <xf numFmtId="0" fontId="3" fillId="19" borderId="0" xfId="0" applyFont="1" applyFill="1" applyBorder="1" applyAlignment="1">
      <alignment vertical="center" wrapText="1"/>
    </xf>
    <xf numFmtId="0" fontId="29" fillId="19" borderId="0" xfId="0" applyFont="1" applyFill="1" applyBorder="1" applyAlignment="1">
      <alignment horizontal="center" vertical="center"/>
    </xf>
    <xf numFmtId="0" fontId="14" fillId="0" borderId="16" xfId="0" applyFont="1" applyBorder="1" applyAlignment="1" applyProtection="1">
      <alignment horizontal="center" vertical="center" wrapText="1"/>
      <protection locked="0"/>
    </xf>
    <xf numFmtId="0" fontId="13" fillId="19" borderId="0" xfId="0" applyFont="1" applyFill="1" applyBorder="1" applyAlignment="1" applyProtection="1">
      <alignment horizontal="center" vertical="center" wrapText="1"/>
      <protection locked="0"/>
    </xf>
    <xf numFmtId="0" fontId="14" fillId="11" borderId="16" xfId="0" applyFont="1" applyFill="1" applyBorder="1" applyAlignment="1" applyProtection="1">
      <alignment horizontal="center" vertical="center" wrapText="1"/>
      <protection locked="0"/>
    </xf>
    <xf numFmtId="0" fontId="13" fillId="11" borderId="36" xfId="0" applyFont="1" applyFill="1" applyBorder="1" applyAlignment="1" applyProtection="1">
      <alignment horizontal="center" vertical="center" wrapText="1"/>
      <protection locked="0"/>
    </xf>
    <xf numFmtId="0" fontId="13" fillId="11" borderId="33" xfId="0" applyFont="1" applyFill="1" applyBorder="1" applyAlignment="1" applyProtection="1">
      <alignment horizontal="center" vertical="center" wrapText="1"/>
      <protection locked="0"/>
    </xf>
    <xf numFmtId="0" fontId="13" fillId="7" borderId="26" xfId="0" applyFont="1" applyFill="1" applyBorder="1" applyAlignment="1" applyProtection="1">
      <alignment horizontal="center" vertical="center" wrapText="1"/>
      <protection locked="0"/>
    </xf>
    <xf numFmtId="0" fontId="13" fillId="7" borderId="28" xfId="0" applyFont="1" applyFill="1" applyBorder="1" applyAlignment="1" applyProtection="1">
      <alignment horizontal="center" vertical="center" wrapText="1"/>
      <protection locked="0"/>
    </xf>
    <xf numFmtId="0" fontId="14" fillId="11" borderId="32" xfId="0" applyFont="1" applyFill="1" applyBorder="1" applyAlignment="1" applyProtection="1">
      <alignment horizontal="center" vertical="center" wrapText="1"/>
      <protection locked="0"/>
    </xf>
    <xf numFmtId="0" fontId="29" fillId="26" borderId="0" xfId="0" applyFont="1" applyFill="1" applyAlignment="1">
      <alignment horizontal="center" vertical="center"/>
    </xf>
    <xf numFmtId="0" fontId="13" fillId="11" borderId="37" xfId="0" applyFont="1" applyFill="1" applyBorder="1" applyAlignment="1" applyProtection="1">
      <alignment horizontal="center" vertical="center" wrapText="1"/>
    </xf>
    <xf numFmtId="0" fontId="13" fillId="7" borderId="20" xfId="0" applyFont="1" applyFill="1" applyBorder="1" applyAlignment="1" applyProtection="1">
      <alignment horizontal="center" vertical="center" wrapText="1"/>
    </xf>
    <xf numFmtId="0" fontId="13" fillId="19" borderId="0" xfId="0" applyFont="1" applyFill="1" applyBorder="1" applyAlignment="1" applyProtection="1">
      <alignment vertical="top" wrapText="1"/>
    </xf>
    <xf numFmtId="0" fontId="14" fillId="0" borderId="32" xfId="0" applyFont="1" applyBorder="1" applyAlignment="1">
      <alignment horizontal="center" vertical="center"/>
    </xf>
    <xf numFmtId="0" fontId="14" fillId="0" borderId="32" xfId="0" applyFont="1" applyBorder="1" applyAlignment="1">
      <alignment horizontal="center" vertical="center" wrapText="1"/>
    </xf>
    <xf numFmtId="0" fontId="29" fillId="26" borderId="0" xfId="0" applyFont="1" applyFill="1" applyBorder="1" applyAlignment="1">
      <alignment horizontal="center" vertical="center"/>
    </xf>
    <xf numFmtId="0" fontId="10" fillId="27" borderId="0" xfId="0" applyFont="1" applyFill="1" applyBorder="1" applyAlignment="1">
      <alignment horizontal="center" vertical="center" wrapText="1"/>
    </xf>
    <xf numFmtId="0" fontId="13" fillId="19" borderId="0" xfId="0" applyFont="1" applyFill="1" applyBorder="1" applyAlignment="1">
      <alignment horizontal="center" vertical="center" wrapText="1"/>
    </xf>
    <xf numFmtId="0" fontId="25" fillId="8" borderId="16" xfId="0" applyFont="1" applyFill="1" applyBorder="1" applyAlignment="1" applyProtection="1">
      <alignment horizontal="center" vertical="center" wrapText="1"/>
    </xf>
    <xf numFmtId="0" fontId="14" fillId="0" borderId="20" xfId="0" applyFont="1" applyBorder="1" applyAlignment="1" applyProtection="1">
      <alignment horizontal="center" vertical="center" wrapText="1"/>
      <protection locked="0"/>
    </xf>
    <xf numFmtId="0" fontId="13" fillId="19" borderId="0" xfId="0" applyFont="1" applyFill="1" applyBorder="1" applyAlignment="1" applyProtection="1">
      <alignment horizontal="center" vertical="center" wrapText="1"/>
    </xf>
    <xf numFmtId="0" fontId="14" fillId="19" borderId="0" xfId="0" applyFont="1" applyFill="1" applyBorder="1" applyAlignment="1" applyProtection="1">
      <alignment horizontal="center" vertical="center" wrapText="1"/>
    </xf>
    <xf numFmtId="0" fontId="3" fillId="28" borderId="16" xfId="0" applyFont="1" applyFill="1" applyBorder="1" applyAlignment="1" applyProtection="1">
      <alignment horizontal="center" vertical="center" wrapText="1"/>
      <protection locked="0"/>
    </xf>
    <xf numFmtId="0" fontId="13" fillId="19" borderId="0" xfId="0" applyFont="1" applyFill="1" applyAlignment="1" applyProtection="1">
      <alignment horizontal="center" vertical="center" wrapText="1"/>
    </xf>
    <xf numFmtId="0" fontId="13" fillId="19" borderId="0" xfId="0" applyFont="1" applyFill="1" applyAlignment="1">
      <alignment horizontal="center" vertical="center" wrapText="1"/>
    </xf>
    <xf numFmtId="0" fontId="14" fillId="28" borderId="16" xfId="0" applyFont="1" applyFill="1" applyBorder="1" applyAlignment="1" applyProtection="1">
      <alignment horizontal="center" vertical="center" wrapText="1"/>
      <protection locked="0"/>
    </xf>
    <xf numFmtId="0" fontId="25" fillId="19" borderId="0" xfId="0" applyFont="1" applyFill="1" applyBorder="1" applyAlignment="1" applyProtection="1">
      <alignment horizontal="center" vertical="center" wrapText="1"/>
    </xf>
    <xf numFmtId="0" fontId="14" fillId="23" borderId="16" xfId="0" applyFont="1" applyFill="1" applyBorder="1" applyAlignment="1" applyProtection="1">
      <alignment horizontal="center" vertical="center" wrapText="1"/>
      <protection locked="0"/>
    </xf>
    <xf numFmtId="0" fontId="25" fillId="8" borderId="34" xfId="0" applyFont="1" applyFill="1" applyBorder="1" applyAlignment="1">
      <alignment horizontal="center" vertical="center" wrapText="1"/>
    </xf>
    <xf numFmtId="0" fontId="32" fillId="8" borderId="16" xfId="0" applyFont="1" applyFill="1" applyBorder="1" applyAlignment="1">
      <alignment horizontal="center" vertical="center" wrapText="1"/>
    </xf>
    <xf numFmtId="0" fontId="32" fillId="8" borderId="16" xfId="0" applyFont="1" applyFill="1" applyBorder="1" applyAlignment="1" applyProtection="1">
      <alignment horizontal="center" vertical="center" wrapText="1"/>
    </xf>
    <xf numFmtId="0" fontId="3" fillId="11" borderId="16" xfId="0" applyFont="1" applyFill="1" applyBorder="1" applyAlignment="1" applyProtection="1">
      <alignment horizontal="center" vertical="center" wrapText="1" shrinkToFit="1"/>
      <protection locked="0"/>
    </xf>
    <xf numFmtId="0" fontId="3" fillId="11" borderId="16" xfId="0" applyFont="1" applyFill="1" applyBorder="1" applyAlignment="1" applyProtection="1">
      <alignment horizontal="center" vertical="center" wrapText="1"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ill>
        <patternFill patternType="solid">
          <bgColor rgb="FF000000"/>
        </patternFill>
      </fill>
      <border>
        <left style="thin">
          <color auto="1"/>
        </left>
        <right style="thin">
          <color auto="1"/>
        </right>
        <top style="thin">
          <color auto="1"/>
        </top>
        <bottom style="thin">
          <color auto="1"/>
        </bottom>
      </border>
    </dxf>
    <dxf>
      <font>
        <color rgb="FFFFCC00"/>
      </font>
    </dxf>
    <dxf>
      <fill>
        <patternFill patternType="solid">
          <bgColor rgb="FF000000"/>
        </patternFill>
      </fill>
      <border>
        <left/>
        <right/>
        <top/>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800000"/>
      <rgbColor rgb="00F2DCDB"/>
      <rgbColor rgb="00000080"/>
      <rgbColor rgb="00DDD9C3"/>
      <rgbColor rgb="00EBF1DE"/>
      <rgbColor rgb="000070C0"/>
      <rgbColor rgb="00C0C0C0"/>
      <rgbColor rgb="00808080"/>
      <rgbColor rgb="00558ED5"/>
      <rgbColor rgb="00953735"/>
      <rgbColor rgb="00FFFFCC"/>
      <rgbColor rgb="00CCFFFF"/>
      <rgbColor rgb="00F7F7EB"/>
      <rgbColor rgb="00F9D2E1"/>
      <rgbColor rgb="000066CC"/>
      <rgbColor rgb="00CCC1DA"/>
      <rgbColor rgb="00000080"/>
      <rgbColor rgb="00FDEADA"/>
      <rgbColor rgb="00FEDEAB"/>
      <rgbColor rgb="00D7E4BD"/>
      <rgbColor rgb="00F2F2F2"/>
      <rgbColor rgb="00800000"/>
      <rgbColor rgb="0000B050"/>
      <rgbColor rgb="000000FF"/>
      <rgbColor rgb="0000CCFF"/>
      <rgbColor rgb="00B9FBFE"/>
      <rgbColor rgb="00B3FFB9"/>
      <rgbColor rgb="00FAFEC2"/>
      <rgbColor rgb="0093CDDD"/>
      <rgbColor rgb="00E6B9B8"/>
      <rgbColor rgb="00BFBFBF"/>
      <rgbColor rgb="00FAC090"/>
      <rgbColor rgb="004F81BD"/>
      <rgbColor rgb="0000B0F0"/>
      <rgbColor rgb="0092D050"/>
      <rgbColor rgb="00FFCC00"/>
      <rgbColor rgb="00FFC000"/>
      <rgbColor rgb="00D9D9D9"/>
      <rgbColor rgb="00376092"/>
      <rgbColor rgb="0092CDDC"/>
      <rgbColor rgb="00F8F7E5"/>
      <rgbColor rgb="00339966"/>
      <rgbColor rgb="00003300"/>
      <rgbColor rgb="00EEECE1"/>
      <rgbColor rgb="00993300"/>
      <rgbColor rgb="007030A0"/>
      <rgbColor rgb="001F497D"/>
      <rgbColor rgb="006325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12</xdr:row>
      <xdr:rowOff>99060</xdr:rowOff>
    </xdr:from>
    <xdr:to>
      <xdr:col>11</xdr:col>
      <xdr:colOff>405910</xdr:colOff>
      <xdr:row>21</xdr:row>
      <xdr:rowOff>151580</xdr:rowOff>
    </xdr:to>
    <xdr:pic>
      <xdr:nvPicPr>
        <xdr:cNvPr id="2" name="图片 1"/>
        <xdr:cNvPicPr/>
      </xdr:nvPicPr>
      <xdr:blipFill>
        <a:blip r:embed="rId1"/>
        <a:stretch>
          <a:fillRect/>
        </a:stretch>
      </xdr:blipFill>
      <xdr:spPr>
        <a:xfrm>
          <a:off x="635" y="2226310"/>
          <a:ext cx="5744845" cy="1680845"/>
        </a:xfrm>
        <a:prstGeom prst="rect">
          <a:avLst/>
        </a:prstGeom>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58ED5"/>
  </sheetPr>
  <dimension ref="A1:BH100"/>
  <sheetViews>
    <sheetView zoomScale="115" zoomScaleNormal="115" zoomScalePageLayoutView="115" workbookViewId="0">
      <selection activeCell="M6" sqref="M6:P6"/>
    </sheetView>
  </sheetViews>
  <sheetFormatPr defaultColWidth="8.99090909090909" defaultRowHeight="16.5"/>
  <cols>
    <col min="1" max="16" width="2.38181818181818" style="197" customWidth="1"/>
    <col min="17" max="17" width="4.11818181818182" style="197" customWidth="1"/>
    <col min="18" max="21" width="2.38181818181818" style="197" customWidth="1"/>
    <col min="22" max="22" width="3.75454545454545" style="197" customWidth="1"/>
    <col min="23" max="53" width="2.75454545454545" style="197" customWidth="1"/>
    <col min="54" max="104" width="2.38181818181818" style="197" customWidth="1"/>
    <col min="105" max="16384" width="8.99090909090909" style="197"/>
  </cols>
  <sheetData>
    <row r="1" customHeight="1" spans="1:54">
      <c r="A1" s="387" t="s">
        <v>0</v>
      </c>
      <c r="B1" s="387"/>
      <c r="C1" s="387"/>
      <c r="D1" s="387"/>
      <c r="E1" s="387"/>
      <c r="F1" s="387"/>
      <c r="G1" s="387"/>
      <c r="H1" s="387"/>
      <c r="I1" s="387"/>
      <c r="J1" s="387"/>
      <c r="K1" s="387"/>
      <c r="L1" s="387"/>
      <c r="M1" s="387"/>
      <c r="N1" s="387"/>
      <c r="O1" s="387"/>
      <c r="P1" s="387"/>
      <c r="Q1" s="387"/>
      <c r="R1" s="387"/>
      <c r="S1" s="387"/>
      <c r="T1" s="387"/>
      <c r="U1" s="387"/>
      <c r="V1" s="387"/>
      <c r="W1" s="387"/>
      <c r="X1" s="387"/>
      <c r="Y1" s="387"/>
      <c r="Z1" s="387"/>
      <c r="AA1" s="387"/>
      <c r="AB1" s="387"/>
      <c r="AC1" s="387"/>
      <c r="AD1" s="387"/>
      <c r="AE1" s="387"/>
      <c r="AF1" s="387"/>
      <c r="AG1" s="387"/>
      <c r="AH1" s="387"/>
      <c r="AI1" s="387"/>
      <c r="AJ1" s="387"/>
      <c r="AK1" s="387"/>
      <c r="AL1" s="387"/>
      <c r="AM1" s="387"/>
      <c r="AN1" s="387"/>
      <c r="AO1" s="387"/>
      <c r="AP1" s="387"/>
      <c r="AQ1" s="387"/>
      <c r="AR1" s="387"/>
      <c r="AS1" s="387"/>
      <c r="AT1" s="387"/>
      <c r="AU1" s="387"/>
      <c r="AV1" s="387"/>
      <c r="AW1" s="387"/>
      <c r="AX1" s="387"/>
      <c r="AY1" s="387"/>
      <c r="AZ1" s="387"/>
      <c r="BA1" s="387"/>
      <c r="BB1" s="387"/>
    </row>
    <row r="2" customHeight="1" spans="1:51">
      <c r="A2" s="388"/>
      <c r="B2" s="388"/>
      <c r="C2" s="388"/>
      <c r="D2" s="388"/>
      <c r="E2" s="388"/>
      <c r="F2" s="388"/>
      <c r="G2" s="388"/>
      <c r="H2" s="388"/>
      <c r="I2" s="388"/>
      <c r="J2" s="388"/>
      <c r="K2" s="388"/>
      <c r="L2" s="388"/>
      <c r="M2" s="388"/>
      <c r="N2" s="388"/>
      <c r="O2" s="388"/>
      <c r="P2" s="388"/>
      <c r="Q2" s="391"/>
      <c r="R2" s="388"/>
      <c r="S2" s="388"/>
      <c r="T2" s="388"/>
      <c r="U2" s="388"/>
      <c r="V2" s="388"/>
      <c r="W2" s="388"/>
      <c r="X2" s="388"/>
      <c r="Y2" s="388"/>
      <c r="Z2" s="388"/>
      <c r="AA2" s="388"/>
      <c r="AB2" s="388"/>
      <c r="AC2" s="388"/>
      <c r="AD2" s="388"/>
      <c r="AE2" s="388"/>
      <c r="AF2" s="388"/>
      <c r="AG2" s="388"/>
      <c r="AH2" s="388"/>
      <c r="AI2" s="388"/>
      <c r="AJ2" s="388"/>
      <c r="AK2" s="388"/>
      <c r="AL2" s="388"/>
      <c r="AM2" s="388"/>
      <c r="AN2" s="388"/>
      <c r="AO2" s="388"/>
      <c r="AP2" s="388"/>
      <c r="AQ2" s="388"/>
      <c r="AR2" s="388"/>
      <c r="AS2" s="388"/>
      <c r="AT2" s="388"/>
      <c r="AU2" s="388"/>
      <c r="AV2" s="388"/>
      <c r="AW2" s="134"/>
      <c r="AX2" s="134"/>
      <c r="AY2" s="134"/>
    </row>
    <row r="3" customHeight="1" spans="1:53">
      <c r="A3" s="388"/>
      <c r="B3" s="389" t="s">
        <v>1</v>
      </c>
      <c r="C3" s="389"/>
      <c r="D3" s="389"/>
      <c r="E3" s="390"/>
      <c r="F3" s="390"/>
      <c r="G3" s="390"/>
      <c r="H3" s="390"/>
      <c r="I3" s="390"/>
      <c r="J3" s="390"/>
      <c r="K3" s="390"/>
      <c r="L3" s="390"/>
      <c r="M3" s="390"/>
      <c r="N3" s="390"/>
      <c r="O3" s="390"/>
      <c r="P3" s="390"/>
      <c r="Q3" s="392"/>
      <c r="R3" s="400" t="s">
        <v>2</v>
      </c>
      <c r="S3" s="400"/>
      <c r="T3" s="400"/>
      <c r="U3" s="400"/>
      <c r="V3" s="400"/>
      <c r="W3" s="372"/>
      <c r="X3" s="372"/>
      <c r="Y3" s="372"/>
      <c r="Z3" s="372"/>
      <c r="AA3" s="372"/>
      <c r="AB3" s="372"/>
      <c r="AC3" s="372"/>
      <c r="AD3" s="372"/>
      <c r="AE3" s="372"/>
      <c r="AF3" s="372"/>
      <c r="AG3" s="372"/>
      <c r="AH3" s="372"/>
      <c r="AI3" s="372"/>
      <c r="AJ3" s="372"/>
      <c r="AK3" s="372"/>
      <c r="AL3" s="372"/>
      <c r="AM3" s="372"/>
      <c r="AN3" s="372"/>
      <c r="AO3" s="372"/>
      <c r="AP3" s="372"/>
      <c r="AQ3" s="372"/>
      <c r="AR3" s="372"/>
      <c r="AS3" s="372"/>
      <c r="AT3" s="372"/>
      <c r="AU3" s="372"/>
      <c r="AV3" s="372"/>
      <c r="AW3" s="372"/>
      <c r="AX3" s="372"/>
      <c r="AY3" s="372"/>
      <c r="AZ3" s="372"/>
      <c r="BA3" s="372"/>
    </row>
    <row r="4" customHeight="1" spans="1:53">
      <c r="A4" s="388"/>
      <c r="B4" s="389" t="s">
        <v>3</v>
      </c>
      <c r="C4" s="389"/>
      <c r="D4" s="389"/>
      <c r="E4" s="390" t="s">
        <v>4</v>
      </c>
      <c r="F4" s="390"/>
      <c r="G4" s="390"/>
      <c r="H4" s="390"/>
      <c r="I4" s="390"/>
      <c r="J4" s="390"/>
      <c r="K4" s="390"/>
      <c r="L4" s="390"/>
      <c r="M4" s="390"/>
      <c r="N4" s="390"/>
      <c r="O4" s="390"/>
      <c r="P4" s="390"/>
      <c r="Q4" s="392"/>
      <c r="R4" s="401" t="s">
        <v>5</v>
      </c>
      <c r="S4" s="401"/>
      <c r="T4" s="401"/>
      <c r="U4" s="401"/>
      <c r="V4" s="401"/>
      <c r="W4" s="372"/>
      <c r="X4" s="372"/>
      <c r="Y4" s="372"/>
      <c r="Z4" s="372"/>
      <c r="AA4" s="372"/>
      <c r="AB4" s="372"/>
      <c r="AC4" s="372"/>
      <c r="AD4" s="372"/>
      <c r="AE4" s="372"/>
      <c r="AF4" s="372"/>
      <c r="AG4" s="372"/>
      <c r="AH4" s="372"/>
      <c r="AI4" s="372"/>
      <c r="AJ4" s="372"/>
      <c r="AK4" s="372"/>
      <c r="AL4" s="372"/>
      <c r="AM4" s="372"/>
      <c r="AN4" s="372"/>
      <c r="AO4" s="372"/>
      <c r="AP4" s="372"/>
      <c r="AQ4" s="372"/>
      <c r="AR4" s="372"/>
      <c r="AS4" s="372"/>
      <c r="AT4" s="372"/>
      <c r="AU4" s="372"/>
      <c r="AV4" s="372"/>
      <c r="AW4" s="372"/>
      <c r="AX4" s="372"/>
      <c r="AY4" s="372"/>
      <c r="AZ4" s="372"/>
      <c r="BA4" s="372"/>
    </row>
    <row r="5" customHeight="1" spans="1:53">
      <c r="A5" s="391"/>
      <c r="B5" s="392"/>
      <c r="C5" s="392"/>
      <c r="D5" s="392"/>
      <c r="E5" s="392"/>
      <c r="F5" s="392"/>
      <c r="G5" s="392"/>
      <c r="H5" s="392"/>
      <c r="I5" s="392"/>
      <c r="J5" s="392"/>
      <c r="K5" s="392"/>
      <c r="L5" s="392"/>
      <c r="M5" s="392"/>
      <c r="N5" s="392"/>
      <c r="O5" s="392"/>
      <c r="P5" s="392"/>
      <c r="Q5" s="392"/>
      <c r="R5" s="401" t="s">
        <v>6</v>
      </c>
      <c r="S5" s="401"/>
      <c r="T5" s="401"/>
      <c r="U5" s="401"/>
      <c r="V5" s="401"/>
      <c r="W5" s="372"/>
      <c r="X5" s="372"/>
      <c r="Y5" s="372"/>
      <c r="Z5" s="372"/>
      <c r="AA5" s="372"/>
      <c r="AB5" s="372"/>
      <c r="AC5" s="372"/>
      <c r="AD5" s="372"/>
      <c r="AE5" s="372"/>
      <c r="AF5" s="372"/>
      <c r="AG5" s="372"/>
      <c r="AH5" s="372"/>
      <c r="AI5" s="372"/>
      <c r="AJ5" s="372"/>
      <c r="AK5" s="372"/>
      <c r="AL5" s="372"/>
      <c r="AM5" s="372"/>
      <c r="AN5" s="372"/>
      <c r="AO5" s="372"/>
      <c r="AP5" s="372"/>
      <c r="AQ5" s="372"/>
      <c r="AR5" s="372"/>
      <c r="AS5" s="372"/>
      <c r="AT5" s="372"/>
      <c r="AU5" s="372"/>
      <c r="AV5" s="372"/>
      <c r="AW5" s="372"/>
      <c r="AX5" s="372"/>
      <c r="AY5" s="372"/>
      <c r="AZ5" s="372"/>
      <c r="BA5" s="372"/>
    </row>
    <row r="6" customHeight="1" spans="1:53">
      <c r="A6" s="388"/>
      <c r="B6" s="389" t="s">
        <v>7</v>
      </c>
      <c r="C6" s="389"/>
      <c r="D6" s="389"/>
      <c r="E6" s="393" t="s">
        <v>8</v>
      </c>
      <c r="F6" s="393"/>
      <c r="G6" s="393"/>
      <c r="H6" s="393"/>
      <c r="I6" s="395"/>
      <c r="J6" s="209" t="s">
        <v>9</v>
      </c>
      <c r="K6" s="209"/>
      <c r="L6" s="209"/>
      <c r="M6" s="398" t="s">
        <v>10</v>
      </c>
      <c r="N6" s="398"/>
      <c r="O6" s="398"/>
      <c r="P6" s="398"/>
      <c r="Q6" s="392"/>
      <c r="R6" s="401" t="s">
        <v>11</v>
      </c>
      <c r="S6" s="401"/>
      <c r="T6" s="401"/>
      <c r="U6" s="401"/>
      <c r="V6" s="401"/>
      <c r="W6" s="372"/>
      <c r="X6" s="372"/>
      <c r="Y6" s="372"/>
      <c r="Z6" s="372"/>
      <c r="AA6" s="372"/>
      <c r="AB6" s="372"/>
      <c r="AC6" s="372"/>
      <c r="AD6" s="372"/>
      <c r="AE6" s="372"/>
      <c r="AF6" s="372"/>
      <c r="AG6" s="372"/>
      <c r="AH6" s="372"/>
      <c r="AI6" s="372"/>
      <c r="AJ6" s="372"/>
      <c r="AK6" s="372"/>
      <c r="AL6" s="372"/>
      <c r="AM6" s="372"/>
      <c r="AN6" s="372"/>
      <c r="AO6" s="372"/>
      <c r="AP6" s="372"/>
      <c r="AQ6" s="372"/>
      <c r="AR6" s="372"/>
      <c r="AS6" s="372"/>
      <c r="AT6" s="372"/>
      <c r="AU6" s="372"/>
      <c r="AV6" s="372"/>
      <c r="AW6" s="372"/>
      <c r="AX6" s="372"/>
      <c r="AY6" s="372"/>
      <c r="AZ6" s="372"/>
      <c r="BA6" s="372"/>
    </row>
    <row r="7" customHeight="1" spans="1:53">
      <c r="A7" s="388"/>
      <c r="B7" s="389" t="s">
        <v>12</v>
      </c>
      <c r="C7" s="389"/>
      <c r="D7" s="389"/>
      <c r="E7" s="374" t="s">
        <v>13</v>
      </c>
      <c r="F7" s="374"/>
      <c r="G7" s="374"/>
      <c r="H7" s="374"/>
      <c r="I7" s="395"/>
      <c r="J7" s="399" t="s">
        <v>14</v>
      </c>
      <c r="K7" s="399"/>
      <c r="L7" s="399"/>
      <c r="M7" s="372"/>
      <c r="N7" s="372"/>
      <c r="O7" s="372"/>
      <c r="P7" s="372"/>
      <c r="Q7" s="392"/>
      <c r="R7" s="401" t="s">
        <v>15</v>
      </c>
      <c r="S7" s="401"/>
      <c r="T7" s="401"/>
      <c r="U7" s="401"/>
      <c r="V7" s="401"/>
      <c r="W7" s="402"/>
      <c r="X7" s="402"/>
      <c r="Y7" s="402"/>
      <c r="Z7" s="402"/>
      <c r="AA7" s="402"/>
      <c r="AB7" s="402"/>
      <c r="AC7" s="402"/>
      <c r="AD7" s="402"/>
      <c r="AE7" s="402"/>
      <c r="AF7" s="402"/>
      <c r="AG7" s="402"/>
      <c r="AH7" s="402"/>
      <c r="AI7" s="402"/>
      <c r="AJ7" s="402"/>
      <c r="AK7" s="402"/>
      <c r="AL7" s="402"/>
      <c r="AM7" s="402"/>
      <c r="AN7" s="402"/>
      <c r="AO7" s="402"/>
      <c r="AP7" s="402"/>
      <c r="AQ7" s="402"/>
      <c r="AR7" s="402"/>
      <c r="AS7" s="402"/>
      <c r="AT7" s="402"/>
      <c r="AU7" s="402"/>
      <c r="AV7" s="402"/>
      <c r="AW7" s="402"/>
      <c r="AX7" s="402"/>
      <c r="AY7" s="402"/>
      <c r="AZ7" s="402"/>
      <c r="BA7" s="402"/>
    </row>
    <row r="8" customHeight="1" spans="1:53">
      <c r="A8" s="388"/>
      <c r="B8" s="389" t="s">
        <v>16</v>
      </c>
      <c r="C8" s="389"/>
      <c r="D8" s="389"/>
      <c r="E8" s="372" t="s">
        <v>17</v>
      </c>
      <c r="F8" s="372"/>
      <c r="G8" s="372"/>
      <c r="H8" s="372"/>
      <c r="I8" s="395"/>
      <c r="J8" s="209" t="s">
        <v>18</v>
      </c>
      <c r="K8" s="209"/>
      <c r="L8" s="209"/>
      <c r="M8" s="372"/>
      <c r="N8" s="372"/>
      <c r="O8" s="372"/>
      <c r="P8" s="372"/>
      <c r="Q8" s="391"/>
      <c r="R8" s="401"/>
      <c r="S8" s="401"/>
      <c r="T8" s="401"/>
      <c r="U8" s="401"/>
      <c r="V8" s="401"/>
      <c r="W8" s="402"/>
      <c r="X8" s="402"/>
      <c r="Y8" s="402"/>
      <c r="Z8" s="402"/>
      <c r="AA8" s="402"/>
      <c r="AB8" s="402"/>
      <c r="AC8" s="402"/>
      <c r="AD8" s="402"/>
      <c r="AE8" s="402"/>
      <c r="AF8" s="402"/>
      <c r="AG8" s="402"/>
      <c r="AH8" s="402"/>
      <c r="AI8" s="402"/>
      <c r="AJ8" s="402"/>
      <c r="AK8" s="402"/>
      <c r="AL8" s="402"/>
      <c r="AM8" s="402"/>
      <c r="AN8" s="402"/>
      <c r="AO8" s="402"/>
      <c r="AP8" s="402"/>
      <c r="AQ8" s="402"/>
      <c r="AR8" s="402"/>
      <c r="AS8" s="402"/>
      <c r="AT8" s="402"/>
      <c r="AU8" s="402"/>
      <c r="AV8" s="402"/>
      <c r="AW8" s="402"/>
      <c r="AX8" s="402"/>
      <c r="AY8" s="402"/>
      <c r="AZ8" s="402"/>
      <c r="BA8" s="402"/>
    </row>
    <row r="9" customHeight="1" spans="1:53">
      <c r="A9" s="388"/>
      <c r="B9" s="394"/>
      <c r="C9" s="394"/>
      <c r="D9" s="394"/>
      <c r="E9" s="395"/>
      <c r="F9" s="395"/>
      <c r="G9" s="395"/>
      <c r="H9" s="395"/>
      <c r="I9" s="395"/>
      <c r="J9" s="395"/>
      <c r="K9" s="395"/>
      <c r="L9" s="395"/>
      <c r="M9" s="395"/>
      <c r="N9" s="395"/>
      <c r="O9" s="395"/>
      <c r="P9" s="395"/>
      <c r="Q9" s="392"/>
      <c r="R9" s="401" t="s">
        <v>19</v>
      </c>
      <c r="S9" s="401"/>
      <c r="T9" s="401"/>
      <c r="U9" s="401"/>
      <c r="V9" s="401"/>
      <c r="W9" s="403"/>
      <c r="X9" s="403"/>
      <c r="Y9" s="403"/>
      <c r="Z9" s="403"/>
      <c r="AA9" s="403"/>
      <c r="AB9" s="403"/>
      <c r="AC9" s="403"/>
      <c r="AD9" s="403"/>
      <c r="AE9" s="403"/>
      <c r="AF9" s="403"/>
      <c r="AG9" s="403"/>
      <c r="AH9" s="403"/>
      <c r="AI9" s="403"/>
      <c r="AJ9" s="403"/>
      <c r="AK9" s="403"/>
      <c r="AL9" s="403"/>
      <c r="AM9" s="403"/>
      <c r="AN9" s="403"/>
      <c r="AO9" s="403"/>
      <c r="AP9" s="403"/>
      <c r="AQ9" s="403"/>
      <c r="AR9" s="403"/>
      <c r="AS9" s="403"/>
      <c r="AT9" s="403"/>
      <c r="AU9" s="403"/>
      <c r="AV9" s="403"/>
      <c r="AW9" s="403"/>
      <c r="AX9" s="403"/>
      <c r="AY9" s="403"/>
      <c r="AZ9" s="403"/>
      <c r="BA9" s="403"/>
    </row>
    <row r="10" customHeight="1" spans="1:53">
      <c r="A10" s="388"/>
      <c r="B10" s="389" t="s">
        <v>20</v>
      </c>
      <c r="C10" s="389"/>
      <c r="D10" s="389"/>
      <c r="E10" s="396" t="s">
        <v>21</v>
      </c>
      <c r="F10" s="396"/>
      <c r="G10" s="396"/>
      <c r="H10" s="396"/>
      <c r="I10" s="395"/>
      <c r="J10" s="399" t="s">
        <v>22</v>
      </c>
      <c r="K10" s="399"/>
      <c r="L10" s="399"/>
      <c r="M10" s="396"/>
      <c r="N10" s="396"/>
      <c r="O10" s="396"/>
      <c r="P10" s="396"/>
      <c r="Q10" s="392"/>
      <c r="R10" s="401"/>
      <c r="S10" s="401"/>
      <c r="T10" s="401"/>
      <c r="U10" s="401"/>
      <c r="V10" s="401"/>
      <c r="W10" s="403"/>
      <c r="X10" s="403"/>
      <c r="Y10" s="403"/>
      <c r="Z10" s="403"/>
      <c r="AA10" s="403"/>
      <c r="AB10" s="403"/>
      <c r="AC10" s="403"/>
      <c r="AD10" s="403"/>
      <c r="AE10" s="403"/>
      <c r="AF10" s="403"/>
      <c r="AG10" s="403"/>
      <c r="AH10" s="403"/>
      <c r="AI10" s="403"/>
      <c r="AJ10" s="403"/>
      <c r="AK10" s="403"/>
      <c r="AL10" s="403"/>
      <c r="AM10" s="403"/>
      <c r="AN10" s="403"/>
      <c r="AO10" s="403"/>
      <c r="AP10" s="403"/>
      <c r="AQ10" s="403"/>
      <c r="AR10" s="403"/>
      <c r="AS10" s="403"/>
      <c r="AT10" s="403"/>
      <c r="AU10" s="403"/>
      <c r="AV10" s="403"/>
      <c r="AW10" s="403"/>
      <c r="AX10" s="403"/>
      <c r="AY10" s="403"/>
      <c r="AZ10" s="403"/>
      <c r="BA10" s="403"/>
    </row>
    <row r="11" customHeight="1" spans="1:53">
      <c r="A11" s="388"/>
      <c r="B11" s="389" t="s">
        <v>23</v>
      </c>
      <c r="C11" s="389"/>
      <c r="D11" s="389"/>
      <c r="E11" s="372">
        <v>168</v>
      </c>
      <c r="F11" s="372"/>
      <c r="G11" s="372"/>
      <c r="H11" s="372"/>
      <c r="I11" s="395"/>
      <c r="J11" s="399" t="s">
        <v>24</v>
      </c>
      <c r="K11" s="399"/>
      <c r="L11" s="399"/>
      <c r="M11" s="372"/>
      <c r="N11" s="372"/>
      <c r="O11" s="372"/>
      <c r="P11" s="372"/>
      <c r="Q11" s="392"/>
      <c r="R11" s="401"/>
      <c r="S11" s="401"/>
      <c r="T11" s="401"/>
      <c r="U11" s="401"/>
      <c r="V11" s="401"/>
      <c r="W11" s="403"/>
      <c r="X11" s="403"/>
      <c r="Y11" s="403"/>
      <c r="Z11" s="403"/>
      <c r="AA11" s="403"/>
      <c r="AB11" s="403"/>
      <c r="AC11" s="403"/>
      <c r="AD11" s="403"/>
      <c r="AE11" s="403"/>
      <c r="AF11" s="403"/>
      <c r="AG11" s="403"/>
      <c r="AH11" s="403"/>
      <c r="AI11" s="403"/>
      <c r="AJ11" s="403"/>
      <c r="AK11" s="403"/>
      <c r="AL11" s="403"/>
      <c r="AM11" s="403"/>
      <c r="AN11" s="403"/>
      <c r="AO11" s="403"/>
      <c r="AP11" s="403"/>
      <c r="AQ11" s="403"/>
      <c r="AR11" s="403"/>
      <c r="AS11" s="403"/>
      <c r="AT11" s="403"/>
      <c r="AU11" s="403"/>
      <c r="AV11" s="403"/>
      <c r="AW11" s="403"/>
      <c r="AX11" s="403"/>
      <c r="AY11" s="403"/>
      <c r="AZ11" s="403"/>
      <c r="BA11" s="403"/>
    </row>
    <row r="12" customHeight="1" spans="1:53">
      <c r="A12" s="388"/>
      <c r="B12" s="389" t="s">
        <v>25</v>
      </c>
      <c r="C12" s="389"/>
      <c r="D12" s="389"/>
      <c r="E12" s="372"/>
      <c r="F12" s="372"/>
      <c r="G12" s="372"/>
      <c r="H12" s="372"/>
      <c r="I12" s="395"/>
      <c r="J12" s="209" t="s">
        <v>26</v>
      </c>
      <c r="K12" s="209"/>
      <c r="L12" s="209"/>
      <c r="M12" s="372"/>
      <c r="N12" s="372"/>
      <c r="O12" s="372"/>
      <c r="P12" s="372"/>
      <c r="Q12" s="391"/>
      <c r="R12" s="401"/>
      <c r="S12" s="401"/>
      <c r="T12" s="401"/>
      <c r="U12" s="401"/>
      <c r="V12" s="401"/>
      <c r="W12" s="403"/>
      <c r="X12" s="403"/>
      <c r="Y12" s="403"/>
      <c r="Z12" s="403"/>
      <c r="AA12" s="403"/>
      <c r="AB12" s="403"/>
      <c r="AC12" s="403"/>
      <c r="AD12" s="403"/>
      <c r="AE12" s="403"/>
      <c r="AF12" s="403"/>
      <c r="AG12" s="403"/>
      <c r="AH12" s="403"/>
      <c r="AI12" s="403"/>
      <c r="AJ12" s="403"/>
      <c r="AK12" s="403"/>
      <c r="AL12" s="403"/>
      <c r="AM12" s="403"/>
      <c r="AN12" s="403"/>
      <c r="AO12" s="403"/>
      <c r="AP12" s="403"/>
      <c r="AQ12" s="403"/>
      <c r="AR12" s="403"/>
      <c r="AS12" s="403"/>
      <c r="AT12" s="403"/>
      <c r="AU12" s="403"/>
      <c r="AV12" s="403"/>
      <c r="AW12" s="403"/>
      <c r="AX12" s="403"/>
      <c r="AY12" s="403"/>
      <c r="AZ12" s="403"/>
      <c r="BA12" s="403"/>
    </row>
    <row r="13" customHeight="1" spans="1:53">
      <c r="A13" s="391"/>
      <c r="B13" s="397" t="s">
        <v>27</v>
      </c>
      <c r="C13" s="397"/>
      <c r="D13" s="397"/>
      <c r="E13" s="392"/>
      <c r="F13" s="392"/>
      <c r="G13" s="392"/>
      <c r="H13" s="392"/>
      <c r="I13" s="392"/>
      <c r="J13" s="392"/>
      <c r="K13" s="392"/>
      <c r="L13" s="392"/>
      <c r="M13" s="392"/>
      <c r="N13" s="392"/>
      <c r="O13" s="392"/>
      <c r="P13" s="392"/>
      <c r="Q13" s="392"/>
      <c r="R13" s="401"/>
      <c r="S13" s="401"/>
      <c r="T13" s="401"/>
      <c r="U13" s="401"/>
      <c r="V13" s="401"/>
      <c r="W13" s="403"/>
      <c r="X13" s="403"/>
      <c r="Y13" s="403"/>
      <c r="Z13" s="403"/>
      <c r="AA13" s="403"/>
      <c r="AB13" s="403"/>
      <c r="AC13" s="403"/>
      <c r="AD13" s="403"/>
      <c r="AE13" s="403"/>
      <c r="AF13" s="403"/>
      <c r="AG13" s="403"/>
      <c r="AH13" s="403"/>
      <c r="AI13" s="403"/>
      <c r="AJ13" s="403"/>
      <c r="AK13" s="403"/>
      <c r="AL13" s="403"/>
      <c r="AM13" s="403"/>
      <c r="AN13" s="403"/>
      <c r="AO13" s="403"/>
      <c r="AP13" s="403"/>
      <c r="AQ13" s="403"/>
      <c r="AR13" s="403"/>
      <c r="AS13" s="403"/>
      <c r="AT13" s="403"/>
      <c r="AU13" s="403"/>
      <c r="AV13" s="403"/>
      <c r="AW13" s="403"/>
      <c r="AX13" s="403"/>
      <c r="AY13" s="403"/>
      <c r="AZ13" s="403"/>
      <c r="BA13" s="403"/>
    </row>
    <row r="14" customHeight="1" spans="1:60">
      <c r="A14" s="388"/>
      <c r="B14" s="209" t="s">
        <v>28</v>
      </c>
      <c r="C14" s="209"/>
      <c r="D14" s="209"/>
      <c r="E14" s="209"/>
      <c r="F14" s="209"/>
      <c r="G14" s="209"/>
      <c r="H14" s="209"/>
      <c r="I14" s="209"/>
      <c r="J14" s="209"/>
      <c r="K14" s="209"/>
      <c r="L14" s="209"/>
      <c r="M14" s="209"/>
      <c r="N14" s="209"/>
      <c r="O14" s="209"/>
      <c r="P14" s="209"/>
      <c r="Q14" s="178"/>
      <c r="R14" s="401"/>
      <c r="S14" s="401"/>
      <c r="T14" s="401"/>
      <c r="U14" s="401"/>
      <c r="V14" s="401"/>
      <c r="W14" s="403"/>
      <c r="X14" s="403"/>
      <c r="Y14" s="403"/>
      <c r="Z14" s="403"/>
      <c r="AA14" s="403"/>
      <c r="AB14" s="403"/>
      <c r="AC14" s="403"/>
      <c r="AD14" s="403"/>
      <c r="AE14" s="403"/>
      <c r="AF14" s="403"/>
      <c r="AG14" s="403"/>
      <c r="AH14" s="403"/>
      <c r="AI14" s="403"/>
      <c r="AJ14" s="403"/>
      <c r="AK14" s="403"/>
      <c r="AL14" s="403"/>
      <c r="AM14" s="403"/>
      <c r="AN14" s="403"/>
      <c r="AO14" s="403"/>
      <c r="AP14" s="403"/>
      <c r="AQ14" s="403"/>
      <c r="AR14" s="403"/>
      <c r="AS14" s="403"/>
      <c r="AT14" s="403"/>
      <c r="AU14" s="403"/>
      <c r="AV14" s="403"/>
      <c r="AW14" s="403"/>
      <c r="AX14" s="403"/>
      <c r="AY14" s="403"/>
      <c r="AZ14" s="403"/>
      <c r="BA14" s="403"/>
      <c r="BH14" s="195"/>
    </row>
    <row r="15" customHeight="1" spans="1:53">
      <c r="A15" s="388"/>
      <c r="B15" s="372"/>
      <c r="C15" s="372"/>
      <c r="D15" s="372"/>
      <c r="E15" s="372"/>
      <c r="F15" s="372"/>
      <c r="G15" s="372"/>
      <c r="H15" s="372"/>
      <c r="I15" s="372"/>
      <c r="J15" s="372"/>
      <c r="K15" s="372"/>
      <c r="L15" s="372"/>
      <c r="M15" s="372"/>
      <c r="N15" s="372"/>
      <c r="O15" s="372"/>
      <c r="P15" s="372"/>
      <c r="Q15" s="392"/>
      <c r="R15" s="401" t="s">
        <v>29</v>
      </c>
      <c r="S15" s="401"/>
      <c r="T15" s="401"/>
      <c r="U15" s="401"/>
      <c r="V15" s="401"/>
      <c r="W15" s="372" t="s">
        <v>30</v>
      </c>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372"/>
      <c r="AV15" s="372"/>
      <c r="AW15" s="372"/>
      <c r="AX15" s="372"/>
      <c r="AY15" s="372"/>
      <c r="AZ15" s="372"/>
      <c r="BA15" s="372"/>
    </row>
    <row r="16" customHeight="1" spans="1:53">
      <c r="A16" s="388"/>
      <c r="B16" s="372"/>
      <c r="C16" s="372"/>
      <c r="D16" s="372"/>
      <c r="E16" s="372"/>
      <c r="F16" s="372"/>
      <c r="G16" s="372"/>
      <c r="H16" s="372"/>
      <c r="I16" s="372"/>
      <c r="J16" s="372"/>
      <c r="K16" s="372"/>
      <c r="L16" s="372"/>
      <c r="M16" s="372"/>
      <c r="N16" s="372"/>
      <c r="O16" s="372"/>
      <c r="P16" s="372"/>
      <c r="Q16" s="392"/>
      <c r="R16" s="401" t="s">
        <v>31</v>
      </c>
      <c r="S16" s="401"/>
      <c r="T16" s="401"/>
      <c r="U16" s="401"/>
      <c r="V16" s="401"/>
      <c r="W16" s="372" t="s">
        <v>32</v>
      </c>
      <c r="X16" s="372"/>
      <c r="Y16" s="372"/>
      <c r="Z16" s="372"/>
      <c r="AA16" s="372"/>
      <c r="AB16" s="372"/>
      <c r="AC16" s="372"/>
      <c r="AD16" s="372"/>
      <c r="AE16" s="372"/>
      <c r="AF16" s="372"/>
      <c r="AG16" s="372"/>
      <c r="AH16" s="372"/>
      <c r="AI16" s="372"/>
      <c r="AJ16" s="372"/>
      <c r="AK16" s="372"/>
      <c r="AL16" s="372"/>
      <c r="AM16" s="372"/>
      <c r="AN16" s="372"/>
      <c r="AO16" s="372"/>
      <c r="AP16" s="372"/>
      <c r="AQ16" s="372"/>
      <c r="AR16" s="372"/>
      <c r="AS16" s="372"/>
      <c r="AT16" s="372"/>
      <c r="AU16" s="372"/>
      <c r="AV16" s="372"/>
      <c r="AW16" s="372"/>
      <c r="AX16" s="372"/>
      <c r="AY16" s="372"/>
      <c r="AZ16" s="372"/>
      <c r="BA16" s="372"/>
    </row>
    <row r="17" customHeight="1" spans="1:53">
      <c r="A17" s="388"/>
      <c r="B17" s="372"/>
      <c r="C17" s="372"/>
      <c r="D17" s="372"/>
      <c r="E17" s="372"/>
      <c r="F17" s="372"/>
      <c r="G17" s="372"/>
      <c r="H17" s="372"/>
      <c r="I17" s="372"/>
      <c r="J17" s="372"/>
      <c r="K17" s="372"/>
      <c r="L17" s="372"/>
      <c r="M17" s="372"/>
      <c r="N17" s="372"/>
      <c r="O17" s="372"/>
      <c r="P17" s="372"/>
      <c r="Q17" s="391"/>
      <c r="R17" s="401" t="s">
        <v>33</v>
      </c>
      <c r="S17" s="401"/>
      <c r="T17" s="401"/>
      <c r="U17" s="401"/>
      <c r="V17" s="401"/>
      <c r="W17" s="372"/>
      <c r="X17" s="372"/>
      <c r="Y17" s="372"/>
      <c r="Z17" s="372"/>
      <c r="AA17" s="372"/>
      <c r="AB17" s="372"/>
      <c r="AC17" s="372"/>
      <c r="AD17" s="372"/>
      <c r="AE17" s="372"/>
      <c r="AF17" s="372"/>
      <c r="AG17" s="372"/>
      <c r="AH17" s="372"/>
      <c r="AI17" s="372"/>
      <c r="AJ17" s="372"/>
      <c r="AK17" s="372"/>
      <c r="AL17" s="372"/>
      <c r="AM17" s="372"/>
      <c r="AN17" s="372"/>
      <c r="AO17" s="372"/>
      <c r="AP17" s="372"/>
      <c r="AQ17" s="372"/>
      <c r="AR17" s="372"/>
      <c r="AS17" s="372"/>
      <c r="AT17" s="372"/>
      <c r="AU17" s="372"/>
      <c r="AV17" s="372"/>
      <c r="AW17" s="372"/>
      <c r="AX17" s="372"/>
      <c r="AY17" s="372"/>
      <c r="AZ17" s="372"/>
      <c r="BA17" s="372"/>
    </row>
    <row r="18" customHeight="1" spans="1:53">
      <c r="A18" s="388"/>
      <c r="B18" s="372"/>
      <c r="C18" s="372"/>
      <c r="D18" s="372"/>
      <c r="E18" s="372"/>
      <c r="F18" s="372"/>
      <c r="G18" s="372"/>
      <c r="H18" s="372"/>
      <c r="I18" s="372"/>
      <c r="J18" s="372"/>
      <c r="K18" s="372"/>
      <c r="L18" s="372"/>
      <c r="M18" s="372"/>
      <c r="N18" s="372"/>
      <c r="O18" s="372"/>
      <c r="P18" s="372"/>
      <c r="Q18" s="391"/>
      <c r="R18" s="401" t="s">
        <v>34</v>
      </c>
      <c r="S18" s="401"/>
      <c r="T18" s="401"/>
      <c r="U18" s="401"/>
      <c r="V18" s="401"/>
      <c r="W18" s="372"/>
      <c r="X18" s="372"/>
      <c r="Y18" s="372"/>
      <c r="Z18" s="372"/>
      <c r="AA18" s="372"/>
      <c r="AB18" s="372"/>
      <c r="AC18" s="372"/>
      <c r="AD18" s="372"/>
      <c r="AE18" s="372"/>
      <c r="AF18" s="372"/>
      <c r="AG18" s="372"/>
      <c r="AH18" s="372"/>
      <c r="AI18" s="372"/>
      <c r="AJ18" s="372"/>
      <c r="AK18" s="372"/>
      <c r="AL18" s="372"/>
      <c r="AM18" s="372"/>
      <c r="AN18" s="372"/>
      <c r="AO18" s="372"/>
      <c r="AP18" s="372"/>
      <c r="AQ18" s="372"/>
      <c r="AR18" s="372"/>
      <c r="AS18" s="372"/>
      <c r="AT18" s="372"/>
      <c r="AU18" s="372"/>
      <c r="AV18" s="372"/>
      <c r="AW18" s="372"/>
      <c r="AX18" s="372"/>
      <c r="AY18" s="372"/>
      <c r="AZ18" s="372"/>
      <c r="BA18" s="372"/>
    </row>
    <row r="19" customHeight="1" spans="1:53">
      <c r="A19" s="388"/>
      <c r="B19" s="209" t="s">
        <v>35</v>
      </c>
      <c r="C19" s="209"/>
      <c r="D19" s="209"/>
      <c r="E19" s="209"/>
      <c r="F19" s="209"/>
      <c r="G19" s="209"/>
      <c r="H19" s="209"/>
      <c r="I19" s="209"/>
      <c r="J19" s="209"/>
      <c r="K19" s="209"/>
      <c r="L19" s="209"/>
      <c r="M19" s="209"/>
      <c r="N19" s="209"/>
      <c r="O19" s="209"/>
      <c r="P19" s="209"/>
      <c r="Q19" s="391"/>
      <c r="R19" s="209" t="s">
        <v>36</v>
      </c>
      <c r="S19" s="209"/>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09"/>
      <c r="AX19" s="209"/>
      <c r="AY19" s="209"/>
      <c r="AZ19" s="209"/>
      <c r="BA19" s="209"/>
    </row>
    <row r="20" customHeight="1" spans="1:53">
      <c r="A20" s="388"/>
      <c r="B20" s="372"/>
      <c r="C20" s="372"/>
      <c r="D20" s="372"/>
      <c r="E20" s="372"/>
      <c r="F20" s="372"/>
      <c r="G20" s="372"/>
      <c r="H20" s="372"/>
      <c r="I20" s="372"/>
      <c r="J20" s="372"/>
      <c r="K20" s="372"/>
      <c r="L20" s="372"/>
      <c r="M20" s="372"/>
      <c r="N20" s="372"/>
      <c r="O20" s="372"/>
      <c r="P20" s="372"/>
      <c r="Q20" s="391"/>
      <c r="R20" s="372" t="s">
        <v>37</v>
      </c>
      <c r="S20" s="372"/>
      <c r="T20" s="372"/>
      <c r="U20" s="372"/>
      <c r="V20" s="372"/>
      <c r="W20" s="372"/>
      <c r="X20" s="372"/>
      <c r="Y20" s="372"/>
      <c r="Z20" s="372"/>
      <c r="AA20" s="372"/>
      <c r="AB20" s="372"/>
      <c r="AC20" s="372"/>
      <c r="AD20" s="372"/>
      <c r="AE20" s="372"/>
      <c r="AF20" s="372"/>
      <c r="AG20" s="372"/>
      <c r="AH20" s="372"/>
      <c r="AI20" s="372"/>
      <c r="AJ20" s="372"/>
      <c r="AK20" s="372"/>
      <c r="AL20" s="372"/>
      <c r="AM20" s="372"/>
      <c r="AN20" s="372"/>
      <c r="AO20" s="372"/>
      <c r="AP20" s="372"/>
      <c r="AQ20" s="372"/>
      <c r="AR20" s="372"/>
      <c r="AS20" s="372"/>
      <c r="AT20" s="372"/>
      <c r="AU20" s="372"/>
      <c r="AV20" s="372"/>
      <c r="AW20" s="372"/>
      <c r="AX20" s="372"/>
      <c r="AY20" s="372"/>
      <c r="AZ20" s="372"/>
      <c r="BA20" s="372"/>
    </row>
    <row r="21" customHeight="1" spans="1:53">
      <c r="A21" s="388"/>
      <c r="B21" s="372"/>
      <c r="C21" s="372"/>
      <c r="D21" s="372"/>
      <c r="E21" s="372"/>
      <c r="F21" s="372"/>
      <c r="G21" s="372"/>
      <c r="H21" s="372"/>
      <c r="I21" s="372"/>
      <c r="J21" s="372"/>
      <c r="K21" s="372"/>
      <c r="L21" s="372"/>
      <c r="M21" s="372"/>
      <c r="N21" s="372"/>
      <c r="O21" s="372"/>
      <c r="P21" s="372"/>
      <c r="Q21" s="391"/>
      <c r="R21" s="372"/>
      <c r="S21" s="372"/>
      <c r="T21" s="372"/>
      <c r="U21" s="372"/>
      <c r="V21" s="372"/>
      <c r="W21" s="372"/>
      <c r="X21" s="372"/>
      <c r="Y21" s="372"/>
      <c r="Z21" s="372"/>
      <c r="AA21" s="372"/>
      <c r="AB21" s="372"/>
      <c r="AC21" s="372"/>
      <c r="AD21" s="372"/>
      <c r="AE21" s="372"/>
      <c r="AF21" s="372"/>
      <c r="AG21" s="372"/>
      <c r="AH21" s="372"/>
      <c r="AI21" s="372"/>
      <c r="AJ21" s="372"/>
      <c r="AK21" s="372"/>
      <c r="AL21" s="372"/>
      <c r="AM21" s="372"/>
      <c r="AN21" s="372"/>
      <c r="AO21" s="372"/>
      <c r="AP21" s="372"/>
      <c r="AQ21" s="372"/>
      <c r="AR21" s="372"/>
      <c r="AS21" s="372"/>
      <c r="AT21" s="372"/>
      <c r="AU21" s="372"/>
      <c r="AV21" s="372"/>
      <c r="AW21" s="372"/>
      <c r="AX21" s="372"/>
      <c r="AY21" s="372"/>
      <c r="AZ21" s="372"/>
      <c r="BA21" s="372"/>
    </row>
    <row r="22" customHeight="1" spans="1:53">
      <c r="A22" s="388"/>
      <c r="B22" s="372"/>
      <c r="C22" s="372"/>
      <c r="D22" s="372"/>
      <c r="E22" s="372"/>
      <c r="F22" s="372"/>
      <c r="G22" s="372"/>
      <c r="H22" s="372"/>
      <c r="I22" s="372"/>
      <c r="J22" s="372"/>
      <c r="K22" s="372"/>
      <c r="L22" s="372"/>
      <c r="M22" s="372"/>
      <c r="N22" s="372"/>
      <c r="O22" s="372"/>
      <c r="P22" s="372"/>
      <c r="Q22" s="391"/>
      <c r="R22" s="372"/>
      <c r="S22" s="372"/>
      <c r="T22" s="372"/>
      <c r="U22" s="372"/>
      <c r="V22" s="372"/>
      <c r="W22" s="372"/>
      <c r="X22" s="372"/>
      <c r="Y22" s="372"/>
      <c r="Z22" s="372"/>
      <c r="AA22" s="372"/>
      <c r="AB22" s="372"/>
      <c r="AC22" s="372"/>
      <c r="AD22" s="372"/>
      <c r="AE22" s="372"/>
      <c r="AF22" s="372"/>
      <c r="AG22" s="372"/>
      <c r="AH22" s="372"/>
      <c r="AI22" s="372"/>
      <c r="AJ22" s="372"/>
      <c r="AK22" s="372"/>
      <c r="AL22" s="372"/>
      <c r="AM22" s="372"/>
      <c r="AN22" s="372"/>
      <c r="AO22" s="372"/>
      <c r="AP22" s="372"/>
      <c r="AQ22" s="372"/>
      <c r="AR22" s="372"/>
      <c r="AS22" s="372"/>
      <c r="AT22" s="372"/>
      <c r="AU22" s="372"/>
      <c r="AV22" s="372"/>
      <c r="AW22" s="372"/>
      <c r="AX22" s="372"/>
      <c r="AY22" s="372"/>
      <c r="AZ22" s="372"/>
      <c r="BA22" s="372"/>
    </row>
    <row r="23" customHeight="1" spans="1:53">
      <c r="A23" s="388"/>
      <c r="B23" s="372"/>
      <c r="C23" s="372"/>
      <c r="D23" s="372"/>
      <c r="E23" s="372"/>
      <c r="F23" s="372"/>
      <c r="G23" s="372"/>
      <c r="H23" s="372"/>
      <c r="I23" s="372"/>
      <c r="J23" s="372"/>
      <c r="K23" s="372"/>
      <c r="L23" s="372"/>
      <c r="M23" s="372"/>
      <c r="N23" s="372"/>
      <c r="O23" s="372"/>
      <c r="P23" s="372"/>
      <c r="Q23" s="391"/>
      <c r="R23" s="372"/>
      <c r="S23" s="372"/>
      <c r="T23" s="372"/>
      <c r="U23" s="372"/>
      <c r="V23" s="372"/>
      <c r="W23" s="372"/>
      <c r="X23" s="372"/>
      <c r="Y23" s="372"/>
      <c r="Z23" s="372"/>
      <c r="AA23" s="372"/>
      <c r="AB23" s="372"/>
      <c r="AC23" s="372"/>
      <c r="AD23" s="372"/>
      <c r="AE23" s="372"/>
      <c r="AF23" s="372"/>
      <c r="AG23" s="372"/>
      <c r="AH23" s="372"/>
      <c r="AI23" s="372"/>
      <c r="AJ23" s="372"/>
      <c r="AK23" s="372"/>
      <c r="AL23" s="372"/>
      <c r="AM23" s="372"/>
      <c r="AN23" s="372"/>
      <c r="AO23" s="372"/>
      <c r="AP23" s="372"/>
      <c r="AQ23" s="372"/>
      <c r="AR23" s="372"/>
      <c r="AS23" s="372"/>
      <c r="AT23" s="372"/>
      <c r="AU23" s="372"/>
      <c r="AV23" s="372"/>
      <c r="AW23" s="372"/>
      <c r="AX23" s="372"/>
      <c r="AY23" s="372"/>
      <c r="AZ23" s="372"/>
      <c r="BA23" s="372"/>
    </row>
    <row r="24" customHeight="1" spans="1:53">
      <c r="A24" s="388"/>
      <c r="B24" s="372"/>
      <c r="C24" s="372"/>
      <c r="D24" s="372"/>
      <c r="E24" s="372"/>
      <c r="F24" s="372"/>
      <c r="G24" s="372"/>
      <c r="H24" s="372"/>
      <c r="I24" s="372"/>
      <c r="J24" s="372"/>
      <c r="K24" s="372"/>
      <c r="L24" s="372"/>
      <c r="M24" s="372"/>
      <c r="N24" s="372"/>
      <c r="O24" s="372"/>
      <c r="P24" s="372"/>
      <c r="Q24" s="391"/>
      <c r="R24" s="372"/>
      <c r="S24" s="372"/>
      <c r="T24" s="372"/>
      <c r="U24" s="372"/>
      <c r="V24" s="372"/>
      <c r="W24" s="372"/>
      <c r="X24" s="372"/>
      <c r="Y24" s="372"/>
      <c r="Z24" s="372"/>
      <c r="AA24" s="372"/>
      <c r="AB24" s="372"/>
      <c r="AC24" s="372"/>
      <c r="AD24" s="372"/>
      <c r="AE24" s="372"/>
      <c r="AF24" s="372"/>
      <c r="AG24" s="372"/>
      <c r="AH24" s="372"/>
      <c r="AI24" s="372"/>
      <c r="AJ24" s="372"/>
      <c r="AK24" s="372"/>
      <c r="AL24" s="372"/>
      <c r="AM24" s="372"/>
      <c r="AN24" s="372"/>
      <c r="AO24" s="372"/>
      <c r="AP24" s="372"/>
      <c r="AQ24" s="372"/>
      <c r="AR24" s="372"/>
      <c r="AS24" s="372"/>
      <c r="AT24" s="372"/>
      <c r="AU24" s="372"/>
      <c r="AV24" s="372"/>
      <c r="AW24" s="372"/>
      <c r="AX24" s="372"/>
      <c r="AY24" s="372"/>
      <c r="AZ24" s="372"/>
      <c r="BA24" s="372"/>
    </row>
    <row r="25" customHeight="1" spans="1:53">
      <c r="A25" s="388"/>
      <c r="B25" s="372"/>
      <c r="C25" s="372"/>
      <c r="D25" s="372"/>
      <c r="E25" s="372"/>
      <c r="F25" s="372"/>
      <c r="G25" s="372"/>
      <c r="H25" s="372"/>
      <c r="I25" s="372"/>
      <c r="J25" s="372"/>
      <c r="K25" s="372"/>
      <c r="L25" s="372"/>
      <c r="M25" s="372"/>
      <c r="N25" s="372"/>
      <c r="O25" s="372"/>
      <c r="P25" s="372"/>
      <c r="Q25" s="391"/>
      <c r="R25" s="372"/>
      <c r="S25" s="372"/>
      <c r="T25" s="372"/>
      <c r="U25" s="372"/>
      <c r="V25" s="372"/>
      <c r="W25" s="372"/>
      <c r="X25" s="372"/>
      <c r="Y25" s="372"/>
      <c r="Z25" s="372"/>
      <c r="AA25" s="372"/>
      <c r="AB25" s="372"/>
      <c r="AC25" s="372"/>
      <c r="AD25" s="372"/>
      <c r="AE25" s="372"/>
      <c r="AF25" s="372"/>
      <c r="AG25" s="372"/>
      <c r="AH25" s="372"/>
      <c r="AI25" s="372"/>
      <c r="AJ25" s="372"/>
      <c r="AK25" s="372"/>
      <c r="AL25" s="372"/>
      <c r="AM25" s="372"/>
      <c r="AN25" s="372"/>
      <c r="AO25" s="372"/>
      <c r="AP25" s="372"/>
      <c r="AQ25" s="372"/>
      <c r="AR25" s="372"/>
      <c r="AS25" s="372"/>
      <c r="AT25" s="372"/>
      <c r="AU25" s="372"/>
      <c r="AV25" s="372"/>
      <c r="AW25" s="372"/>
      <c r="AX25" s="372"/>
      <c r="AY25" s="372"/>
      <c r="AZ25" s="372"/>
      <c r="BA25" s="372"/>
    </row>
    <row r="26" customHeight="1" spans="1:53">
      <c r="A26" s="388"/>
      <c r="B26" s="372"/>
      <c r="C26" s="372"/>
      <c r="D26" s="372"/>
      <c r="E26" s="372"/>
      <c r="F26" s="372"/>
      <c r="G26" s="372"/>
      <c r="H26" s="372"/>
      <c r="I26" s="372"/>
      <c r="J26" s="372"/>
      <c r="K26" s="372"/>
      <c r="L26" s="372"/>
      <c r="M26" s="372"/>
      <c r="N26" s="372"/>
      <c r="O26" s="372"/>
      <c r="P26" s="372"/>
      <c r="Q26" s="373"/>
      <c r="R26" s="372"/>
      <c r="S26" s="372"/>
      <c r="T26" s="372"/>
      <c r="U26" s="372"/>
      <c r="V26" s="372"/>
      <c r="W26" s="372"/>
      <c r="X26" s="372"/>
      <c r="Y26" s="372"/>
      <c r="Z26" s="372"/>
      <c r="AA26" s="372"/>
      <c r="AB26" s="372"/>
      <c r="AC26" s="372"/>
      <c r="AD26" s="372"/>
      <c r="AE26" s="372"/>
      <c r="AF26" s="372"/>
      <c r="AG26" s="372"/>
      <c r="AH26" s="372"/>
      <c r="AI26" s="372"/>
      <c r="AJ26" s="372"/>
      <c r="AK26" s="372"/>
      <c r="AL26" s="372"/>
      <c r="AM26" s="372"/>
      <c r="AN26" s="372"/>
      <c r="AO26" s="372"/>
      <c r="AP26" s="372"/>
      <c r="AQ26" s="372"/>
      <c r="AR26" s="372"/>
      <c r="AS26" s="372"/>
      <c r="AT26" s="372"/>
      <c r="AU26" s="372"/>
      <c r="AV26" s="372"/>
      <c r="AW26" s="372"/>
      <c r="AX26" s="372"/>
      <c r="AY26" s="372"/>
      <c r="AZ26" s="372"/>
      <c r="BA26" s="372"/>
    </row>
    <row r="27" customHeight="1" spans="1:53">
      <c r="A27" s="388"/>
      <c r="B27" s="372"/>
      <c r="C27" s="372"/>
      <c r="D27" s="372"/>
      <c r="E27" s="372"/>
      <c r="F27" s="372"/>
      <c r="G27" s="372"/>
      <c r="H27" s="372"/>
      <c r="I27" s="372"/>
      <c r="J27" s="372"/>
      <c r="K27" s="372"/>
      <c r="L27" s="372"/>
      <c r="M27" s="372"/>
      <c r="N27" s="372"/>
      <c r="O27" s="372"/>
      <c r="P27" s="372"/>
      <c r="Q27" s="373"/>
      <c r="R27" s="372"/>
      <c r="S27" s="372"/>
      <c r="T27" s="372"/>
      <c r="U27" s="372"/>
      <c r="V27" s="372"/>
      <c r="W27" s="372"/>
      <c r="X27" s="372"/>
      <c r="Y27" s="372"/>
      <c r="Z27" s="372"/>
      <c r="AA27" s="372"/>
      <c r="AB27" s="372"/>
      <c r="AC27" s="372"/>
      <c r="AD27" s="372"/>
      <c r="AE27" s="372"/>
      <c r="AF27" s="372"/>
      <c r="AG27" s="372"/>
      <c r="AH27" s="372"/>
      <c r="AI27" s="372"/>
      <c r="AJ27" s="372"/>
      <c r="AK27" s="372"/>
      <c r="AL27" s="372"/>
      <c r="AM27" s="372"/>
      <c r="AN27" s="372"/>
      <c r="AO27" s="372"/>
      <c r="AP27" s="372"/>
      <c r="AQ27" s="372"/>
      <c r="AR27" s="372"/>
      <c r="AS27" s="372"/>
      <c r="AT27" s="372"/>
      <c r="AU27" s="372"/>
      <c r="AV27" s="372"/>
      <c r="AW27" s="372"/>
      <c r="AX27" s="372"/>
      <c r="AY27" s="372"/>
      <c r="AZ27" s="372"/>
      <c r="BA27" s="372"/>
    </row>
    <row r="28" customHeight="1" spans="1:53">
      <c r="A28" s="388"/>
      <c r="B28" s="372"/>
      <c r="C28" s="372"/>
      <c r="D28" s="372"/>
      <c r="E28" s="372"/>
      <c r="F28" s="372"/>
      <c r="G28" s="372"/>
      <c r="H28" s="372"/>
      <c r="I28" s="372"/>
      <c r="J28" s="372"/>
      <c r="K28" s="372"/>
      <c r="L28" s="372"/>
      <c r="M28" s="372"/>
      <c r="N28" s="372"/>
      <c r="O28" s="372"/>
      <c r="P28" s="372"/>
      <c r="Q28" s="373"/>
      <c r="R28" s="372"/>
      <c r="S28" s="372"/>
      <c r="T28" s="372"/>
      <c r="U28" s="372"/>
      <c r="V28" s="372"/>
      <c r="W28" s="372"/>
      <c r="X28" s="372"/>
      <c r="Y28" s="372"/>
      <c r="Z28" s="372"/>
      <c r="AA28" s="372"/>
      <c r="AB28" s="372"/>
      <c r="AC28" s="372"/>
      <c r="AD28" s="372"/>
      <c r="AE28" s="372"/>
      <c r="AF28" s="372"/>
      <c r="AG28" s="372"/>
      <c r="AH28" s="372"/>
      <c r="AI28" s="372"/>
      <c r="AJ28" s="372"/>
      <c r="AK28" s="372"/>
      <c r="AL28" s="372"/>
      <c r="AM28" s="372"/>
      <c r="AN28" s="372"/>
      <c r="AO28" s="372"/>
      <c r="AP28" s="372"/>
      <c r="AQ28" s="372"/>
      <c r="AR28" s="372"/>
      <c r="AS28" s="372"/>
      <c r="AT28" s="372"/>
      <c r="AU28" s="372"/>
      <c r="AV28" s="372"/>
      <c r="AW28" s="372"/>
      <c r="AX28" s="372"/>
      <c r="AY28" s="372"/>
      <c r="AZ28" s="372"/>
      <c r="BA28" s="372"/>
    </row>
    <row r="29" customHeight="1" spans="1:53">
      <c r="A29" s="388"/>
      <c r="B29" s="372"/>
      <c r="C29" s="372"/>
      <c r="D29" s="372"/>
      <c r="E29" s="372"/>
      <c r="F29" s="372"/>
      <c r="G29" s="372"/>
      <c r="H29" s="372"/>
      <c r="I29" s="372"/>
      <c r="J29" s="372"/>
      <c r="K29" s="372"/>
      <c r="L29" s="372"/>
      <c r="M29" s="372"/>
      <c r="N29" s="372"/>
      <c r="O29" s="372"/>
      <c r="P29" s="372"/>
      <c r="Q29" s="373"/>
      <c r="R29" s="372"/>
      <c r="S29" s="372"/>
      <c r="T29" s="372"/>
      <c r="U29" s="372"/>
      <c r="V29" s="372"/>
      <c r="W29" s="372"/>
      <c r="X29" s="372"/>
      <c r="Y29" s="372"/>
      <c r="Z29" s="372"/>
      <c r="AA29" s="372"/>
      <c r="AB29" s="372"/>
      <c r="AC29" s="372"/>
      <c r="AD29" s="372"/>
      <c r="AE29" s="372"/>
      <c r="AF29" s="372"/>
      <c r="AG29" s="372"/>
      <c r="AH29" s="372"/>
      <c r="AI29" s="372"/>
      <c r="AJ29" s="372"/>
      <c r="AK29" s="372"/>
      <c r="AL29" s="372"/>
      <c r="AM29" s="372"/>
      <c r="AN29" s="372"/>
      <c r="AO29" s="372"/>
      <c r="AP29" s="372"/>
      <c r="AQ29" s="372"/>
      <c r="AR29" s="372"/>
      <c r="AS29" s="372"/>
      <c r="AT29" s="372"/>
      <c r="AU29" s="372"/>
      <c r="AV29" s="372"/>
      <c r="AW29" s="372"/>
      <c r="AX29" s="372"/>
      <c r="AY29" s="372"/>
      <c r="AZ29" s="372"/>
      <c r="BA29" s="372"/>
    </row>
    <row r="30" customHeight="1" spans="1:53">
      <c r="A30" s="388"/>
      <c r="B30" s="372"/>
      <c r="C30" s="372"/>
      <c r="D30" s="372"/>
      <c r="E30" s="372"/>
      <c r="F30" s="372"/>
      <c r="G30" s="372"/>
      <c r="H30" s="372"/>
      <c r="I30" s="372"/>
      <c r="J30" s="372"/>
      <c r="K30" s="372"/>
      <c r="L30" s="372"/>
      <c r="M30" s="372"/>
      <c r="N30" s="372"/>
      <c r="O30" s="372"/>
      <c r="P30" s="372"/>
      <c r="Q30" s="373"/>
      <c r="R30" s="372"/>
      <c r="S30" s="372"/>
      <c r="T30" s="372"/>
      <c r="U30" s="372"/>
      <c r="V30" s="372"/>
      <c r="W30" s="372"/>
      <c r="X30" s="372"/>
      <c r="Y30" s="372"/>
      <c r="Z30" s="372"/>
      <c r="AA30" s="372"/>
      <c r="AB30" s="372"/>
      <c r="AC30" s="372"/>
      <c r="AD30" s="372"/>
      <c r="AE30" s="372"/>
      <c r="AF30" s="372"/>
      <c r="AG30" s="372"/>
      <c r="AH30" s="372"/>
      <c r="AI30" s="372"/>
      <c r="AJ30" s="372"/>
      <c r="AK30" s="372"/>
      <c r="AL30" s="372"/>
      <c r="AM30" s="372"/>
      <c r="AN30" s="372"/>
      <c r="AO30" s="372"/>
      <c r="AP30" s="372"/>
      <c r="AQ30" s="372"/>
      <c r="AR30" s="372"/>
      <c r="AS30" s="372"/>
      <c r="AT30" s="372"/>
      <c r="AU30" s="372"/>
      <c r="AV30" s="372"/>
      <c r="AW30" s="372"/>
      <c r="AX30" s="372"/>
      <c r="AY30" s="372"/>
      <c r="AZ30" s="372"/>
      <c r="BA30" s="372"/>
    </row>
    <row r="31" customHeight="1" spans="1:53">
      <c r="A31" s="388"/>
      <c r="B31" s="372"/>
      <c r="C31" s="372"/>
      <c r="D31" s="372"/>
      <c r="E31" s="372"/>
      <c r="F31" s="372"/>
      <c r="G31" s="372"/>
      <c r="H31" s="372"/>
      <c r="I31" s="372"/>
      <c r="J31" s="372"/>
      <c r="K31" s="372"/>
      <c r="L31" s="372"/>
      <c r="M31" s="372"/>
      <c r="N31" s="372"/>
      <c r="O31" s="372"/>
      <c r="P31" s="372"/>
      <c r="Q31" s="373"/>
      <c r="R31" s="372"/>
      <c r="S31" s="372"/>
      <c r="T31" s="372"/>
      <c r="U31" s="372"/>
      <c r="V31" s="372"/>
      <c r="W31" s="372"/>
      <c r="X31" s="372"/>
      <c r="Y31" s="372"/>
      <c r="Z31" s="372"/>
      <c r="AA31" s="372"/>
      <c r="AB31" s="372"/>
      <c r="AC31" s="372"/>
      <c r="AD31" s="372"/>
      <c r="AE31" s="372"/>
      <c r="AF31" s="372"/>
      <c r="AG31" s="372"/>
      <c r="AH31" s="372"/>
      <c r="AI31" s="372"/>
      <c r="AJ31" s="372"/>
      <c r="AK31" s="372"/>
      <c r="AL31" s="372"/>
      <c r="AM31" s="372"/>
      <c r="AN31" s="372"/>
      <c r="AO31" s="372"/>
      <c r="AP31" s="372"/>
      <c r="AQ31" s="372"/>
      <c r="AR31" s="372"/>
      <c r="AS31" s="372"/>
      <c r="AT31" s="372"/>
      <c r="AU31" s="372"/>
      <c r="AV31" s="372"/>
      <c r="AW31" s="372"/>
      <c r="AX31" s="372"/>
      <c r="AY31" s="372"/>
      <c r="AZ31" s="372"/>
      <c r="BA31" s="372"/>
    </row>
    <row r="32" customHeight="1" spans="1:53">
      <c r="A32" s="388"/>
      <c r="B32" s="372"/>
      <c r="C32" s="372"/>
      <c r="D32" s="372"/>
      <c r="E32" s="372"/>
      <c r="F32" s="372"/>
      <c r="G32" s="372"/>
      <c r="H32" s="372"/>
      <c r="I32" s="372"/>
      <c r="J32" s="372"/>
      <c r="K32" s="372"/>
      <c r="L32" s="372"/>
      <c r="M32" s="372"/>
      <c r="N32" s="372"/>
      <c r="O32" s="372"/>
      <c r="P32" s="372"/>
      <c r="Q32" s="373"/>
      <c r="R32" s="372"/>
      <c r="S32" s="372"/>
      <c r="T32" s="372"/>
      <c r="U32" s="372"/>
      <c r="V32" s="372"/>
      <c r="W32" s="372"/>
      <c r="X32" s="372"/>
      <c r="Y32" s="372"/>
      <c r="Z32" s="372"/>
      <c r="AA32" s="372"/>
      <c r="AB32" s="372"/>
      <c r="AC32" s="372"/>
      <c r="AD32" s="372"/>
      <c r="AE32" s="372"/>
      <c r="AF32" s="372"/>
      <c r="AG32" s="372"/>
      <c r="AH32" s="372"/>
      <c r="AI32" s="372"/>
      <c r="AJ32" s="372"/>
      <c r="AK32" s="372"/>
      <c r="AL32" s="372"/>
      <c r="AM32" s="372"/>
      <c r="AN32" s="372"/>
      <c r="AO32" s="372"/>
      <c r="AP32" s="372"/>
      <c r="AQ32" s="372"/>
      <c r="AR32" s="372"/>
      <c r="AS32" s="372"/>
      <c r="AT32" s="372"/>
      <c r="AU32" s="372"/>
      <c r="AV32" s="372"/>
      <c r="AW32" s="372"/>
      <c r="AX32" s="372"/>
      <c r="AY32" s="372"/>
      <c r="AZ32" s="372"/>
      <c r="BA32" s="372"/>
    </row>
    <row r="33" customHeight="1" spans="1:53">
      <c r="A33" s="388"/>
      <c r="B33" s="372"/>
      <c r="C33" s="372"/>
      <c r="D33" s="372"/>
      <c r="E33" s="372"/>
      <c r="F33" s="372"/>
      <c r="G33" s="372"/>
      <c r="H33" s="372"/>
      <c r="I33" s="372"/>
      <c r="J33" s="372"/>
      <c r="K33" s="372"/>
      <c r="L33" s="372"/>
      <c r="M33" s="372"/>
      <c r="N33" s="372"/>
      <c r="O33" s="372"/>
      <c r="P33" s="372"/>
      <c r="Q33" s="373"/>
      <c r="R33" s="372"/>
      <c r="S33" s="372"/>
      <c r="T33" s="372"/>
      <c r="U33" s="372"/>
      <c r="V33" s="372"/>
      <c r="W33" s="372"/>
      <c r="X33" s="372"/>
      <c r="Y33" s="372"/>
      <c r="Z33" s="372"/>
      <c r="AA33" s="372"/>
      <c r="AB33" s="372"/>
      <c r="AC33" s="372"/>
      <c r="AD33" s="372"/>
      <c r="AE33" s="372"/>
      <c r="AF33" s="372"/>
      <c r="AG33" s="372"/>
      <c r="AH33" s="372"/>
      <c r="AI33" s="372"/>
      <c r="AJ33" s="372"/>
      <c r="AK33" s="372"/>
      <c r="AL33" s="372"/>
      <c r="AM33" s="372"/>
      <c r="AN33" s="372"/>
      <c r="AO33" s="372"/>
      <c r="AP33" s="372"/>
      <c r="AQ33" s="372"/>
      <c r="AR33" s="372"/>
      <c r="AS33" s="372"/>
      <c r="AT33" s="372"/>
      <c r="AU33" s="372"/>
      <c r="AV33" s="372"/>
      <c r="AW33" s="372"/>
      <c r="AX33" s="372"/>
      <c r="AY33" s="372"/>
      <c r="AZ33" s="372"/>
      <c r="BA33" s="372"/>
    </row>
    <row r="34" customHeight="1" spans="1:53">
      <c r="A34" s="388"/>
      <c r="B34" s="372"/>
      <c r="C34" s="372"/>
      <c r="D34" s="372"/>
      <c r="E34" s="372"/>
      <c r="F34" s="372"/>
      <c r="G34" s="372"/>
      <c r="H34" s="372"/>
      <c r="I34" s="372"/>
      <c r="J34" s="372"/>
      <c r="K34" s="372"/>
      <c r="L34" s="372"/>
      <c r="M34" s="372"/>
      <c r="N34" s="372"/>
      <c r="O34" s="372"/>
      <c r="P34" s="372"/>
      <c r="Q34" s="388"/>
      <c r="R34" s="372"/>
      <c r="S34" s="372"/>
      <c r="T34" s="372"/>
      <c r="U34" s="372"/>
      <c r="V34" s="372"/>
      <c r="W34" s="372"/>
      <c r="X34" s="372"/>
      <c r="Y34" s="372"/>
      <c r="Z34" s="372"/>
      <c r="AA34" s="372"/>
      <c r="AB34" s="372"/>
      <c r="AC34" s="372"/>
      <c r="AD34" s="372"/>
      <c r="AE34" s="372"/>
      <c r="AF34" s="372"/>
      <c r="AG34" s="372"/>
      <c r="AH34" s="372"/>
      <c r="AI34" s="372"/>
      <c r="AJ34" s="372"/>
      <c r="AK34" s="372"/>
      <c r="AL34" s="372"/>
      <c r="AM34" s="372"/>
      <c r="AN34" s="372"/>
      <c r="AO34" s="372"/>
      <c r="AP34" s="372"/>
      <c r="AQ34" s="372"/>
      <c r="AR34" s="372"/>
      <c r="AS34" s="372"/>
      <c r="AT34" s="372"/>
      <c r="AU34" s="372"/>
      <c r="AV34" s="372"/>
      <c r="AW34" s="372"/>
      <c r="AX34" s="372"/>
      <c r="AY34" s="372"/>
      <c r="AZ34" s="372"/>
      <c r="BA34" s="372"/>
    </row>
    <row r="35" customHeight="1" spans="1:53">
      <c r="A35" s="388"/>
      <c r="B35" s="372"/>
      <c r="C35" s="372"/>
      <c r="D35" s="372"/>
      <c r="E35" s="372"/>
      <c r="F35" s="372"/>
      <c r="G35" s="372"/>
      <c r="H35" s="372"/>
      <c r="I35" s="372"/>
      <c r="J35" s="372"/>
      <c r="K35" s="372"/>
      <c r="L35" s="372"/>
      <c r="M35" s="372"/>
      <c r="N35" s="372"/>
      <c r="O35" s="372"/>
      <c r="P35" s="372"/>
      <c r="Q35" s="388"/>
      <c r="R35" s="372"/>
      <c r="S35" s="372"/>
      <c r="T35" s="372"/>
      <c r="U35" s="372"/>
      <c r="V35" s="372"/>
      <c r="W35" s="372"/>
      <c r="X35" s="372"/>
      <c r="Y35" s="372"/>
      <c r="Z35" s="372"/>
      <c r="AA35" s="372"/>
      <c r="AB35" s="372"/>
      <c r="AC35" s="372"/>
      <c r="AD35" s="372"/>
      <c r="AE35" s="372"/>
      <c r="AF35" s="372"/>
      <c r="AG35" s="372"/>
      <c r="AH35" s="372"/>
      <c r="AI35" s="372"/>
      <c r="AJ35" s="372"/>
      <c r="AK35" s="372"/>
      <c r="AL35" s="372"/>
      <c r="AM35" s="372"/>
      <c r="AN35" s="372"/>
      <c r="AO35" s="372"/>
      <c r="AP35" s="372"/>
      <c r="AQ35" s="372"/>
      <c r="AR35" s="372"/>
      <c r="AS35" s="372"/>
      <c r="AT35" s="372"/>
      <c r="AU35" s="372"/>
      <c r="AV35" s="372"/>
      <c r="AW35" s="372"/>
      <c r="AX35" s="372"/>
      <c r="AY35" s="372"/>
      <c r="AZ35" s="372"/>
      <c r="BA35" s="372"/>
    </row>
    <row r="36" customHeight="1" spans="1:53">
      <c r="A36" s="388"/>
      <c r="B36" s="372"/>
      <c r="C36" s="372"/>
      <c r="D36" s="372"/>
      <c r="E36" s="372"/>
      <c r="F36" s="372"/>
      <c r="G36" s="372"/>
      <c r="H36" s="372"/>
      <c r="I36" s="372"/>
      <c r="J36" s="372"/>
      <c r="K36" s="372"/>
      <c r="L36" s="372"/>
      <c r="M36" s="372"/>
      <c r="N36" s="372"/>
      <c r="O36" s="372"/>
      <c r="P36" s="372"/>
      <c r="Q36" s="388"/>
      <c r="R36" s="372"/>
      <c r="S36" s="372"/>
      <c r="T36" s="372"/>
      <c r="U36" s="372"/>
      <c r="V36" s="372"/>
      <c r="W36" s="372"/>
      <c r="X36" s="372"/>
      <c r="Y36" s="372"/>
      <c r="Z36" s="372"/>
      <c r="AA36" s="372"/>
      <c r="AB36" s="372"/>
      <c r="AC36" s="372"/>
      <c r="AD36" s="372"/>
      <c r="AE36" s="372"/>
      <c r="AF36" s="372"/>
      <c r="AG36" s="372"/>
      <c r="AH36" s="372"/>
      <c r="AI36" s="372"/>
      <c r="AJ36" s="372"/>
      <c r="AK36" s="372"/>
      <c r="AL36" s="372"/>
      <c r="AM36" s="372"/>
      <c r="AN36" s="372"/>
      <c r="AO36" s="372"/>
      <c r="AP36" s="372"/>
      <c r="AQ36" s="372"/>
      <c r="AR36" s="372"/>
      <c r="AS36" s="372"/>
      <c r="AT36" s="372"/>
      <c r="AU36" s="372"/>
      <c r="AV36" s="372"/>
      <c r="AW36" s="372"/>
      <c r="AX36" s="372"/>
      <c r="AY36" s="372"/>
      <c r="AZ36" s="372"/>
      <c r="BA36" s="372"/>
    </row>
    <row r="37" customHeight="1" spans="1:53">
      <c r="A37" s="388"/>
      <c r="B37" s="372"/>
      <c r="C37" s="372"/>
      <c r="D37" s="372"/>
      <c r="E37" s="372"/>
      <c r="F37" s="372"/>
      <c r="G37" s="372"/>
      <c r="H37" s="372"/>
      <c r="I37" s="372"/>
      <c r="J37" s="372"/>
      <c r="K37" s="372"/>
      <c r="L37" s="372"/>
      <c r="M37" s="372"/>
      <c r="N37" s="372"/>
      <c r="O37" s="372"/>
      <c r="P37" s="372"/>
      <c r="Q37" s="388"/>
      <c r="R37" s="372"/>
      <c r="S37" s="372"/>
      <c r="T37" s="372"/>
      <c r="U37" s="372"/>
      <c r="V37" s="372"/>
      <c r="W37" s="372"/>
      <c r="X37" s="372"/>
      <c r="Y37" s="372"/>
      <c r="Z37" s="372"/>
      <c r="AA37" s="372"/>
      <c r="AB37" s="372"/>
      <c r="AC37" s="372"/>
      <c r="AD37" s="372"/>
      <c r="AE37" s="372"/>
      <c r="AF37" s="372"/>
      <c r="AG37" s="372"/>
      <c r="AH37" s="372"/>
      <c r="AI37" s="372"/>
      <c r="AJ37" s="372"/>
      <c r="AK37" s="372"/>
      <c r="AL37" s="372"/>
      <c r="AM37" s="372"/>
      <c r="AN37" s="372"/>
      <c r="AO37" s="372"/>
      <c r="AP37" s="372"/>
      <c r="AQ37" s="372"/>
      <c r="AR37" s="372"/>
      <c r="AS37" s="372"/>
      <c r="AT37" s="372"/>
      <c r="AU37" s="372"/>
      <c r="AV37" s="372"/>
      <c r="AW37" s="372"/>
      <c r="AX37" s="372"/>
      <c r="AY37" s="372"/>
      <c r="AZ37" s="372"/>
      <c r="BA37" s="372"/>
    </row>
    <row r="38" customHeight="1" spans="2:53">
      <c r="B38" s="372"/>
      <c r="C38" s="372"/>
      <c r="D38" s="372"/>
      <c r="E38" s="372"/>
      <c r="F38" s="372"/>
      <c r="G38" s="372"/>
      <c r="H38" s="372"/>
      <c r="I38" s="372"/>
      <c r="J38" s="372"/>
      <c r="K38" s="372"/>
      <c r="L38" s="372"/>
      <c r="M38" s="372"/>
      <c r="N38" s="372"/>
      <c r="O38" s="372"/>
      <c r="P38" s="372"/>
      <c r="Q38" s="388"/>
      <c r="R38" s="372"/>
      <c r="S38" s="372"/>
      <c r="T38" s="372"/>
      <c r="U38" s="372"/>
      <c r="V38" s="372"/>
      <c r="W38" s="372"/>
      <c r="X38" s="372"/>
      <c r="Y38" s="372"/>
      <c r="Z38" s="372"/>
      <c r="AA38" s="372"/>
      <c r="AB38" s="372"/>
      <c r="AC38" s="372"/>
      <c r="AD38" s="372"/>
      <c r="AE38" s="372"/>
      <c r="AF38" s="372"/>
      <c r="AG38" s="372"/>
      <c r="AH38" s="372"/>
      <c r="AI38" s="372"/>
      <c r="AJ38" s="372"/>
      <c r="AK38" s="372"/>
      <c r="AL38" s="372"/>
      <c r="AM38" s="372"/>
      <c r="AN38" s="372"/>
      <c r="AO38" s="372"/>
      <c r="AP38" s="372"/>
      <c r="AQ38" s="372"/>
      <c r="AR38" s="372"/>
      <c r="AS38" s="372"/>
      <c r="AT38" s="372"/>
      <c r="AU38" s="372"/>
      <c r="AV38" s="372"/>
      <c r="AW38" s="372"/>
      <c r="AX38" s="372"/>
      <c r="AY38" s="372"/>
      <c r="AZ38" s="372"/>
      <c r="BA38" s="372"/>
    </row>
    <row r="39" customHeight="1"/>
    <row r="40" customHeight="1"/>
    <row r="41" customHeight="1"/>
    <row r="42" customHeight="1"/>
    <row r="43" customHeight="1"/>
    <row r="44" customHeight="1"/>
    <row r="45" customHeight="1"/>
    <row r="46" customHeight="1"/>
    <row r="47" customHeight="1"/>
    <row r="48" customHeight="1"/>
    <row r="49" customHeight="1"/>
    <row r="50" customHeight="1"/>
    <row r="51" customHeight="1"/>
    <row r="52" customHeight="1"/>
    <row r="53" customHeight="1"/>
    <row r="54" customHeight="1"/>
    <row r="55" customHeight="1"/>
    <row r="56" customHeight="1"/>
    <row r="57" customHeight="1"/>
    <row r="58" customHeight="1"/>
    <row r="59" customHeight="1"/>
    <row r="60" customHeight="1"/>
    <row r="61" customHeight="1"/>
    <row r="62" customHeight="1"/>
    <row r="63" customHeight="1"/>
    <row r="64" customHeight="1"/>
    <row r="65" customHeight="1"/>
    <row r="66" customHeight="1"/>
    <row r="67" customHeight="1"/>
    <row r="68" customHeight="1"/>
    <row r="69" customHeight="1"/>
    <row r="70" customHeight="1"/>
    <row r="71" customHeight="1"/>
    <row r="72" customHeight="1"/>
    <row r="73" customHeight="1"/>
    <row r="74" customHeight="1"/>
    <row r="75" customHeight="1"/>
    <row r="76" customHeight="1"/>
    <row r="77" customHeight="1"/>
    <row r="78" customHeight="1"/>
    <row r="79" customHeight="1"/>
    <row r="80" customHeight="1"/>
    <row r="81" customHeight="1"/>
    <row r="82" customHeight="1"/>
    <row r="83" customHeight="1"/>
    <row r="84" customHeight="1"/>
    <row r="85" customHeight="1"/>
    <row r="86" customHeight="1"/>
    <row r="87" customHeight="1"/>
    <row r="88" customHeight="1"/>
    <row r="89" customHeight="1"/>
    <row r="90" customHeight="1"/>
    <row r="91" customHeight="1"/>
    <row r="92" customHeight="1"/>
    <row r="93" customHeight="1"/>
    <row r="94" customHeight="1"/>
    <row r="95" customHeight="1"/>
    <row r="96" customHeight="1"/>
    <row r="97" customHeight="1"/>
    <row r="98" customHeight="1"/>
    <row r="99" customHeight="1"/>
    <row r="100" customHeight="1"/>
  </sheetData>
  <mergeCells count="55">
    <mergeCell ref="A1:BB1"/>
    <mergeCell ref="B3:D3"/>
    <mergeCell ref="E3:P3"/>
    <mergeCell ref="R3:V3"/>
    <mergeCell ref="W3:BA3"/>
    <mergeCell ref="B4:D4"/>
    <mergeCell ref="E4:P4"/>
    <mergeCell ref="R4:V4"/>
    <mergeCell ref="W4:BA4"/>
    <mergeCell ref="R5:V5"/>
    <mergeCell ref="W5:BA5"/>
    <mergeCell ref="B6:D6"/>
    <mergeCell ref="E6:H6"/>
    <mergeCell ref="J6:L6"/>
    <mergeCell ref="M6:P6"/>
    <mergeCell ref="R6:V6"/>
    <mergeCell ref="W6:BA6"/>
    <mergeCell ref="B7:D7"/>
    <mergeCell ref="E7:H7"/>
    <mergeCell ref="J7:L7"/>
    <mergeCell ref="M7:P7"/>
    <mergeCell ref="B8:D8"/>
    <mergeCell ref="E8:H8"/>
    <mergeCell ref="J8:L8"/>
    <mergeCell ref="M8:P8"/>
    <mergeCell ref="B10:D10"/>
    <mergeCell ref="E10:H10"/>
    <mergeCell ref="J10:L10"/>
    <mergeCell ref="M10:P10"/>
    <mergeCell ref="B11:D11"/>
    <mergeCell ref="E11:H11"/>
    <mergeCell ref="J11:L11"/>
    <mergeCell ref="M11:P11"/>
    <mergeCell ref="B12:D12"/>
    <mergeCell ref="E12:H12"/>
    <mergeCell ref="J12:L12"/>
    <mergeCell ref="M12:P12"/>
    <mergeCell ref="B14:P14"/>
    <mergeCell ref="R15:V15"/>
    <mergeCell ref="W15:BA15"/>
    <mergeCell ref="R16:V16"/>
    <mergeCell ref="W16:BA16"/>
    <mergeCell ref="R17:V17"/>
    <mergeCell ref="W17:BA17"/>
    <mergeCell ref="R18:V18"/>
    <mergeCell ref="W18:BA18"/>
    <mergeCell ref="B19:P19"/>
    <mergeCell ref="R19:BA19"/>
    <mergeCell ref="R7:V8"/>
    <mergeCell ref="W7:BA8"/>
    <mergeCell ref="R9:V14"/>
    <mergeCell ref="W9:BA14"/>
    <mergeCell ref="B15:P18"/>
    <mergeCell ref="B20:P38"/>
    <mergeCell ref="R20:BA38"/>
  </mergeCells>
  <pageMargins left="0.699305555555556" right="0.699305555555556" top="0.75" bottom="0.75" header="0.511811023622047" footer="0.511811023622047"/>
  <pageSetup paperSize="9" orientation="portrait"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53735"/>
  </sheetPr>
  <dimension ref="A1:CD100"/>
  <sheetViews>
    <sheetView tabSelected="1" zoomScale="77" zoomScaleNormal="77" zoomScalePageLayoutView="30" workbookViewId="0">
      <selection activeCell="S4" sqref="S4:V4"/>
    </sheetView>
  </sheetViews>
  <sheetFormatPr defaultColWidth="8.99090909090909" defaultRowHeight="16.5"/>
  <cols>
    <col min="1" max="1" width="1.5" style="145" customWidth="1"/>
    <col min="2" max="2" width="3.75454545454545" style="145" customWidth="1"/>
    <col min="3" max="4" width="2.38181818181818" style="145" customWidth="1"/>
    <col min="5" max="5" width="2.25454545454545" style="145" customWidth="1"/>
    <col min="6" max="6" width="2.88181818181818" style="145" customWidth="1"/>
    <col min="7" max="7" width="2.25454545454545" style="145" customWidth="1"/>
    <col min="8" max="8" width="2.75454545454545" style="145" customWidth="1"/>
    <col min="9" max="12" width="2.25454545454545" style="145" customWidth="1"/>
    <col min="13" max="20" width="2.38181818181818" style="145" customWidth="1"/>
    <col min="21" max="21" width="3" style="145" customWidth="1"/>
    <col min="22" max="22" width="4.60909090909091" style="145" customWidth="1"/>
    <col min="23" max="23" width="4.37272727272727" style="145" customWidth="1"/>
    <col min="24" max="24" width="3.99090909090909" style="145" customWidth="1"/>
    <col min="25" max="25" width="2.88181818181818" style="145" customWidth="1"/>
    <col min="26" max="27" width="2.38181818181818" style="145" customWidth="1"/>
    <col min="28" max="28" width="3.75454545454545" style="145" customWidth="1"/>
    <col min="29" max="29" width="1.26363636363636" style="145" customWidth="1"/>
    <col min="30" max="45" width="2.38181818181818" style="145" customWidth="1"/>
    <col min="46" max="47" width="0.881818181818182" style="145" customWidth="1"/>
    <col min="48" max="48" width="3" style="145" customWidth="1"/>
    <col min="49" max="52" width="2.38181818181818" style="145" customWidth="1"/>
    <col min="53" max="53" width="3.38181818181818" style="145" customWidth="1"/>
    <col min="54" max="54" width="7.25454545454545" style="145" customWidth="1"/>
    <col min="55" max="63" width="2.38181818181818" style="145" customWidth="1"/>
    <col min="64" max="64" width="1.11818181818182" style="145" customWidth="1"/>
    <col min="65" max="65" width="3" style="145" customWidth="1"/>
    <col min="66" max="104" width="2.38181818181818" style="145" customWidth="1"/>
    <col min="105" max="16384" width="8.99090909090909" style="145"/>
  </cols>
  <sheetData>
    <row r="1" customHeight="1" spans="1:80">
      <c r="A1" s="228" t="s">
        <v>38</v>
      </c>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228"/>
      <c r="AF1" s="228"/>
      <c r="AG1" s="228"/>
      <c r="AH1" s="228"/>
      <c r="AI1" s="228"/>
      <c r="AJ1" s="228"/>
      <c r="AK1" s="228"/>
      <c r="AL1" s="228"/>
      <c r="AM1" s="228"/>
      <c r="AN1" s="228"/>
      <c r="AO1" s="228"/>
      <c r="AP1" s="228"/>
      <c r="AQ1" s="228"/>
      <c r="AR1" s="228"/>
      <c r="AS1" s="228"/>
      <c r="AT1" s="354"/>
      <c r="AU1" s="354"/>
      <c r="AV1" s="223" t="s">
        <v>39</v>
      </c>
      <c r="AW1" s="223"/>
      <c r="AX1" s="223"/>
      <c r="AY1" s="223"/>
      <c r="AZ1" s="223"/>
      <c r="BA1" s="223"/>
      <c r="BB1" s="223"/>
      <c r="BC1" s="223"/>
      <c r="BD1" s="223"/>
      <c r="BE1" s="223"/>
      <c r="BF1" s="223"/>
      <c r="BG1" s="223"/>
      <c r="BH1" s="223"/>
      <c r="BI1" s="223"/>
      <c r="BJ1" s="223"/>
      <c r="BK1" s="223"/>
      <c r="BL1" s="140"/>
      <c r="BM1" s="223" t="s">
        <v>40</v>
      </c>
      <c r="BN1" s="223"/>
      <c r="BO1" s="223"/>
      <c r="BP1" s="223"/>
      <c r="BQ1" s="223"/>
      <c r="BR1" s="223"/>
      <c r="BS1" s="223"/>
      <c r="BT1" s="223"/>
      <c r="BU1" s="223"/>
      <c r="BV1" s="223"/>
      <c r="BW1" s="223"/>
      <c r="BX1" s="223"/>
      <c r="BY1" s="223"/>
      <c r="BZ1" s="223"/>
      <c r="CA1" s="223"/>
      <c r="CB1" s="223"/>
    </row>
    <row r="2" customHeight="1" spans="1:80">
      <c r="A2" s="229"/>
      <c r="B2" s="229"/>
      <c r="C2" s="229"/>
      <c r="D2" s="229"/>
      <c r="E2" s="229"/>
      <c r="F2" s="229"/>
      <c r="G2" s="229"/>
      <c r="H2" s="229"/>
      <c r="I2" s="229"/>
      <c r="J2" s="229"/>
      <c r="K2" s="229"/>
      <c r="L2" s="229"/>
      <c r="M2" s="229"/>
      <c r="N2" s="229"/>
      <c r="O2" s="229"/>
      <c r="P2" s="229"/>
      <c r="Q2" s="229"/>
      <c r="R2" s="229"/>
      <c r="S2" s="229"/>
      <c r="T2" s="229"/>
      <c r="U2" s="229"/>
      <c r="V2" s="229"/>
      <c r="W2" s="283" t="s">
        <v>41</v>
      </c>
      <c r="X2" s="283"/>
      <c r="Y2" s="137"/>
      <c r="Z2" s="137"/>
      <c r="AA2" s="229"/>
      <c r="AB2" s="229"/>
      <c r="AC2" s="229"/>
      <c r="AD2" s="229"/>
      <c r="AE2" s="229"/>
      <c r="AF2" s="229"/>
      <c r="AG2" s="229"/>
      <c r="AH2" s="344" t="s">
        <v>35</v>
      </c>
      <c r="AI2" s="344"/>
      <c r="AJ2" s="344"/>
      <c r="AK2" s="344"/>
      <c r="AL2" s="344"/>
      <c r="AM2" s="344"/>
      <c r="AN2" s="344"/>
      <c r="AO2" s="344"/>
      <c r="AP2" s="344"/>
      <c r="AQ2" s="344"/>
      <c r="AR2" s="344"/>
      <c r="AS2" s="344"/>
      <c r="AT2" s="229"/>
      <c r="AU2" s="229"/>
      <c r="AV2" s="229" t="s">
        <v>42</v>
      </c>
      <c r="AW2" s="371" t="s">
        <v>43</v>
      </c>
      <c r="AX2" s="371"/>
      <c r="AY2" s="371"/>
      <c r="AZ2" s="371"/>
      <c r="BA2" s="371"/>
      <c r="BB2" s="371" t="s">
        <v>44</v>
      </c>
      <c r="BC2" s="371"/>
      <c r="BD2" s="371"/>
      <c r="BE2" s="371"/>
      <c r="BF2" s="371"/>
      <c r="BG2" s="371"/>
      <c r="BH2" s="371"/>
      <c r="BI2" s="371"/>
      <c r="BJ2" s="371"/>
      <c r="BK2" s="371"/>
      <c r="BL2" s="229"/>
      <c r="BM2" s="371" t="s">
        <v>43</v>
      </c>
      <c r="BN2" s="371"/>
      <c r="BO2" s="371"/>
      <c r="BP2" s="371"/>
      <c r="BQ2" s="371"/>
      <c r="BR2" s="371"/>
      <c r="BS2" s="371" t="s">
        <v>44</v>
      </c>
      <c r="BT2" s="371"/>
      <c r="BU2" s="371"/>
      <c r="BV2" s="371"/>
      <c r="BW2" s="371"/>
      <c r="BX2" s="371"/>
      <c r="BY2" s="371"/>
      <c r="BZ2" s="371"/>
      <c r="CA2" s="371"/>
      <c r="CB2" s="371"/>
    </row>
    <row r="3" customHeight="1" spans="1:80">
      <c r="A3" s="140"/>
      <c r="B3" s="230" t="s">
        <v>1</v>
      </c>
      <c r="C3" s="230"/>
      <c r="D3" s="230"/>
      <c r="E3" s="231" t="s">
        <v>45</v>
      </c>
      <c r="F3" s="231"/>
      <c r="G3" s="231"/>
      <c r="H3" s="231"/>
      <c r="I3" s="231"/>
      <c r="J3" s="231"/>
      <c r="K3" s="231"/>
      <c r="L3" s="231"/>
      <c r="M3" s="231"/>
      <c r="N3" s="231"/>
      <c r="O3" s="140"/>
      <c r="P3" s="230" t="s">
        <v>46</v>
      </c>
      <c r="Q3" s="230"/>
      <c r="R3" s="230"/>
      <c r="S3" s="271" t="s">
        <v>47</v>
      </c>
      <c r="T3" s="271"/>
      <c r="U3" s="271"/>
      <c r="V3" s="271"/>
      <c r="W3" s="284">
        <v>5</v>
      </c>
      <c r="X3" s="284"/>
      <c r="Y3" s="170"/>
      <c r="Z3" s="318" t="s">
        <v>48</v>
      </c>
      <c r="AA3" s="318"/>
      <c r="AB3" s="318"/>
      <c r="AC3" s="319">
        <f>IF(图表!F6&lt;5,2,IF(图表!F6&lt;9,3,IF(图表!F6&lt;13,4,IF(图表!F6&lt;17,5,6))))</f>
        <v>3</v>
      </c>
      <c r="AD3" s="319"/>
      <c r="AE3" s="319"/>
      <c r="AF3" s="319"/>
      <c r="AG3" s="140"/>
      <c r="AH3" s="345"/>
      <c r="AI3" s="345"/>
      <c r="AJ3" s="345"/>
      <c r="AK3" s="345"/>
      <c r="AL3" s="345"/>
      <c r="AM3" s="345"/>
      <c r="AN3" s="345"/>
      <c r="AO3" s="345"/>
      <c r="AP3" s="345"/>
      <c r="AQ3" s="345"/>
      <c r="AR3" s="345"/>
      <c r="AS3" s="345"/>
      <c r="AT3" s="140"/>
      <c r="AU3" s="140"/>
      <c r="AV3" s="150"/>
      <c r="AW3" s="312" t="s">
        <v>49</v>
      </c>
      <c r="AX3" s="312"/>
      <c r="AY3" s="312"/>
      <c r="AZ3" s="312"/>
      <c r="BA3" s="312"/>
      <c r="BB3" s="312"/>
      <c r="BC3" s="312"/>
      <c r="BD3" s="312"/>
      <c r="BE3" s="312"/>
      <c r="BF3" s="312"/>
      <c r="BG3" s="312"/>
      <c r="BH3" s="312"/>
      <c r="BI3" s="312"/>
      <c r="BJ3" s="312"/>
      <c r="BK3" s="312"/>
      <c r="BL3" s="140"/>
      <c r="BM3" s="364"/>
      <c r="BN3" s="364"/>
      <c r="BO3" s="364"/>
      <c r="BP3" s="364"/>
      <c r="BQ3" s="364"/>
      <c r="BR3" s="364"/>
      <c r="BS3" s="312"/>
      <c r="BT3" s="312"/>
      <c r="BU3" s="312"/>
      <c r="BV3" s="312"/>
      <c r="BW3" s="312"/>
      <c r="BX3" s="312"/>
      <c r="BY3" s="312"/>
      <c r="BZ3" s="312"/>
      <c r="CA3" s="312"/>
      <c r="CB3" s="312"/>
    </row>
    <row r="4" customHeight="1" spans="1:80">
      <c r="A4" s="140"/>
      <c r="B4" s="230" t="s">
        <v>3</v>
      </c>
      <c r="C4" s="230"/>
      <c r="D4" s="230"/>
      <c r="E4" s="231"/>
      <c r="F4" s="231"/>
      <c r="G4" s="231"/>
      <c r="H4" s="231"/>
      <c r="I4" s="231"/>
      <c r="J4" s="231"/>
      <c r="K4" s="231"/>
      <c r="L4" s="231"/>
      <c r="M4" s="231"/>
      <c r="N4" s="231"/>
      <c r="O4" s="140"/>
      <c r="P4" s="230" t="s">
        <v>50</v>
      </c>
      <c r="Q4" s="230"/>
      <c r="R4" s="230"/>
      <c r="S4" s="271"/>
      <c r="T4" s="271"/>
      <c r="U4" s="271"/>
      <c r="V4" s="271"/>
      <c r="W4" s="285"/>
      <c r="X4" s="285"/>
      <c r="Y4" s="170"/>
      <c r="Z4" s="318" t="s">
        <v>51</v>
      </c>
      <c r="AA4" s="318"/>
      <c r="AB4" s="318"/>
      <c r="AC4" s="320"/>
      <c r="AD4" s="320"/>
      <c r="AE4" s="320"/>
      <c r="AF4" s="320"/>
      <c r="AG4" s="140"/>
      <c r="AH4" s="345"/>
      <c r="AI4" s="345"/>
      <c r="AJ4" s="345"/>
      <c r="AK4" s="345"/>
      <c r="AL4" s="345"/>
      <c r="AM4" s="345"/>
      <c r="AN4" s="345"/>
      <c r="AO4" s="345"/>
      <c r="AP4" s="345"/>
      <c r="AQ4" s="345"/>
      <c r="AR4" s="345"/>
      <c r="AS4" s="345"/>
      <c r="AT4" s="140"/>
      <c r="AU4" s="140"/>
      <c r="AV4" s="147"/>
      <c r="AW4" s="372" t="s">
        <v>52</v>
      </c>
      <c r="AX4" s="372"/>
      <c r="AY4" s="372"/>
      <c r="AZ4" s="372"/>
      <c r="BA4" s="372"/>
      <c r="BB4" s="372"/>
      <c r="BC4" s="372"/>
      <c r="BD4" s="372"/>
      <c r="BE4" s="372"/>
      <c r="BF4" s="372"/>
      <c r="BG4" s="372"/>
      <c r="BH4" s="372"/>
      <c r="BI4" s="372"/>
      <c r="BJ4" s="372"/>
      <c r="BK4" s="372"/>
      <c r="BL4" s="140"/>
      <c r="BM4" s="372"/>
      <c r="BN4" s="372"/>
      <c r="BO4" s="372"/>
      <c r="BP4" s="372"/>
      <c r="BQ4" s="372"/>
      <c r="BR4" s="372"/>
      <c r="BS4" s="372"/>
      <c r="BT4" s="372"/>
      <c r="BU4" s="372"/>
      <c r="BV4" s="372"/>
      <c r="BW4" s="372"/>
      <c r="BX4" s="372"/>
      <c r="BY4" s="372"/>
      <c r="BZ4" s="372"/>
      <c r="CA4" s="372"/>
      <c r="CB4" s="372"/>
    </row>
    <row r="5" customHeight="1" spans="1:80">
      <c r="A5" s="140"/>
      <c r="B5" s="140"/>
      <c r="C5" s="140"/>
      <c r="D5" s="140"/>
      <c r="E5" s="140"/>
      <c r="F5" s="140"/>
      <c r="G5" s="140"/>
      <c r="H5" s="140"/>
      <c r="I5" s="140"/>
      <c r="J5" s="140"/>
      <c r="K5" s="140"/>
      <c r="L5" s="140"/>
      <c r="M5" s="140"/>
      <c r="N5" s="140"/>
      <c r="O5" s="140"/>
      <c r="P5" s="250" t="s">
        <v>53</v>
      </c>
      <c r="Q5" s="250"/>
      <c r="R5" s="250"/>
      <c r="S5" s="286"/>
      <c r="T5" s="286"/>
      <c r="U5" s="286"/>
      <c r="V5" s="286"/>
      <c r="W5" s="286"/>
      <c r="X5" s="286"/>
      <c r="Y5" s="273"/>
      <c r="Z5" s="273"/>
      <c r="AA5" s="140"/>
      <c r="AB5" s="140"/>
      <c r="AC5" s="140"/>
      <c r="AD5" s="140"/>
      <c r="AE5" s="140"/>
      <c r="AF5" s="140"/>
      <c r="AG5" s="140"/>
      <c r="AH5" s="345"/>
      <c r="AI5" s="345"/>
      <c r="AJ5" s="345"/>
      <c r="AK5" s="345"/>
      <c r="AL5" s="345"/>
      <c r="AM5" s="345"/>
      <c r="AN5" s="345"/>
      <c r="AO5" s="345"/>
      <c r="AP5" s="345"/>
      <c r="AQ5" s="345"/>
      <c r="AR5" s="345"/>
      <c r="AS5" s="345"/>
      <c r="AT5" s="140"/>
      <c r="AU5" s="140"/>
      <c r="AV5" s="150"/>
      <c r="AW5" s="312"/>
      <c r="AX5" s="312"/>
      <c r="AY5" s="312"/>
      <c r="AZ5" s="312"/>
      <c r="BA5" s="312"/>
      <c r="BB5" s="312"/>
      <c r="BC5" s="312"/>
      <c r="BD5" s="312"/>
      <c r="BE5" s="312"/>
      <c r="BF5" s="312"/>
      <c r="BG5" s="312"/>
      <c r="BH5" s="312"/>
      <c r="BI5" s="312"/>
      <c r="BJ5" s="312"/>
      <c r="BK5" s="312"/>
      <c r="BL5" s="140"/>
      <c r="BM5" s="312"/>
      <c r="BN5" s="312"/>
      <c r="BO5" s="312"/>
      <c r="BP5" s="312"/>
      <c r="BQ5" s="312"/>
      <c r="BR5" s="312"/>
      <c r="BS5" s="312"/>
      <c r="BT5" s="312"/>
      <c r="BU5" s="312"/>
      <c r="BV5" s="312"/>
      <c r="BW5" s="312"/>
      <c r="BX5" s="312"/>
      <c r="BY5" s="312"/>
      <c r="BZ5" s="312"/>
      <c r="CA5" s="312"/>
      <c r="CB5" s="312"/>
    </row>
    <row r="6" customHeight="1" spans="1:80">
      <c r="A6" s="140"/>
      <c r="B6" s="223" t="s">
        <v>54</v>
      </c>
      <c r="C6" s="223"/>
      <c r="D6" s="223"/>
      <c r="E6" s="223"/>
      <c r="F6" s="223"/>
      <c r="G6" s="223"/>
      <c r="H6" s="223"/>
      <c r="I6" s="223"/>
      <c r="J6" s="223"/>
      <c r="K6" s="223"/>
      <c r="L6" s="223"/>
      <c r="M6" s="170"/>
      <c r="N6" s="223" t="s">
        <v>55</v>
      </c>
      <c r="O6" s="223"/>
      <c r="P6" s="223"/>
      <c r="Q6" s="223"/>
      <c r="R6" s="223"/>
      <c r="S6" s="223"/>
      <c r="T6" s="223"/>
      <c r="U6" s="223"/>
      <c r="V6" s="223"/>
      <c r="W6" s="223"/>
      <c r="X6" s="223"/>
      <c r="Y6" s="223"/>
      <c r="Z6" s="223"/>
      <c r="AA6" s="223"/>
      <c r="AB6" s="223"/>
      <c r="AC6" s="223"/>
      <c r="AD6" s="223"/>
      <c r="AE6" s="223"/>
      <c r="AF6" s="223"/>
      <c r="AG6" s="140"/>
      <c r="AH6" s="345"/>
      <c r="AI6" s="345"/>
      <c r="AJ6" s="345"/>
      <c r="AK6" s="345"/>
      <c r="AL6" s="345"/>
      <c r="AM6" s="345"/>
      <c r="AN6" s="345"/>
      <c r="AO6" s="345"/>
      <c r="AP6" s="345"/>
      <c r="AQ6" s="345"/>
      <c r="AR6" s="345"/>
      <c r="AS6" s="345"/>
      <c r="AT6" s="282"/>
      <c r="AU6" s="140"/>
      <c r="AV6" s="147"/>
      <c r="AW6" s="372"/>
      <c r="AX6" s="372"/>
      <c r="AY6" s="372"/>
      <c r="AZ6" s="372"/>
      <c r="BA6" s="372"/>
      <c r="BB6" s="372"/>
      <c r="BC6" s="372"/>
      <c r="BD6" s="372"/>
      <c r="BE6" s="372"/>
      <c r="BF6" s="372"/>
      <c r="BG6" s="372"/>
      <c r="BH6" s="372"/>
      <c r="BI6" s="372"/>
      <c r="BJ6" s="372"/>
      <c r="BK6" s="372"/>
      <c r="BL6" s="140"/>
      <c r="BM6" s="271"/>
      <c r="BN6" s="271"/>
      <c r="BO6" s="271"/>
      <c r="BP6" s="271"/>
      <c r="BQ6" s="271"/>
      <c r="BR6" s="271"/>
      <c r="BS6" s="372"/>
      <c r="BT6" s="372"/>
      <c r="BU6" s="372"/>
      <c r="BV6" s="372"/>
      <c r="BW6" s="372"/>
      <c r="BX6" s="372"/>
      <c r="BY6" s="372"/>
      <c r="BZ6" s="372"/>
      <c r="CA6" s="372"/>
      <c r="CB6" s="372"/>
    </row>
    <row r="7" customHeight="1" spans="1:80">
      <c r="A7" s="140"/>
      <c r="B7" s="232" t="s">
        <v>56</v>
      </c>
      <c r="C7" s="232"/>
      <c r="D7" s="233"/>
      <c r="E7" s="234" t="s">
        <v>57</v>
      </c>
      <c r="F7" s="234"/>
      <c r="G7" s="234" t="s">
        <v>58</v>
      </c>
      <c r="H7" s="234"/>
      <c r="I7" s="234" t="s">
        <v>59</v>
      </c>
      <c r="J7" s="234"/>
      <c r="K7" s="234" t="s">
        <v>60</v>
      </c>
      <c r="L7" s="234"/>
      <c r="M7" s="232"/>
      <c r="N7" s="140"/>
      <c r="O7" s="140"/>
      <c r="P7" s="140"/>
      <c r="Q7" s="140"/>
      <c r="R7" s="287"/>
      <c r="S7" s="288" t="s">
        <v>61</v>
      </c>
      <c r="T7" s="288"/>
      <c r="U7" s="287"/>
      <c r="V7" s="289"/>
      <c r="W7" s="289"/>
      <c r="X7" s="289"/>
      <c r="Y7" s="321" t="s">
        <v>62</v>
      </c>
      <c r="Z7" s="321"/>
      <c r="AA7" s="321"/>
      <c r="AB7" s="322"/>
      <c r="AC7" s="321" t="s">
        <v>63</v>
      </c>
      <c r="AD7" s="321"/>
      <c r="AE7" s="321"/>
      <c r="AF7" s="214"/>
      <c r="AG7" s="140"/>
      <c r="AH7" s="345"/>
      <c r="AI7" s="345"/>
      <c r="AJ7" s="345"/>
      <c r="AK7" s="345"/>
      <c r="AL7" s="345"/>
      <c r="AM7" s="345"/>
      <c r="AN7" s="345"/>
      <c r="AO7" s="345"/>
      <c r="AP7" s="345"/>
      <c r="AQ7" s="345"/>
      <c r="AR7" s="345"/>
      <c r="AS7" s="345"/>
      <c r="AT7" s="282"/>
      <c r="AU7" s="140"/>
      <c r="AV7" s="150"/>
      <c r="AW7" s="312"/>
      <c r="AX7" s="312"/>
      <c r="AY7" s="312"/>
      <c r="AZ7" s="312"/>
      <c r="BA7" s="312"/>
      <c r="BB7" s="312"/>
      <c r="BC7" s="312"/>
      <c r="BD7" s="312"/>
      <c r="BE7" s="312"/>
      <c r="BF7" s="312"/>
      <c r="BG7" s="312"/>
      <c r="BH7" s="312"/>
      <c r="BI7" s="312"/>
      <c r="BJ7" s="312"/>
      <c r="BK7" s="312"/>
      <c r="BL7" s="140"/>
      <c r="BM7" s="150"/>
      <c r="BN7" s="150"/>
      <c r="BO7" s="150"/>
      <c r="BP7" s="150"/>
      <c r="BQ7" s="150"/>
      <c r="BR7" s="150"/>
      <c r="BS7" s="312"/>
      <c r="BT7" s="312"/>
      <c r="BU7" s="312"/>
      <c r="BV7" s="312"/>
      <c r="BW7" s="312"/>
      <c r="BX7" s="312"/>
      <c r="BY7" s="312"/>
      <c r="BZ7" s="312"/>
      <c r="CA7" s="312"/>
      <c r="CB7" s="312"/>
    </row>
    <row r="8" customHeight="1" spans="1:80">
      <c r="A8" s="140"/>
      <c r="B8" s="235" t="str">
        <f>IF(OR($S$3="战士",$S$3="武僧",$S$3="游侠",$S$3="野蛮人"),"O","X")</f>
        <v>X</v>
      </c>
      <c r="C8" s="236" t="s">
        <v>64</v>
      </c>
      <c r="D8" s="236"/>
      <c r="E8" s="237">
        <v>10</v>
      </c>
      <c r="F8" s="237"/>
      <c r="G8" s="238">
        <f>INT(E8/2-5)</f>
        <v>0</v>
      </c>
      <c r="H8" s="238"/>
      <c r="I8" s="251"/>
      <c r="J8" s="251"/>
      <c r="K8" s="252">
        <f>G8+IF(B8="O",$AC$3,0)+I8</f>
        <v>0</v>
      </c>
      <c r="L8" s="252"/>
      <c r="M8" s="253"/>
      <c r="N8" s="254" t="s">
        <v>65</v>
      </c>
      <c r="O8" s="254"/>
      <c r="P8" s="255">
        <f>G10+S8+IF(COUNTIF(BN15:BR21,"警觉"),5,)+IF(OR(AND($S$3="吟游诗人",$W$3&gt;=2),AND($S$4="吟游诗人",$W$4&gt;=2)),INT(AC3/2),)</f>
        <v>3</v>
      </c>
      <c r="Q8" s="255"/>
      <c r="R8" s="290" t="s">
        <v>66</v>
      </c>
      <c r="S8" s="237"/>
      <c r="T8" s="237"/>
      <c r="U8" s="140"/>
      <c r="V8" s="291" t="s">
        <v>67</v>
      </c>
      <c r="W8" s="291"/>
      <c r="X8" s="291"/>
      <c r="Y8" s="323"/>
      <c r="Z8" s="323"/>
      <c r="AA8" s="323"/>
      <c r="AB8" s="324" t="s">
        <v>68</v>
      </c>
      <c r="AC8" s="325">
        <f>图表!J5+W3*(AC12+图表!G5+AE12)+图表!F8+图表!F10</f>
        <v>28</v>
      </c>
      <c r="AD8" s="325"/>
      <c r="AE8" s="325"/>
      <c r="AF8" s="325"/>
      <c r="AG8" s="140"/>
      <c r="AH8" s="345"/>
      <c r="AI8" s="345"/>
      <c r="AJ8" s="345"/>
      <c r="AK8" s="345"/>
      <c r="AL8" s="345"/>
      <c r="AM8" s="345"/>
      <c r="AN8" s="345"/>
      <c r="AO8" s="345"/>
      <c r="AP8" s="345"/>
      <c r="AQ8" s="345"/>
      <c r="AR8" s="345"/>
      <c r="AS8" s="345"/>
      <c r="AT8" s="140"/>
      <c r="AU8" s="140"/>
      <c r="AV8" s="147"/>
      <c r="AW8" s="372"/>
      <c r="AX8" s="372"/>
      <c r="AY8" s="372"/>
      <c r="AZ8" s="372"/>
      <c r="BA8" s="372"/>
      <c r="BB8" s="372"/>
      <c r="BC8" s="372"/>
      <c r="BD8" s="372"/>
      <c r="BE8" s="372"/>
      <c r="BF8" s="372"/>
      <c r="BG8" s="372"/>
      <c r="BH8" s="372"/>
      <c r="BI8" s="372"/>
      <c r="BJ8" s="372"/>
      <c r="BK8" s="372"/>
      <c r="BL8" s="140"/>
      <c r="BM8" s="271"/>
      <c r="BN8" s="271"/>
      <c r="BO8" s="271"/>
      <c r="BP8" s="271"/>
      <c r="BQ8" s="271"/>
      <c r="BR8" s="271"/>
      <c r="BS8" s="372"/>
      <c r="BT8" s="372"/>
      <c r="BU8" s="372"/>
      <c r="BV8" s="372"/>
      <c r="BW8" s="372"/>
      <c r="BX8" s="372"/>
      <c r="BY8" s="372"/>
      <c r="BZ8" s="372"/>
      <c r="CA8" s="372"/>
      <c r="CB8" s="372"/>
    </row>
    <row r="9" customHeight="1" spans="1:80">
      <c r="A9" s="141"/>
      <c r="B9" s="235"/>
      <c r="C9" s="236"/>
      <c r="D9" s="236"/>
      <c r="E9" s="237"/>
      <c r="F9" s="237"/>
      <c r="G9" s="238"/>
      <c r="H9" s="238"/>
      <c r="I9" s="251"/>
      <c r="J9" s="251"/>
      <c r="K9" s="252"/>
      <c r="L9" s="252"/>
      <c r="M9" s="253"/>
      <c r="N9" s="254"/>
      <c r="O9" s="254"/>
      <c r="P9" s="255"/>
      <c r="Q9" s="255"/>
      <c r="R9" s="290"/>
      <c r="S9" s="237"/>
      <c r="T9" s="237"/>
      <c r="U9" s="140"/>
      <c r="V9" s="291"/>
      <c r="W9" s="291"/>
      <c r="X9" s="291"/>
      <c r="Y9" s="323"/>
      <c r="Z9" s="323"/>
      <c r="AA9" s="323"/>
      <c r="AB9" s="324"/>
      <c r="AC9" s="325"/>
      <c r="AD9" s="325"/>
      <c r="AE9" s="325"/>
      <c r="AF9" s="325"/>
      <c r="AG9" s="141"/>
      <c r="AH9" s="345"/>
      <c r="AI9" s="345"/>
      <c r="AJ9" s="345"/>
      <c r="AK9" s="345"/>
      <c r="AL9" s="345"/>
      <c r="AM9" s="345"/>
      <c r="AN9" s="345"/>
      <c r="AO9" s="345"/>
      <c r="AP9" s="345"/>
      <c r="AQ9" s="345"/>
      <c r="AR9" s="345"/>
      <c r="AS9" s="345"/>
      <c r="AT9" s="140"/>
      <c r="AU9" s="140"/>
      <c r="AV9" s="150"/>
      <c r="AW9" s="312"/>
      <c r="AX9" s="312"/>
      <c r="AY9" s="312"/>
      <c r="AZ9" s="312"/>
      <c r="BA9" s="312"/>
      <c r="BB9" s="312"/>
      <c r="BC9" s="312"/>
      <c r="BD9" s="312"/>
      <c r="BE9" s="312"/>
      <c r="BF9" s="312"/>
      <c r="BG9" s="312"/>
      <c r="BH9" s="312"/>
      <c r="BI9" s="312"/>
      <c r="BJ9" s="312"/>
      <c r="BK9" s="312"/>
      <c r="BL9" s="140"/>
      <c r="BM9" s="150"/>
      <c r="BN9" s="150"/>
      <c r="BO9" s="150"/>
      <c r="BP9" s="150"/>
      <c r="BQ9" s="150"/>
      <c r="BR9" s="150"/>
      <c r="BS9" s="312"/>
      <c r="BT9" s="312"/>
      <c r="BU9" s="312"/>
      <c r="BV9" s="312"/>
      <c r="BW9" s="312"/>
      <c r="BX9" s="312"/>
      <c r="BY9" s="312"/>
      <c r="BZ9" s="312"/>
      <c r="CA9" s="312"/>
      <c r="CB9" s="312"/>
    </row>
    <row r="10" customHeight="1" spans="1:80">
      <c r="A10" s="140"/>
      <c r="B10" s="235" t="str">
        <f>IF(OR($S$3="吟游诗人",$S$3="武僧",$S$3="游荡者",$S$3="游侠"),"O","X")</f>
        <v>X</v>
      </c>
      <c r="C10" s="236" t="s">
        <v>69</v>
      </c>
      <c r="D10" s="236"/>
      <c r="E10" s="237">
        <v>16</v>
      </c>
      <c r="F10" s="237"/>
      <c r="G10" s="238">
        <f>INT(E10/2-5)</f>
        <v>3</v>
      </c>
      <c r="H10" s="238"/>
      <c r="I10" s="251"/>
      <c r="J10" s="251"/>
      <c r="K10" s="252">
        <f>G10+IF(B10="O",$AC$3,0)+I10</f>
        <v>3</v>
      </c>
      <c r="L10" s="252"/>
      <c r="M10" s="232"/>
      <c r="N10" s="256" t="s">
        <v>70</v>
      </c>
      <c r="O10" s="256"/>
      <c r="P10" s="257">
        <f>IF(OR(L23="重甲",L23="无甲"),AD23,SUM(AD23,IF(AG23&gt;0,IF(AG23&gt;G10,G10,AG23),G10)))+S10+IF(S12="是",AP23,0)</f>
        <v>15</v>
      </c>
      <c r="Q10" s="257"/>
      <c r="R10" s="290" t="s">
        <v>66</v>
      </c>
      <c r="S10" s="292"/>
      <c r="T10" s="292"/>
      <c r="U10" s="293"/>
      <c r="V10" s="294" t="s">
        <v>71</v>
      </c>
      <c r="W10" s="294"/>
      <c r="X10" s="294"/>
      <c r="Y10" s="326"/>
      <c r="Z10" s="326"/>
      <c r="AA10" s="326"/>
      <c r="AB10" s="327" t="s">
        <v>68</v>
      </c>
      <c r="AC10" s="328">
        <f>W3+W4+W5</f>
        <v>5</v>
      </c>
      <c r="AD10" s="328"/>
      <c r="AE10" s="328"/>
      <c r="AF10" s="328"/>
      <c r="AG10" s="273"/>
      <c r="AH10" s="345"/>
      <c r="AI10" s="345"/>
      <c r="AJ10" s="345"/>
      <c r="AK10" s="345"/>
      <c r="AL10" s="345"/>
      <c r="AM10" s="345"/>
      <c r="AN10" s="345"/>
      <c r="AO10" s="345"/>
      <c r="AP10" s="345"/>
      <c r="AQ10" s="345"/>
      <c r="AR10" s="345"/>
      <c r="AS10" s="345"/>
      <c r="AT10" s="140"/>
      <c r="AU10" s="140"/>
      <c r="AV10" s="147"/>
      <c r="AW10" s="372"/>
      <c r="AX10" s="372"/>
      <c r="AY10" s="372"/>
      <c r="AZ10" s="372"/>
      <c r="BA10" s="372"/>
      <c r="BB10" s="372"/>
      <c r="BC10" s="372"/>
      <c r="BD10" s="372"/>
      <c r="BE10" s="372"/>
      <c r="BF10" s="372"/>
      <c r="BG10" s="372"/>
      <c r="BH10" s="372"/>
      <c r="BI10" s="372"/>
      <c r="BJ10" s="372"/>
      <c r="BK10" s="372"/>
      <c r="BL10" s="140"/>
      <c r="BM10" s="384"/>
      <c r="BN10" s="384"/>
      <c r="BO10" s="384"/>
      <c r="BP10" s="384"/>
      <c r="BQ10" s="384"/>
      <c r="BR10" s="384"/>
      <c r="BS10" s="385"/>
      <c r="BT10" s="385"/>
      <c r="BU10" s="385"/>
      <c r="BV10" s="385"/>
      <c r="BW10" s="385"/>
      <c r="BX10" s="385"/>
      <c r="BY10" s="385"/>
      <c r="BZ10" s="385"/>
      <c r="CA10" s="385"/>
      <c r="CB10" s="385"/>
    </row>
    <row r="11" customHeight="1" spans="1:80">
      <c r="A11" s="140"/>
      <c r="B11" s="235"/>
      <c r="C11" s="236"/>
      <c r="D11" s="236"/>
      <c r="E11" s="237"/>
      <c r="F11" s="237"/>
      <c r="G11" s="238"/>
      <c r="H11" s="238"/>
      <c r="I11" s="251"/>
      <c r="J11" s="251"/>
      <c r="K11" s="252"/>
      <c r="L11" s="252"/>
      <c r="M11" s="253"/>
      <c r="N11" s="256"/>
      <c r="O11" s="256"/>
      <c r="P11" s="257"/>
      <c r="Q11" s="257"/>
      <c r="R11" s="290"/>
      <c r="S11" s="292"/>
      <c r="T11" s="292"/>
      <c r="U11" s="264"/>
      <c r="V11" s="295" t="str">
        <f>图表!P14</f>
        <v>已知祈唤</v>
      </c>
      <c r="W11" s="295"/>
      <c r="X11" s="295"/>
      <c r="Y11" s="329"/>
      <c r="Z11" s="329"/>
      <c r="AA11" s="329"/>
      <c r="AB11" s="327" t="s">
        <v>68</v>
      </c>
      <c r="AC11" s="330">
        <f>图表!S14</f>
        <v>3</v>
      </c>
      <c r="AD11" s="330"/>
      <c r="AE11" s="330"/>
      <c r="AF11" s="330"/>
      <c r="AG11" s="346"/>
      <c r="AH11" s="345"/>
      <c r="AI11" s="345"/>
      <c r="AJ11" s="345"/>
      <c r="AK11" s="345"/>
      <c r="AL11" s="345"/>
      <c r="AM11" s="345"/>
      <c r="AN11" s="345"/>
      <c r="AO11" s="345"/>
      <c r="AP11" s="345"/>
      <c r="AQ11" s="345"/>
      <c r="AR11" s="345"/>
      <c r="AS11" s="345"/>
      <c r="AT11" s="140"/>
      <c r="AU11" s="140"/>
      <c r="AV11" s="150"/>
      <c r="AW11" s="312"/>
      <c r="AX11" s="312"/>
      <c r="AY11" s="312"/>
      <c r="AZ11" s="312"/>
      <c r="BA11" s="312"/>
      <c r="BB11" s="312"/>
      <c r="BC11" s="312"/>
      <c r="BD11" s="312"/>
      <c r="BE11" s="312"/>
      <c r="BF11" s="312"/>
      <c r="BG11" s="312"/>
      <c r="BH11" s="312"/>
      <c r="BI11" s="312"/>
      <c r="BJ11" s="312"/>
      <c r="BK11" s="312"/>
      <c r="BL11" s="140"/>
      <c r="BM11" s="150"/>
      <c r="BN11" s="150"/>
      <c r="BO11" s="150"/>
      <c r="BP11" s="150"/>
      <c r="BQ11" s="150"/>
      <c r="BR11" s="150"/>
      <c r="BS11" s="312"/>
      <c r="BT11" s="312"/>
      <c r="BU11" s="312"/>
      <c r="BV11" s="312"/>
      <c r="BW11" s="312"/>
      <c r="BX11" s="312"/>
      <c r="BY11" s="312"/>
      <c r="BZ11" s="312"/>
      <c r="CA11" s="312"/>
      <c r="CB11" s="312"/>
    </row>
    <row r="12" customHeight="1" spans="1:80">
      <c r="A12" s="140"/>
      <c r="B12" s="235" t="str">
        <f>IF(OR($S$3="战士",$S$3="术士",$S$3="野蛮人",$S$3="奇械师"),"O","X")</f>
        <v>X</v>
      </c>
      <c r="C12" s="236" t="s">
        <v>72</v>
      </c>
      <c r="D12" s="236"/>
      <c r="E12" s="237">
        <v>10</v>
      </c>
      <c r="F12" s="237"/>
      <c r="G12" s="238">
        <f>INT(E12/2-5)</f>
        <v>0</v>
      </c>
      <c r="H12" s="238"/>
      <c r="I12" s="251"/>
      <c r="J12" s="251"/>
      <c r="K12" s="252">
        <f>G12+IF(B12="O",$AC$3,0)+I12</f>
        <v>0</v>
      </c>
      <c r="L12" s="252"/>
      <c r="M12" s="253"/>
      <c r="N12" s="258" t="s">
        <v>73</v>
      </c>
      <c r="O12" s="258"/>
      <c r="P12" s="258"/>
      <c r="Q12" s="258"/>
      <c r="R12" s="296"/>
      <c r="S12" s="235" t="s">
        <v>74</v>
      </c>
      <c r="T12" s="235"/>
      <c r="U12" s="264"/>
      <c r="V12" s="297" t="s">
        <v>75</v>
      </c>
      <c r="W12" s="297"/>
      <c r="X12" s="297"/>
      <c r="Y12" s="331" t="str">
        <f>图表!D14</f>
        <v>1d8</v>
      </c>
      <c r="Z12" s="331"/>
      <c r="AA12" s="331"/>
      <c r="AB12" s="332" t="s">
        <v>76</v>
      </c>
      <c r="AC12" s="331">
        <f>G12</f>
        <v>0</v>
      </c>
      <c r="AD12" s="331"/>
      <c r="AE12" s="333">
        <f>IF(角色!E8="丘陵矮人",1,)+IF(COUNTIF(主要情况!BN15:BR21,"健壮"),2,)</f>
        <v>0</v>
      </c>
      <c r="AF12" s="333"/>
      <c r="AG12" s="346"/>
      <c r="AH12" s="345"/>
      <c r="AI12" s="345"/>
      <c r="AJ12" s="345"/>
      <c r="AK12" s="345"/>
      <c r="AL12" s="345"/>
      <c r="AM12" s="345"/>
      <c r="AN12" s="345"/>
      <c r="AO12" s="345"/>
      <c r="AP12" s="345"/>
      <c r="AQ12" s="345"/>
      <c r="AR12" s="345"/>
      <c r="AS12" s="345"/>
      <c r="AT12" s="140"/>
      <c r="AU12" s="140"/>
      <c r="AV12" s="147"/>
      <c r="AW12" s="372"/>
      <c r="AX12" s="372"/>
      <c r="AY12" s="372"/>
      <c r="AZ12" s="372"/>
      <c r="BA12" s="372"/>
      <c r="BB12" s="372"/>
      <c r="BC12" s="372"/>
      <c r="BD12" s="372"/>
      <c r="BE12" s="372"/>
      <c r="BF12" s="372"/>
      <c r="BG12" s="372"/>
      <c r="BH12" s="372"/>
      <c r="BI12" s="372"/>
      <c r="BJ12" s="372"/>
      <c r="BK12" s="372"/>
      <c r="BL12" s="140"/>
      <c r="BM12" s="247"/>
      <c r="BN12" s="247"/>
      <c r="BO12" s="247"/>
      <c r="BP12" s="247"/>
      <c r="BQ12" s="247"/>
      <c r="BR12" s="247"/>
      <c r="BS12" s="373"/>
      <c r="BT12" s="373"/>
      <c r="BU12" s="373"/>
      <c r="BV12" s="373"/>
      <c r="BW12" s="373"/>
      <c r="BX12" s="373"/>
      <c r="BY12" s="373"/>
      <c r="BZ12" s="373"/>
      <c r="CA12" s="373"/>
      <c r="CB12" s="373"/>
    </row>
    <row r="13" customHeight="1" spans="1:80">
      <c r="A13" s="140"/>
      <c r="B13" s="235"/>
      <c r="C13" s="236"/>
      <c r="D13" s="236"/>
      <c r="E13" s="237"/>
      <c r="F13" s="237"/>
      <c r="G13" s="238"/>
      <c r="H13" s="238"/>
      <c r="I13" s="251"/>
      <c r="J13" s="251"/>
      <c r="K13" s="252"/>
      <c r="L13" s="252"/>
      <c r="M13" s="253"/>
      <c r="N13" s="259"/>
      <c r="O13" s="259"/>
      <c r="P13" s="260"/>
      <c r="Q13" s="260"/>
      <c r="R13" s="298"/>
      <c r="S13" s="165"/>
      <c r="T13" s="299"/>
      <c r="V13" s="300" t="s">
        <v>77</v>
      </c>
      <c r="W13" s="300"/>
      <c r="X13" s="300"/>
      <c r="Y13" s="300"/>
      <c r="Z13" s="300"/>
      <c r="AA13" s="300"/>
      <c r="AB13" s="300"/>
      <c r="AC13" s="300"/>
      <c r="AD13" s="300"/>
      <c r="AE13" s="300"/>
      <c r="AF13" s="206"/>
      <c r="AG13" s="206"/>
      <c r="AH13" s="345"/>
      <c r="AI13" s="345"/>
      <c r="AJ13" s="345"/>
      <c r="AK13" s="345"/>
      <c r="AL13" s="345"/>
      <c r="AM13" s="345"/>
      <c r="AN13" s="345"/>
      <c r="AO13" s="345"/>
      <c r="AP13" s="345"/>
      <c r="AQ13" s="345"/>
      <c r="AR13" s="345"/>
      <c r="AS13" s="345"/>
      <c r="AT13" s="140"/>
      <c r="AU13" s="140"/>
      <c r="AV13" s="150"/>
      <c r="AW13" s="312"/>
      <c r="AX13" s="312"/>
      <c r="AY13" s="312"/>
      <c r="AZ13" s="312"/>
      <c r="BA13" s="312"/>
      <c r="BB13" s="312"/>
      <c r="BC13" s="312"/>
      <c r="BD13" s="312"/>
      <c r="BE13" s="312"/>
      <c r="BF13" s="312"/>
      <c r="BG13" s="312"/>
      <c r="BH13" s="312"/>
      <c r="BI13" s="312"/>
      <c r="BJ13" s="312"/>
      <c r="BK13" s="312"/>
      <c r="BL13" s="140"/>
      <c r="BM13" s="223" t="s">
        <v>78</v>
      </c>
      <c r="BN13" s="223"/>
      <c r="BO13" s="223"/>
      <c r="BP13" s="223"/>
      <c r="BQ13" s="223"/>
      <c r="BR13" s="223"/>
      <c r="BS13" s="223"/>
      <c r="BT13" s="223"/>
      <c r="BU13" s="223"/>
      <c r="BV13" s="223"/>
      <c r="BW13" s="223"/>
      <c r="BX13" s="223"/>
      <c r="BY13" s="223"/>
      <c r="BZ13" s="223"/>
      <c r="CA13" s="223"/>
      <c r="CB13" s="223"/>
    </row>
    <row r="14" customHeight="1" spans="1:80">
      <c r="A14" s="140"/>
      <c r="B14" s="235" t="str">
        <f>IF(OR($S$3="德鲁伊",$S$3="法师",$S$3="游荡者",$S$3="奇械师"),"O","X")</f>
        <v>X</v>
      </c>
      <c r="C14" s="236" t="s">
        <v>79</v>
      </c>
      <c r="D14" s="236"/>
      <c r="E14" s="237">
        <v>14</v>
      </c>
      <c r="F14" s="237"/>
      <c r="G14" s="238">
        <f>INT(E14/2-5)</f>
        <v>2</v>
      </c>
      <c r="H14" s="238"/>
      <c r="I14" s="251"/>
      <c r="J14" s="251"/>
      <c r="K14" s="252">
        <f>G14+IF(B14="O",$AC$3,0)+I14</f>
        <v>2</v>
      </c>
      <c r="L14" s="252"/>
      <c r="M14" s="253"/>
      <c r="N14" s="261" t="s">
        <v>80</v>
      </c>
      <c r="O14" s="261"/>
      <c r="P14" s="255">
        <f>SUM(8+AC3+IF(R17="力量",G8,IF(R17="敏捷",G10,IF(R17="体质",G12,IF(R17="智力",G14,IF(R17="感知",G16,IF(R17="魅力",G18,0)))))))+S14</f>
        <v>14</v>
      </c>
      <c r="Q14" s="255"/>
      <c r="R14" s="290" t="s">
        <v>66</v>
      </c>
      <c r="S14" s="237"/>
      <c r="T14" s="237"/>
      <c r="U14" s="264"/>
      <c r="V14" s="301" t="s">
        <v>77</v>
      </c>
      <c r="W14" s="301"/>
      <c r="X14" s="302"/>
      <c r="Y14" s="302"/>
      <c r="AA14" s="230" t="s">
        <v>81</v>
      </c>
      <c r="AB14" s="230"/>
      <c r="AC14" s="230"/>
      <c r="AD14" s="302"/>
      <c r="AE14" s="302"/>
      <c r="AF14" s="302"/>
      <c r="AG14" s="140"/>
      <c r="AH14" s="345"/>
      <c r="AI14" s="345"/>
      <c r="AJ14" s="345"/>
      <c r="AK14" s="345"/>
      <c r="AL14" s="345"/>
      <c r="AM14" s="345"/>
      <c r="AN14" s="345"/>
      <c r="AO14" s="345"/>
      <c r="AP14" s="345"/>
      <c r="AQ14" s="345"/>
      <c r="AR14" s="345"/>
      <c r="AS14" s="345"/>
      <c r="AT14" s="140"/>
      <c r="AU14" s="140"/>
      <c r="AV14" s="147"/>
      <c r="AW14" s="372"/>
      <c r="AX14" s="372"/>
      <c r="AY14" s="372"/>
      <c r="AZ14" s="372"/>
      <c r="BA14" s="372"/>
      <c r="BB14" s="372"/>
      <c r="BC14" s="372"/>
      <c r="BD14" s="372"/>
      <c r="BE14" s="372"/>
      <c r="BF14" s="372"/>
      <c r="BG14" s="372"/>
      <c r="BH14" s="372"/>
      <c r="BI14" s="372"/>
      <c r="BJ14" s="372"/>
      <c r="BK14" s="372"/>
      <c r="BL14" s="140"/>
      <c r="BM14" s="229" t="s">
        <v>42</v>
      </c>
      <c r="BN14" s="371" t="s">
        <v>43</v>
      </c>
      <c r="BO14" s="371"/>
      <c r="BP14" s="371"/>
      <c r="BQ14" s="371"/>
      <c r="BR14" s="371"/>
      <c r="BS14" s="371" t="s">
        <v>44</v>
      </c>
      <c r="BT14" s="371"/>
      <c r="BU14" s="371"/>
      <c r="BV14" s="371"/>
      <c r="BW14" s="371"/>
      <c r="BX14" s="371"/>
      <c r="BY14" s="371"/>
      <c r="BZ14" s="371"/>
      <c r="CA14" s="371"/>
      <c r="CB14" s="371"/>
    </row>
    <row r="15" customHeight="1" spans="1:80">
      <c r="A15" s="140"/>
      <c r="B15" s="235"/>
      <c r="C15" s="236"/>
      <c r="D15" s="236"/>
      <c r="E15" s="237"/>
      <c r="F15" s="237"/>
      <c r="G15" s="238"/>
      <c r="H15" s="238"/>
      <c r="I15" s="251"/>
      <c r="J15" s="251"/>
      <c r="K15" s="252"/>
      <c r="L15" s="252"/>
      <c r="M15" s="253"/>
      <c r="N15" s="261"/>
      <c r="O15" s="261"/>
      <c r="P15" s="255"/>
      <c r="Q15" s="255"/>
      <c r="R15" s="290"/>
      <c r="S15" s="237"/>
      <c r="T15" s="237"/>
      <c r="U15" s="264"/>
      <c r="V15" s="301"/>
      <c r="W15" s="301"/>
      <c r="X15" s="302"/>
      <c r="Y15" s="302"/>
      <c r="AA15" s="230"/>
      <c r="AB15" s="230"/>
      <c r="AC15" s="230"/>
      <c r="AD15" s="302"/>
      <c r="AE15" s="302"/>
      <c r="AF15" s="302"/>
      <c r="AG15" s="140"/>
      <c r="AH15" s="345"/>
      <c r="AI15" s="345"/>
      <c r="AJ15" s="345"/>
      <c r="AK15" s="345"/>
      <c r="AL15" s="345"/>
      <c r="AM15" s="345"/>
      <c r="AN15" s="345"/>
      <c r="AO15" s="345"/>
      <c r="AP15" s="345"/>
      <c r="AQ15" s="345"/>
      <c r="AR15" s="345"/>
      <c r="AS15" s="345"/>
      <c r="AT15" s="140"/>
      <c r="AU15" s="140"/>
      <c r="AV15" s="150"/>
      <c r="AW15" s="312"/>
      <c r="AX15" s="312"/>
      <c r="AY15" s="312"/>
      <c r="AZ15" s="312"/>
      <c r="BA15" s="312"/>
      <c r="BB15" s="312"/>
      <c r="BC15" s="312"/>
      <c r="BD15" s="312"/>
      <c r="BE15" s="312"/>
      <c r="BF15" s="312"/>
      <c r="BG15" s="312"/>
      <c r="BH15" s="312"/>
      <c r="BI15" s="312"/>
      <c r="BJ15" s="312"/>
      <c r="BK15" s="312"/>
      <c r="BL15" s="140"/>
      <c r="BM15" s="143">
        <v>4</v>
      </c>
      <c r="BN15" s="312" t="s">
        <v>82</v>
      </c>
      <c r="BO15" s="312"/>
      <c r="BP15" s="312"/>
      <c r="BQ15" s="312"/>
      <c r="BR15" s="312"/>
      <c r="BS15" s="312"/>
      <c r="BT15" s="312"/>
      <c r="BU15" s="312"/>
      <c r="BV15" s="312"/>
      <c r="BW15" s="312"/>
      <c r="BX15" s="312"/>
      <c r="BY15" s="312"/>
      <c r="BZ15" s="312"/>
      <c r="CA15" s="312"/>
      <c r="CB15" s="312"/>
    </row>
    <row r="16" customHeight="1" spans="1:80">
      <c r="A16" s="140"/>
      <c r="B16" s="235" t="str">
        <f>IF(OR($S$3="邪术师",$S$3="德鲁伊",$S$3="法师",$S$3="牧师",$S$3="圣武士"),"O","X")</f>
        <v>O</v>
      </c>
      <c r="C16" s="236" t="s">
        <v>83</v>
      </c>
      <c r="D16" s="236"/>
      <c r="E16" s="237">
        <v>12</v>
      </c>
      <c r="F16" s="237"/>
      <c r="G16" s="238">
        <f>INT(E16/2-5)</f>
        <v>1</v>
      </c>
      <c r="H16" s="238"/>
      <c r="I16" s="251"/>
      <c r="J16" s="251"/>
      <c r="K16" s="252">
        <f>G16+IF(B16="O",$AC$3,0)+I16</f>
        <v>4</v>
      </c>
      <c r="L16" s="252"/>
      <c r="M16" s="253"/>
      <c r="N16" s="262"/>
      <c r="O16" s="262"/>
      <c r="P16" s="262"/>
      <c r="Q16" s="262"/>
      <c r="R16" s="170"/>
      <c r="S16" s="170"/>
      <c r="T16" s="170"/>
      <c r="U16" s="303"/>
      <c r="V16" s="248"/>
      <c r="W16" s="248"/>
      <c r="X16" s="240"/>
      <c r="Y16" s="240"/>
      <c r="Z16" s="240"/>
      <c r="AA16" s="273"/>
      <c r="AB16" s="248"/>
      <c r="AC16" s="248"/>
      <c r="AD16" s="334"/>
      <c r="AE16" s="334"/>
      <c r="AF16" s="334"/>
      <c r="AG16" s="140"/>
      <c r="AH16" s="345"/>
      <c r="AI16" s="345"/>
      <c r="AJ16" s="345"/>
      <c r="AK16" s="345"/>
      <c r="AL16" s="345"/>
      <c r="AM16" s="345"/>
      <c r="AN16" s="345"/>
      <c r="AO16" s="345"/>
      <c r="AP16" s="345"/>
      <c r="AQ16" s="345"/>
      <c r="AR16" s="345"/>
      <c r="AS16" s="345"/>
      <c r="AT16" s="140"/>
      <c r="AU16" s="140"/>
      <c r="AV16" s="147"/>
      <c r="AW16" s="372"/>
      <c r="AX16" s="372"/>
      <c r="AY16" s="372"/>
      <c r="AZ16" s="372"/>
      <c r="BA16" s="372"/>
      <c r="BB16" s="372"/>
      <c r="BC16" s="372"/>
      <c r="BD16" s="372"/>
      <c r="BE16" s="372"/>
      <c r="BF16" s="372"/>
      <c r="BG16" s="372"/>
      <c r="BH16" s="372"/>
      <c r="BI16" s="372"/>
      <c r="BJ16" s="372"/>
      <c r="BK16" s="372"/>
      <c r="BL16" s="140"/>
      <c r="BM16" s="142">
        <v>8</v>
      </c>
      <c r="BN16" s="374"/>
      <c r="BO16" s="374"/>
      <c r="BP16" s="374"/>
      <c r="BQ16" s="374"/>
      <c r="BR16" s="374"/>
      <c r="BS16" s="374"/>
      <c r="BT16" s="374"/>
      <c r="BU16" s="374"/>
      <c r="BV16" s="374"/>
      <c r="BW16" s="374"/>
      <c r="BX16" s="374"/>
      <c r="BY16" s="374"/>
      <c r="BZ16" s="374"/>
      <c r="CA16" s="374"/>
      <c r="CB16" s="374"/>
    </row>
    <row r="17" customHeight="1" spans="1:80">
      <c r="A17" s="140"/>
      <c r="B17" s="235"/>
      <c r="C17" s="236"/>
      <c r="D17" s="236"/>
      <c r="E17" s="237"/>
      <c r="F17" s="237"/>
      <c r="G17" s="238"/>
      <c r="H17" s="238"/>
      <c r="I17" s="251"/>
      <c r="J17" s="251"/>
      <c r="K17" s="252"/>
      <c r="L17" s="252"/>
      <c r="M17" s="253"/>
      <c r="N17" s="230" t="s">
        <v>84</v>
      </c>
      <c r="O17" s="230"/>
      <c r="P17" s="230"/>
      <c r="Q17" s="230"/>
      <c r="R17" s="235" t="str">
        <f>图表!D28</f>
        <v>魅力</v>
      </c>
      <c r="S17" s="235"/>
      <c r="T17" s="235"/>
      <c r="U17" s="303"/>
      <c r="V17" s="230" t="s">
        <v>85</v>
      </c>
      <c r="W17" s="230"/>
      <c r="X17" s="304" t="s">
        <v>86</v>
      </c>
      <c r="Y17" s="304"/>
      <c r="Z17" s="240"/>
      <c r="AA17" s="230" t="s">
        <v>87</v>
      </c>
      <c r="AB17" s="230"/>
      <c r="AC17" s="230"/>
      <c r="AD17" s="335">
        <v>30</v>
      </c>
      <c r="AE17" s="335"/>
      <c r="AF17" s="336" t="s">
        <v>88</v>
      </c>
      <c r="AG17" s="140"/>
      <c r="AH17" s="345"/>
      <c r="AI17" s="345"/>
      <c r="AJ17" s="345"/>
      <c r="AK17" s="345"/>
      <c r="AL17" s="345"/>
      <c r="AM17" s="345"/>
      <c r="AN17" s="345"/>
      <c r="AO17" s="345"/>
      <c r="AP17" s="345"/>
      <c r="AQ17" s="345"/>
      <c r="AR17" s="345"/>
      <c r="AS17" s="345"/>
      <c r="AT17" s="140"/>
      <c r="AU17" s="140"/>
      <c r="AV17" s="150"/>
      <c r="AW17" s="312"/>
      <c r="AX17" s="312"/>
      <c r="AY17" s="312"/>
      <c r="AZ17" s="312"/>
      <c r="BA17" s="312"/>
      <c r="BB17" s="312"/>
      <c r="BC17" s="312"/>
      <c r="BD17" s="312"/>
      <c r="BE17" s="312"/>
      <c r="BF17" s="312"/>
      <c r="BG17" s="312"/>
      <c r="BH17" s="312"/>
      <c r="BI17" s="312"/>
      <c r="BJ17" s="312"/>
      <c r="BK17" s="312"/>
      <c r="BL17" s="140"/>
      <c r="BM17" s="143">
        <v>12</v>
      </c>
      <c r="BN17" s="312"/>
      <c r="BO17" s="312"/>
      <c r="BP17" s="312"/>
      <c r="BQ17" s="312"/>
      <c r="BR17" s="312"/>
      <c r="BS17" s="312"/>
      <c r="BT17" s="312"/>
      <c r="BU17" s="312"/>
      <c r="BV17" s="312"/>
      <c r="BW17" s="312"/>
      <c r="BX17" s="312"/>
      <c r="BY17" s="312"/>
      <c r="BZ17" s="312"/>
      <c r="CA17" s="312"/>
      <c r="CB17" s="312"/>
    </row>
    <row r="18" customHeight="1" spans="1:80">
      <c r="A18" s="140"/>
      <c r="B18" s="235" t="str">
        <f>IF(OR($S$3="吟游诗人",$S$3="邪术师",$S$3="牧师",$S$3="圣武士",$S$3="术士"),"O","X")</f>
        <v>O</v>
      </c>
      <c r="C18" s="236" t="s">
        <v>89</v>
      </c>
      <c r="D18" s="236"/>
      <c r="E18" s="237">
        <v>16</v>
      </c>
      <c r="F18" s="237"/>
      <c r="G18" s="238">
        <f>INT(E18/2-5)</f>
        <v>3</v>
      </c>
      <c r="H18" s="238"/>
      <c r="I18" s="251"/>
      <c r="J18" s="251"/>
      <c r="K18" s="252">
        <f>G18+IF(B18="O",$AC$3,0)+I18</f>
        <v>6</v>
      </c>
      <c r="L18" s="252"/>
      <c r="M18" s="253"/>
      <c r="N18" s="263"/>
      <c r="O18" s="263"/>
      <c r="P18" s="263"/>
      <c r="Q18" s="263"/>
      <c r="R18" s="260"/>
      <c r="S18" s="260"/>
      <c r="T18" s="260"/>
      <c r="U18" s="299"/>
      <c r="V18" s="263"/>
      <c r="W18" s="263"/>
      <c r="X18" s="265"/>
      <c r="Y18" s="265"/>
      <c r="Z18" s="265"/>
      <c r="AA18" s="265"/>
      <c r="AB18" s="265"/>
      <c r="AC18" s="265"/>
      <c r="AD18" s="265"/>
      <c r="AE18" s="265"/>
      <c r="AF18" s="265"/>
      <c r="AG18" s="206"/>
      <c r="AH18" s="345"/>
      <c r="AI18" s="345"/>
      <c r="AJ18" s="345"/>
      <c r="AK18" s="345"/>
      <c r="AL18" s="345"/>
      <c r="AM18" s="345"/>
      <c r="AN18" s="345"/>
      <c r="AO18" s="345"/>
      <c r="AP18" s="345"/>
      <c r="AQ18" s="345"/>
      <c r="AR18" s="345"/>
      <c r="AS18" s="345"/>
      <c r="AT18" s="140"/>
      <c r="AU18" s="140"/>
      <c r="AV18" s="147"/>
      <c r="AW18" s="372"/>
      <c r="AX18" s="372"/>
      <c r="AY18" s="372"/>
      <c r="AZ18" s="372"/>
      <c r="BA18" s="372"/>
      <c r="BB18" s="372"/>
      <c r="BC18" s="372"/>
      <c r="BD18" s="372"/>
      <c r="BE18" s="372"/>
      <c r="BF18" s="372"/>
      <c r="BG18" s="372"/>
      <c r="BH18" s="372"/>
      <c r="BI18" s="372"/>
      <c r="BJ18" s="372"/>
      <c r="BK18" s="372"/>
      <c r="BL18" s="140"/>
      <c r="BM18" s="231">
        <v>16</v>
      </c>
      <c r="BN18" s="374"/>
      <c r="BO18" s="374"/>
      <c r="BP18" s="374"/>
      <c r="BQ18" s="374"/>
      <c r="BR18" s="374"/>
      <c r="BS18" s="374"/>
      <c r="BT18" s="374"/>
      <c r="BU18" s="374"/>
      <c r="BV18" s="374"/>
      <c r="BW18" s="374"/>
      <c r="BX18" s="374"/>
      <c r="BY18" s="374"/>
      <c r="BZ18" s="374"/>
      <c r="CA18" s="374"/>
      <c r="CB18" s="374"/>
    </row>
    <row r="19" customHeight="1" spans="1:80">
      <c r="A19" s="140"/>
      <c r="B19" s="235"/>
      <c r="C19" s="236"/>
      <c r="D19" s="236"/>
      <c r="E19" s="237"/>
      <c r="F19" s="237"/>
      <c r="G19" s="238"/>
      <c r="H19" s="238"/>
      <c r="I19" s="251"/>
      <c r="J19" s="251"/>
      <c r="K19" s="252"/>
      <c r="L19" s="252"/>
      <c r="M19" s="253"/>
      <c r="N19" s="230" t="s">
        <v>90</v>
      </c>
      <c r="O19" s="230"/>
      <c r="P19" s="230"/>
      <c r="Q19" s="230"/>
      <c r="R19" s="255">
        <f>10+I35+IF(COUNTIF(BN15:BR21,"观察力"),5,)</f>
        <v>13</v>
      </c>
      <c r="S19" s="255"/>
      <c r="T19" s="255"/>
      <c r="U19" s="264"/>
      <c r="V19" s="230" t="s">
        <v>91</v>
      </c>
      <c r="W19" s="230"/>
      <c r="X19" s="147"/>
      <c r="Y19" s="147"/>
      <c r="Z19" s="147"/>
      <c r="AA19" s="147"/>
      <c r="AB19" s="147"/>
      <c r="AC19" s="147"/>
      <c r="AD19" s="147"/>
      <c r="AE19" s="147"/>
      <c r="AF19" s="147"/>
      <c r="AG19" s="140"/>
      <c r="AH19" s="345"/>
      <c r="AI19" s="345"/>
      <c r="AJ19" s="345"/>
      <c r="AK19" s="345"/>
      <c r="AL19" s="345"/>
      <c r="AM19" s="345"/>
      <c r="AN19" s="345"/>
      <c r="AO19" s="345"/>
      <c r="AP19" s="345"/>
      <c r="AQ19" s="345"/>
      <c r="AR19" s="345"/>
      <c r="AS19" s="345"/>
      <c r="AT19" s="140"/>
      <c r="AU19" s="140"/>
      <c r="AV19" s="150"/>
      <c r="AW19" s="312"/>
      <c r="AX19" s="312"/>
      <c r="AY19" s="312"/>
      <c r="AZ19" s="312"/>
      <c r="BA19" s="312"/>
      <c r="BB19" s="312"/>
      <c r="BC19" s="312"/>
      <c r="BD19" s="312"/>
      <c r="BE19" s="312"/>
      <c r="BF19" s="312"/>
      <c r="BG19" s="312"/>
      <c r="BH19" s="312"/>
      <c r="BI19" s="312"/>
      <c r="BJ19" s="312"/>
      <c r="BK19" s="312"/>
      <c r="BL19" s="140"/>
      <c r="BM19" s="143">
        <v>19</v>
      </c>
      <c r="BN19" s="312"/>
      <c r="BO19" s="312"/>
      <c r="BP19" s="312"/>
      <c r="BQ19" s="312"/>
      <c r="BR19" s="312"/>
      <c r="BS19" s="312"/>
      <c r="BT19" s="312"/>
      <c r="BU19" s="312"/>
      <c r="BV19" s="312"/>
      <c r="BW19" s="312"/>
      <c r="BX19" s="312"/>
      <c r="BY19" s="312"/>
      <c r="BZ19" s="312"/>
      <c r="CA19" s="312"/>
      <c r="CB19" s="312"/>
    </row>
    <row r="20" customHeight="1" spans="1:81">
      <c r="A20" s="140"/>
      <c r="B20" s="170"/>
      <c r="C20" s="239"/>
      <c r="D20" s="239"/>
      <c r="E20" s="239">
        <v>0</v>
      </c>
      <c r="F20" s="240"/>
      <c r="G20" s="240"/>
      <c r="H20" s="241"/>
      <c r="I20" s="241"/>
      <c r="J20" s="240"/>
      <c r="K20" s="240"/>
      <c r="L20" s="253"/>
      <c r="M20" s="253"/>
      <c r="N20" s="264"/>
      <c r="O20" s="264"/>
      <c r="P20" s="264"/>
      <c r="Q20" s="264"/>
      <c r="R20" s="264"/>
      <c r="S20" s="264"/>
      <c r="T20" s="264"/>
      <c r="U20" s="264"/>
      <c r="V20" s="264"/>
      <c r="W20" s="264"/>
      <c r="X20" s="264"/>
      <c r="Y20" s="264"/>
      <c r="Z20" s="264"/>
      <c r="AA20" s="264"/>
      <c r="AB20" s="264"/>
      <c r="AC20" s="264"/>
      <c r="AD20" s="264"/>
      <c r="AE20" s="264"/>
      <c r="AF20" s="264"/>
      <c r="AG20" s="140"/>
      <c r="AH20" s="347"/>
      <c r="AI20" s="347"/>
      <c r="AJ20" s="347"/>
      <c r="AK20" s="347"/>
      <c r="AL20" s="347"/>
      <c r="AM20" s="347"/>
      <c r="AN20" s="347"/>
      <c r="AO20" s="347"/>
      <c r="AP20" s="347"/>
      <c r="AQ20" s="347"/>
      <c r="AR20" s="347"/>
      <c r="AS20" s="347"/>
      <c r="AT20" s="140"/>
      <c r="AU20" s="140"/>
      <c r="AV20" s="147"/>
      <c r="AW20" s="372"/>
      <c r="AX20" s="372"/>
      <c r="AY20" s="372"/>
      <c r="AZ20" s="372"/>
      <c r="BA20" s="372"/>
      <c r="BB20" s="372"/>
      <c r="BC20" s="372"/>
      <c r="BD20" s="372"/>
      <c r="BE20" s="372"/>
      <c r="BF20" s="372"/>
      <c r="BG20" s="372"/>
      <c r="BH20" s="372"/>
      <c r="BI20" s="372"/>
      <c r="BJ20" s="372"/>
      <c r="BK20" s="372"/>
      <c r="BL20" s="140"/>
      <c r="BM20" s="271">
        <v>6</v>
      </c>
      <c r="BN20" s="374"/>
      <c r="BO20" s="374"/>
      <c r="BP20" s="374"/>
      <c r="BQ20" s="374"/>
      <c r="BR20" s="374"/>
      <c r="BS20" s="372"/>
      <c r="BT20" s="372"/>
      <c r="BU20" s="372"/>
      <c r="BV20" s="372"/>
      <c r="BW20" s="372"/>
      <c r="BX20" s="372"/>
      <c r="BY20" s="372"/>
      <c r="BZ20" s="372"/>
      <c r="CA20" s="372"/>
      <c r="CB20" s="372"/>
      <c r="CC20" s="197"/>
    </row>
    <row r="21" customHeight="1" spans="1:80">
      <c r="A21" s="140"/>
      <c r="B21" s="223" t="s">
        <v>92</v>
      </c>
      <c r="C21" s="223"/>
      <c r="D21" s="223"/>
      <c r="E21" s="223"/>
      <c r="F21" s="223"/>
      <c r="G21" s="223"/>
      <c r="H21" s="223"/>
      <c r="I21" s="223"/>
      <c r="J21" s="223"/>
      <c r="K21" s="140"/>
      <c r="L21" s="223" t="s">
        <v>93</v>
      </c>
      <c r="M21" s="223"/>
      <c r="N21" s="223"/>
      <c r="O21" s="223"/>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347"/>
      <c r="AM21" s="223" t="s">
        <v>94</v>
      </c>
      <c r="AN21" s="223"/>
      <c r="AO21" s="223"/>
      <c r="AP21" s="223"/>
      <c r="AQ21" s="223"/>
      <c r="AR21" s="223"/>
      <c r="AS21" s="223"/>
      <c r="AT21" s="140"/>
      <c r="AU21" s="140"/>
      <c r="AV21" s="150"/>
      <c r="AW21" s="312"/>
      <c r="AX21" s="312"/>
      <c r="AY21" s="312"/>
      <c r="AZ21" s="312"/>
      <c r="BA21" s="312"/>
      <c r="BB21" s="312"/>
      <c r="BC21" s="312"/>
      <c r="BD21" s="312"/>
      <c r="BE21" s="312"/>
      <c r="BF21" s="312"/>
      <c r="BG21" s="312"/>
      <c r="BH21" s="312"/>
      <c r="BI21" s="312"/>
      <c r="BJ21" s="312"/>
      <c r="BK21" s="312"/>
      <c r="BL21" s="140"/>
      <c r="BM21" s="150">
        <v>10</v>
      </c>
      <c r="BN21" s="312"/>
      <c r="BO21" s="312"/>
      <c r="BP21" s="312"/>
      <c r="BQ21" s="312"/>
      <c r="BR21" s="312"/>
      <c r="BS21" s="312"/>
      <c r="BT21" s="312"/>
      <c r="BU21" s="312"/>
      <c r="BV21" s="312"/>
      <c r="BW21" s="312"/>
      <c r="BX21" s="312"/>
      <c r="BY21" s="312"/>
      <c r="BZ21" s="312"/>
      <c r="CA21" s="312"/>
      <c r="CB21" s="312"/>
    </row>
    <row r="22" customHeight="1" spans="1:80">
      <c r="A22" s="206"/>
      <c r="B22" s="242" t="s">
        <v>56</v>
      </c>
      <c r="C22" s="234" t="s">
        <v>95</v>
      </c>
      <c r="D22" s="234"/>
      <c r="E22" s="234"/>
      <c r="F22" s="234" t="s">
        <v>61</v>
      </c>
      <c r="G22" s="234"/>
      <c r="H22" s="242"/>
      <c r="I22" s="234" t="s">
        <v>96</v>
      </c>
      <c r="J22" s="234"/>
      <c r="K22" s="265"/>
      <c r="L22" s="266" t="s">
        <v>97</v>
      </c>
      <c r="M22" s="266"/>
      <c r="N22" s="267"/>
      <c r="O22" s="268" t="s">
        <v>43</v>
      </c>
      <c r="P22" s="268"/>
      <c r="Q22" s="268"/>
      <c r="R22" s="268"/>
      <c r="S22" s="268" t="s">
        <v>98</v>
      </c>
      <c r="T22" s="268"/>
      <c r="U22" s="268"/>
      <c r="V22" s="268" t="s">
        <v>99</v>
      </c>
      <c r="W22" s="268"/>
      <c r="X22" s="268"/>
      <c r="Y22" s="268"/>
      <c r="Z22" s="268"/>
      <c r="AA22" s="266" t="s">
        <v>100</v>
      </c>
      <c r="AB22" s="266"/>
      <c r="AC22" s="267"/>
      <c r="AD22" s="266" t="s">
        <v>70</v>
      </c>
      <c r="AE22" s="266"/>
      <c r="AF22" s="266" t="s">
        <v>101</v>
      </c>
      <c r="AG22" s="266"/>
      <c r="AH22" s="266"/>
      <c r="AI22" s="266"/>
      <c r="AJ22" s="266" t="s">
        <v>102</v>
      </c>
      <c r="AK22" s="266"/>
      <c r="AL22" s="266"/>
      <c r="AM22" s="266" t="s">
        <v>103</v>
      </c>
      <c r="AN22" s="266"/>
      <c r="AO22" s="266"/>
      <c r="AP22" s="266" t="s">
        <v>70</v>
      </c>
      <c r="AQ22" s="266"/>
      <c r="AR22" s="266" t="s">
        <v>100</v>
      </c>
      <c r="AS22" s="266"/>
      <c r="AT22" s="140"/>
      <c r="AU22" s="140"/>
      <c r="AV22" s="147"/>
      <c r="AW22" s="372"/>
      <c r="AX22" s="372"/>
      <c r="AY22" s="372"/>
      <c r="AZ22" s="372"/>
      <c r="BA22" s="372"/>
      <c r="BB22" s="372"/>
      <c r="BC22" s="372"/>
      <c r="BD22" s="372"/>
      <c r="BE22" s="372"/>
      <c r="BF22" s="372"/>
      <c r="BG22" s="372"/>
      <c r="BH22" s="372"/>
      <c r="BI22" s="372"/>
      <c r="BJ22" s="372"/>
      <c r="BK22" s="372"/>
      <c r="BL22" s="140"/>
      <c r="BM22" s="247"/>
      <c r="BN22" s="247"/>
      <c r="BO22" s="247"/>
      <c r="BP22" s="247"/>
      <c r="BQ22" s="247"/>
      <c r="BR22" s="247"/>
      <c r="BS22" s="373"/>
      <c r="BT22" s="373"/>
      <c r="BU22" s="373"/>
      <c r="BV22" s="373"/>
      <c r="BW22" s="373"/>
      <c r="BX22" s="373"/>
      <c r="BY22" s="373"/>
      <c r="BZ22" s="373"/>
      <c r="CA22" s="373"/>
      <c r="CB22" s="373"/>
    </row>
    <row r="23" customHeight="1" spans="1:80">
      <c r="A23" s="140"/>
      <c r="B23" s="235" t="s">
        <v>104</v>
      </c>
      <c r="C23" s="230" t="s">
        <v>105</v>
      </c>
      <c r="D23" s="230"/>
      <c r="E23" s="230"/>
      <c r="F23" s="147"/>
      <c r="G23" s="147"/>
      <c r="H23" s="243" t="s">
        <v>106</v>
      </c>
      <c r="I23" s="269">
        <f>$G$8+F23+IF(B23="O",$AC$3,(IF(B23="❂",$AC$3*2,IF(B23="〄",INT($AC$3/2),0))))</f>
        <v>0</v>
      </c>
      <c r="J23" s="269"/>
      <c r="K23" s="140"/>
      <c r="L23" s="235" t="s">
        <v>107</v>
      </c>
      <c r="M23" s="235"/>
      <c r="N23" s="270" t="s">
        <v>106</v>
      </c>
      <c r="O23" s="271" t="s">
        <v>108</v>
      </c>
      <c r="P23" s="271"/>
      <c r="Q23" s="271"/>
      <c r="R23" s="271"/>
      <c r="S23" s="271"/>
      <c r="T23" s="235" t="s">
        <v>104</v>
      </c>
      <c r="U23" s="305"/>
      <c r="V23" s="305"/>
      <c r="W23" s="305"/>
      <c r="X23" s="305"/>
      <c r="Y23" s="305"/>
      <c r="Z23" s="305"/>
      <c r="AA23" s="147">
        <f>IFERROR(VLOOKUP(O23,图表!U45:X59,4,0),"")</f>
        <v>13</v>
      </c>
      <c r="AB23" s="147"/>
      <c r="AC23" s="270" t="s">
        <v>106</v>
      </c>
      <c r="AD23" s="337">
        <f>IFERROR(VLOOKUP(O23,图表!U45:V59,2,0),IF(L23="无甲",10+G10,10))</f>
        <v>12</v>
      </c>
      <c r="AE23" s="337"/>
      <c r="AF23" s="270" t="s">
        <v>76</v>
      </c>
      <c r="AG23" s="348" t="str">
        <f>IF(AND(COUNTIF(BN15:BR21,"中甲大师"),L23="中甲"),3,IF(L23="中甲",2,""))</f>
        <v/>
      </c>
      <c r="AH23" s="348"/>
      <c r="AI23" s="140"/>
      <c r="AJ23" s="349" t="str">
        <f>IFERROR(VLOOKUP(O23,图表!U45:W59,3,0),"")</f>
        <v>否</v>
      </c>
      <c r="AK23" s="349"/>
      <c r="AL23" s="140"/>
      <c r="AM23" s="147"/>
      <c r="AN23" s="147"/>
      <c r="AO23" s="147"/>
      <c r="AP23" s="348">
        <v>2</v>
      </c>
      <c r="AQ23" s="348"/>
      <c r="AR23" s="147">
        <v>6</v>
      </c>
      <c r="AS23" s="147"/>
      <c r="AT23" s="140"/>
      <c r="AU23" s="140"/>
      <c r="AV23" s="150"/>
      <c r="AW23" s="312"/>
      <c r="AX23" s="312"/>
      <c r="AY23" s="312"/>
      <c r="AZ23" s="312"/>
      <c r="BA23" s="312"/>
      <c r="BB23" s="312"/>
      <c r="BC23" s="312"/>
      <c r="BD23" s="312"/>
      <c r="BE23" s="312"/>
      <c r="BF23" s="312"/>
      <c r="BG23" s="312"/>
      <c r="BH23" s="312"/>
      <c r="BI23" s="312"/>
      <c r="BJ23" s="312"/>
      <c r="BK23" s="312"/>
      <c r="BL23" s="140"/>
      <c r="BM23" s="223" t="s">
        <v>109</v>
      </c>
      <c r="BN23" s="223"/>
      <c r="BO23" s="223"/>
      <c r="BP23" s="223"/>
      <c r="BQ23" s="223"/>
      <c r="BR23" s="223"/>
      <c r="BS23" s="223"/>
      <c r="BT23" s="223"/>
      <c r="BU23" s="223"/>
      <c r="BV23" s="223"/>
      <c r="BW23" s="223"/>
      <c r="BX23" s="223"/>
      <c r="BY23" s="223"/>
      <c r="BZ23" s="223"/>
      <c r="CA23" s="223"/>
      <c r="CB23" s="223"/>
    </row>
    <row r="24" customHeight="1" spans="1:80">
      <c r="A24" s="140"/>
      <c r="B24" s="244" t="s">
        <v>110</v>
      </c>
      <c r="C24" s="244"/>
      <c r="D24" s="244"/>
      <c r="E24" s="244"/>
      <c r="F24" s="244"/>
      <c r="G24" s="244"/>
      <c r="H24" s="245"/>
      <c r="I24" s="272"/>
      <c r="J24" s="272"/>
      <c r="K24" s="273"/>
      <c r="L24" s="268" t="s">
        <v>111</v>
      </c>
      <c r="M24" s="268"/>
      <c r="N24" s="245"/>
      <c r="O24" s="268" t="s">
        <v>43</v>
      </c>
      <c r="P24" s="268"/>
      <c r="Q24" s="268"/>
      <c r="R24" s="268"/>
      <c r="S24" s="268" t="s">
        <v>98</v>
      </c>
      <c r="T24" s="268"/>
      <c r="U24" s="268"/>
      <c r="V24" s="268" t="s">
        <v>99</v>
      </c>
      <c r="W24" s="268"/>
      <c r="X24" s="268"/>
      <c r="Y24" s="268"/>
      <c r="Z24" s="268"/>
      <c r="AA24" s="338" t="s">
        <v>112</v>
      </c>
      <c r="AB24" s="338"/>
      <c r="AC24" s="245"/>
      <c r="AD24" s="268" t="s">
        <v>113</v>
      </c>
      <c r="AE24" s="268"/>
      <c r="AF24" s="268"/>
      <c r="AG24" s="268"/>
      <c r="AI24" s="268" t="s">
        <v>114</v>
      </c>
      <c r="AJ24" s="268"/>
      <c r="AK24" s="268"/>
      <c r="AL24" s="268"/>
      <c r="AM24" s="268" t="s">
        <v>115</v>
      </c>
      <c r="AN24" s="268"/>
      <c r="AO24" s="268"/>
      <c r="AP24" s="355" t="s">
        <v>100</v>
      </c>
      <c r="AQ24" s="355"/>
      <c r="AR24" s="268" t="s">
        <v>116</v>
      </c>
      <c r="AS24" s="268"/>
      <c r="AT24" s="268"/>
      <c r="AV24" s="147"/>
      <c r="AW24" s="372"/>
      <c r="AX24" s="372"/>
      <c r="AY24" s="372"/>
      <c r="AZ24" s="372"/>
      <c r="BA24" s="372"/>
      <c r="BB24" s="372"/>
      <c r="BC24" s="372"/>
      <c r="BD24" s="372"/>
      <c r="BE24" s="372"/>
      <c r="BF24" s="372"/>
      <c r="BG24" s="372"/>
      <c r="BH24" s="372"/>
      <c r="BI24" s="372"/>
      <c r="BJ24" s="372"/>
      <c r="BK24" s="372"/>
      <c r="BL24" s="140"/>
      <c r="BM24" s="229" t="s">
        <v>42</v>
      </c>
      <c r="BN24" s="386" t="s">
        <v>43</v>
      </c>
      <c r="BO24" s="386"/>
      <c r="BP24" s="386"/>
      <c r="BQ24" s="386"/>
      <c r="BR24" s="386"/>
      <c r="BS24" s="386" t="s">
        <v>44</v>
      </c>
      <c r="BT24" s="386"/>
      <c r="BU24" s="386"/>
      <c r="BV24" s="386"/>
      <c r="BW24" s="386"/>
      <c r="BX24" s="386"/>
      <c r="BY24" s="386"/>
      <c r="BZ24" s="386"/>
      <c r="CA24" s="386"/>
      <c r="CB24" s="386"/>
    </row>
    <row r="25" customHeight="1" spans="1:80">
      <c r="A25" s="217"/>
      <c r="B25" s="235" t="s">
        <v>104</v>
      </c>
      <c r="C25" s="230" t="s">
        <v>117</v>
      </c>
      <c r="D25" s="230"/>
      <c r="E25" s="230"/>
      <c r="F25" s="147"/>
      <c r="G25" s="147"/>
      <c r="H25" s="243" t="s">
        <v>106</v>
      </c>
      <c r="I25" s="269">
        <f>$G$10+F25+IF(B25="O",$AC$3,(IF(B25="❂",$AC$3*2,IF(B25="〄",INT($AC$3/2),0))))</f>
        <v>3</v>
      </c>
      <c r="J25" s="269"/>
      <c r="K25" s="274"/>
      <c r="L25" s="235" t="s">
        <v>118</v>
      </c>
      <c r="M25" s="235"/>
      <c r="N25" s="270" t="s">
        <v>106</v>
      </c>
      <c r="O25" s="150" t="s">
        <v>119</v>
      </c>
      <c r="P25" s="150"/>
      <c r="Q25" s="150"/>
      <c r="R25" s="150"/>
      <c r="S25" s="150"/>
      <c r="T25" s="235" t="s">
        <v>104</v>
      </c>
      <c r="U25" s="306" t="e">
        <f>图表!Y66</f>
        <v>#N/A</v>
      </c>
      <c r="V25" s="306"/>
      <c r="W25" s="306"/>
      <c r="X25" s="306"/>
      <c r="Y25" s="306"/>
      <c r="Z25" s="306"/>
      <c r="AA25" s="150"/>
      <c r="AB25" s="150"/>
      <c r="AC25" s="270" t="s">
        <v>106</v>
      </c>
      <c r="AD25" s="339" t="s">
        <v>120</v>
      </c>
      <c r="AE25" s="339"/>
      <c r="AF25" s="150" t="str">
        <f>IFERROR(VLOOKUP(AA25,C8:H19,5,0)+IF('BUY点计算器&amp;武器调整栏'!A16="是",AC3,)+'BUY点计算器&amp;武器调整栏'!B16,"-")</f>
        <v>-</v>
      </c>
      <c r="AG25" s="150"/>
      <c r="AH25" s="270" t="s">
        <v>106</v>
      </c>
      <c r="AI25" s="350" t="str">
        <f>IFERROR(图表!V66,"-")</f>
        <v>-</v>
      </c>
      <c r="AJ25" s="350"/>
      <c r="AK25" s="350"/>
      <c r="AL25" s="350"/>
      <c r="AM25" s="150" t="e">
        <f>图表!W66</f>
        <v>#N/A</v>
      </c>
      <c r="AN25" s="150"/>
      <c r="AO25" s="150"/>
      <c r="AP25" s="150" t="e">
        <f>图表!Z66</f>
        <v>#N/A</v>
      </c>
      <c r="AQ25" s="150"/>
      <c r="AR25" s="356" t="s">
        <v>121</v>
      </c>
      <c r="AS25" s="271">
        <v>0</v>
      </c>
      <c r="AT25" s="271"/>
      <c r="AV25" s="150"/>
      <c r="AW25" s="312"/>
      <c r="AX25" s="312"/>
      <c r="AY25" s="312"/>
      <c r="AZ25" s="312"/>
      <c r="BA25" s="312"/>
      <c r="BB25" s="312"/>
      <c r="BC25" s="312"/>
      <c r="BD25" s="312"/>
      <c r="BE25" s="312"/>
      <c r="BF25" s="312"/>
      <c r="BG25" s="312"/>
      <c r="BH25" s="312"/>
      <c r="BI25" s="312"/>
      <c r="BJ25" s="312"/>
      <c r="BK25" s="312"/>
      <c r="BL25" s="380"/>
      <c r="BM25" s="150"/>
      <c r="BN25" s="312" t="s">
        <v>122</v>
      </c>
      <c r="BO25" s="312"/>
      <c r="BP25" s="312"/>
      <c r="BQ25" s="312"/>
      <c r="BR25" s="312"/>
      <c r="BS25" s="312"/>
      <c r="BT25" s="312"/>
      <c r="BU25" s="312"/>
      <c r="BV25" s="312"/>
      <c r="BW25" s="312"/>
      <c r="BX25" s="312"/>
      <c r="BY25" s="312"/>
      <c r="BZ25" s="312"/>
      <c r="CA25" s="312"/>
      <c r="CB25" s="312"/>
    </row>
    <row r="26" customHeight="1" spans="1:80">
      <c r="A26" s="140"/>
      <c r="B26" s="235" t="s">
        <v>104</v>
      </c>
      <c r="C26" s="230" t="s">
        <v>123</v>
      </c>
      <c r="D26" s="230"/>
      <c r="E26" s="230"/>
      <c r="F26" s="147"/>
      <c r="G26" s="147"/>
      <c r="H26" s="243" t="s">
        <v>106</v>
      </c>
      <c r="I26" s="269">
        <f>$G$10+F26+IF(B26="O",$AC$3,(IF(B26="❂",$AC$3*2,IF(B26="〄",INT($AC$3/2),0))))</f>
        <v>3</v>
      </c>
      <c r="J26" s="269"/>
      <c r="K26" s="140"/>
      <c r="L26" s="235" t="s">
        <v>124</v>
      </c>
      <c r="M26" s="235"/>
      <c r="N26" s="270" t="s">
        <v>106</v>
      </c>
      <c r="O26" s="147" t="s">
        <v>125</v>
      </c>
      <c r="P26" s="147"/>
      <c r="Q26" s="147"/>
      <c r="R26" s="147"/>
      <c r="S26" s="147"/>
      <c r="T26" s="235" t="s">
        <v>104</v>
      </c>
      <c r="U26" s="307" t="e">
        <f>图表!Y67</f>
        <v>#N/A</v>
      </c>
      <c r="V26" s="307"/>
      <c r="W26" s="307"/>
      <c r="X26" s="307"/>
      <c r="Y26" s="307"/>
      <c r="Z26" s="307"/>
      <c r="AA26" s="147"/>
      <c r="AB26" s="147"/>
      <c r="AC26" s="270" t="s">
        <v>106</v>
      </c>
      <c r="AD26" s="339" t="s">
        <v>120</v>
      </c>
      <c r="AE26" s="339"/>
      <c r="AF26" s="271" t="str">
        <f>IFERROR(VLOOKUP(AA26,C8:H19,5,0)+IF('BUY点计算器&amp;武器调整栏'!A19="是",AC3,)+'BUY点计算器&amp;武器调整栏'!B19,"-")</f>
        <v>-</v>
      </c>
      <c r="AG26" s="271"/>
      <c r="AH26" s="270" t="s">
        <v>106</v>
      </c>
      <c r="AI26" s="351" t="str">
        <f>IFERROR(图表!V67,"-")</f>
        <v>-</v>
      </c>
      <c r="AJ26" s="351"/>
      <c r="AK26" s="351"/>
      <c r="AL26" s="351"/>
      <c r="AM26" s="147" t="e">
        <f>图表!W67</f>
        <v>#N/A</v>
      </c>
      <c r="AN26" s="147"/>
      <c r="AO26" s="147"/>
      <c r="AP26" s="271" t="e">
        <f>图表!Z67</f>
        <v>#N/A</v>
      </c>
      <c r="AQ26" s="271"/>
      <c r="AR26" s="356" t="s">
        <v>126</v>
      </c>
      <c r="AS26" s="271">
        <v>0</v>
      </c>
      <c r="AT26" s="271"/>
      <c r="AV26" s="147"/>
      <c r="AW26" s="372"/>
      <c r="AX26" s="372"/>
      <c r="AY26" s="372"/>
      <c r="AZ26" s="372"/>
      <c r="BA26" s="372"/>
      <c r="BB26" s="372"/>
      <c r="BC26" s="372"/>
      <c r="BD26" s="372"/>
      <c r="BE26" s="372"/>
      <c r="BF26" s="372"/>
      <c r="BG26" s="372"/>
      <c r="BH26" s="372"/>
      <c r="BI26" s="372"/>
      <c r="BJ26" s="372"/>
      <c r="BK26" s="372"/>
      <c r="BL26" s="140"/>
      <c r="BM26" s="147"/>
      <c r="BN26" s="372" t="s">
        <v>127</v>
      </c>
      <c r="BO26" s="372"/>
      <c r="BP26" s="372"/>
      <c r="BQ26" s="372"/>
      <c r="BR26" s="372"/>
      <c r="BS26" s="372"/>
      <c r="BT26" s="372"/>
      <c r="BU26" s="372"/>
      <c r="BV26" s="372"/>
      <c r="BW26" s="372"/>
      <c r="BX26" s="372"/>
      <c r="BY26" s="372"/>
      <c r="BZ26" s="372"/>
      <c r="CA26" s="372"/>
      <c r="CB26" s="372"/>
    </row>
    <row r="27" customHeight="1" spans="1:80">
      <c r="A27" s="140"/>
      <c r="B27" s="235" t="s">
        <v>104</v>
      </c>
      <c r="C27" s="230" t="s">
        <v>128</v>
      </c>
      <c r="D27" s="230"/>
      <c r="E27" s="230"/>
      <c r="F27" s="147"/>
      <c r="G27" s="147"/>
      <c r="H27" s="243" t="s">
        <v>106</v>
      </c>
      <c r="I27" s="269">
        <f>$G$10+F27+IF(B27="O",$AC$3,(IF(B27="❂",$AC$3*2,IF(B27="〄",INT($AC$3/2),0))))</f>
        <v>3</v>
      </c>
      <c r="J27" s="269"/>
      <c r="K27" s="275"/>
      <c r="L27" s="235" t="s">
        <v>129</v>
      </c>
      <c r="M27" s="235"/>
      <c r="N27" s="270" t="s">
        <v>106</v>
      </c>
      <c r="O27" s="150"/>
      <c r="P27" s="150"/>
      <c r="Q27" s="150"/>
      <c r="R27" s="150"/>
      <c r="S27" s="150"/>
      <c r="T27" s="235" t="s">
        <v>104</v>
      </c>
      <c r="U27" s="308" t="str">
        <f>图表!Y68</f>
        <v>-</v>
      </c>
      <c r="V27" s="308"/>
      <c r="W27" s="308"/>
      <c r="X27" s="308"/>
      <c r="Y27" s="308"/>
      <c r="Z27" s="308"/>
      <c r="AA27" s="150"/>
      <c r="AB27" s="150"/>
      <c r="AC27" s="270" t="s">
        <v>106</v>
      </c>
      <c r="AD27" s="339" t="s">
        <v>120</v>
      </c>
      <c r="AE27" s="339"/>
      <c r="AF27" s="150" t="str">
        <f>IFERROR(VLOOKUP(AA27,C8:H19,5,0)+IF('BUY点计算器&amp;武器调整栏'!A22="是",AC3,)+'BUY点计算器&amp;武器调整栏'!B22,"-")</f>
        <v>-</v>
      </c>
      <c r="AG27" s="150"/>
      <c r="AH27" s="270" t="s">
        <v>106</v>
      </c>
      <c r="AI27" s="350" t="str">
        <f>IFERROR(图表!V68,"-")</f>
        <v>-</v>
      </c>
      <c r="AJ27" s="350"/>
      <c r="AK27" s="350"/>
      <c r="AL27" s="350"/>
      <c r="AM27" s="150" t="str">
        <f>图表!W68</f>
        <v>-</v>
      </c>
      <c r="AN27" s="150"/>
      <c r="AO27" s="150"/>
      <c r="AP27" s="150" t="str">
        <f>图表!Z68</f>
        <v>-</v>
      </c>
      <c r="AQ27" s="150"/>
      <c r="AR27" s="356" t="s">
        <v>130</v>
      </c>
      <c r="AS27" s="271">
        <v>0</v>
      </c>
      <c r="AT27" s="271"/>
      <c r="AV27" s="150"/>
      <c r="AW27" s="312"/>
      <c r="AX27" s="312"/>
      <c r="AY27" s="312"/>
      <c r="AZ27" s="312"/>
      <c r="BA27" s="312"/>
      <c r="BB27" s="312"/>
      <c r="BC27" s="312"/>
      <c r="BD27" s="312"/>
      <c r="BE27" s="312"/>
      <c r="BF27" s="312"/>
      <c r="BG27" s="312"/>
      <c r="BH27" s="312"/>
      <c r="BI27" s="312"/>
      <c r="BJ27" s="312"/>
      <c r="BK27" s="312"/>
      <c r="BL27" s="264"/>
      <c r="BM27" s="150"/>
      <c r="BN27" s="312"/>
      <c r="BO27" s="312"/>
      <c r="BP27" s="312"/>
      <c r="BQ27" s="312"/>
      <c r="BR27" s="312"/>
      <c r="BS27" s="312"/>
      <c r="BT27" s="312"/>
      <c r="BU27" s="312"/>
      <c r="BV27" s="312"/>
      <c r="BW27" s="312"/>
      <c r="BX27" s="312"/>
      <c r="BY27" s="312"/>
      <c r="BZ27" s="312"/>
      <c r="CA27" s="312"/>
      <c r="CB27" s="312"/>
    </row>
    <row r="28" customHeight="1" spans="1:80">
      <c r="A28" s="140"/>
      <c r="B28" s="246" t="s">
        <v>131</v>
      </c>
      <c r="C28" s="246"/>
      <c r="D28" s="246"/>
      <c r="E28" s="246"/>
      <c r="F28" s="246"/>
      <c r="G28" s="246"/>
      <c r="H28" s="243"/>
      <c r="I28" s="276"/>
      <c r="J28" s="276"/>
      <c r="K28" s="140"/>
      <c r="L28" s="235" t="s">
        <v>104</v>
      </c>
      <c r="M28" s="235"/>
      <c r="N28" s="270" t="s">
        <v>106</v>
      </c>
      <c r="O28" s="271"/>
      <c r="P28" s="271"/>
      <c r="Q28" s="271"/>
      <c r="R28" s="271"/>
      <c r="S28" s="271"/>
      <c r="T28" s="235" t="s">
        <v>104</v>
      </c>
      <c r="U28" s="309" t="s">
        <v>132</v>
      </c>
      <c r="V28" s="309"/>
      <c r="W28" s="309"/>
      <c r="X28" s="309"/>
      <c r="Y28" s="309"/>
      <c r="Z28" s="309"/>
      <c r="AA28" s="147"/>
      <c r="AB28" s="147"/>
      <c r="AC28" s="270" t="s">
        <v>106</v>
      </c>
      <c r="AD28" s="339" t="s">
        <v>120</v>
      </c>
      <c r="AE28" s="339"/>
      <c r="AF28" s="271" t="s">
        <v>132</v>
      </c>
      <c r="AG28" s="271"/>
      <c r="AH28" s="270" t="s">
        <v>106</v>
      </c>
      <c r="AI28" s="271" t="s">
        <v>132</v>
      </c>
      <c r="AJ28" s="271"/>
      <c r="AK28" s="271"/>
      <c r="AL28" s="271"/>
      <c r="AM28" s="271" t="s">
        <v>132</v>
      </c>
      <c r="AN28" s="271"/>
      <c r="AO28" s="271"/>
      <c r="AP28" s="271" t="s">
        <v>132</v>
      </c>
      <c r="AQ28" s="271"/>
      <c r="AR28" s="356" t="s">
        <v>133</v>
      </c>
      <c r="AS28" s="271">
        <v>0</v>
      </c>
      <c r="AT28" s="271"/>
      <c r="AV28" s="147"/>
      <c r="AW28" s="372"/>
      <c r="AX28" s="372"/>
      <c r="AY28" s="372"/>
      <c r="AZ28" s="372"/>
      <c r="BA28" s="372"/>
      <c r="BB28" s="372"/>
      <c r="BC28" s="372"/>
      <c r="BD28" s="372"/>
      <c r="BE28" s="372"/>
      <c r="BF28" s="372"/>
      <c r="BG28" s="372"/>
      <c r="BH28" s="372"/>
      <c r="BI28" s="372"/>
      <c r="BJ28" s="372"/>
      <c r="BK28" s="372"/>
      <c r="BL28" s="140"/>
      <c r="BM28" s="147"/>
      <c r="BN28" s="372"/>
      <c r="BO28" s="372"/>
      <c r="BP28" s="372"/>
      <c r="BQ28" s="372"/>
      <c r="BR28" s="372"/>
      <c r="BS28" s="372"/>
      <c r="BT28" s="372"/>
      <c r="BU28" s="372"/>
      <c r="BV28" s="372"/>
      <c r="BW28" s="372"/>
      <c r="BX28" s="372"/>
      <c r="BY28" s="372"/>
      <c r="BZ28" s="372"/>
      <c r="CA28" s="372"/>
      <c r="CB28" s="372"/>
    </row>
    <row r="29" customHeight="1" spans="1:80">
      <c r="A29" s="140"/>
      <c r="B29" s="235" t="s">
        <v>104</v>
      </c>
      <c r="C29" s="230" t="s">
        <v>134</v>
      </c>
      <c r="D29" s="230"/>
      <c r="E29" s="230"/>
      <c r="F29" s="147"/>
      <c r="G29" s="147"/>
      <c r="H29" s="243" t="s">
        <v>106</v>
      </c>
      <c r="I29" s="269">
        <f>$G$14+F29+IF(B29="O",$AC$3,(IF(B29="❂",$AC$3*2,IF(B29="〄",INT($AC$3/2),0))))</f>
        <v>2</v>
      </c>
      <c r="J29" s="269"/>
      <c r="K29" s="140"/>
      <c r="L29" s="235" t="s">
        <v>104</v>
      </c>
      <c r="M29" s="235"/>
      <c r="N29" s="270" t="s">
        <v>106</v>
      </c>
      <c r="O29" s="150"/>
      <c r="P29" s="150"/>
      <c r="Q29" s="150"/>
      <c r="R29" s="150"/>
      <c r="S29" s="150"/>
      <c r="T29" s="235" t="s">
        <v>104</v>
      </c>
      <c r="U29" s="310" t="s">
        <v>132</v>
      </c>
      <c r="V29" s="310"/>
      <c r="W29" s="310"/>
      <c r="X29" s="310"/>
      <c r="Y29" s="310"/>
      <c r="Z29" s="310"/>
      <c r="AA29" s="150"/>
      <c r="AB29" s="150"/>
      <c r="AC29" s="270" t="s">
        <v>106</v>
      </c>
      <c r="AD29" s="339" t="s">
        <v>120</v>
      </c>
      <c r="AE29" s="339"/>
      <c r="AF29" s="150" t="s">
        <v>132</v>
      </c>
      <c r="AG29" s="150"/>
      <c r="AH29" s="270" t="s">
        <v>106</v>
      </c>
      <c r="AI29" s="350" t="s">
        <v>132</v>
      </c>
      <c r="AJ29" s="350"/>
      <c r="AK29" s="350"/>
      <c r="AL29" s="350"/>
      <c r="AM29" s="150" t="s">
        <v>132</v>
      </c>
      <c r="AN29" s="150"/>
      <c r="AO29" s="150"/>
      <c r="AP29" s="150" t="s">
        <v>132</v>
      </c>
      <c r="AQ29" s="150"/>
      <c r="AR29" s="356" t="s">
        <v>135</v>
      </c>
      <c r="AS29" s="271">
        <v>0</v>
      </c>
      <c r="AT29" s="271"/>
      <c r="AV29" s="150"/>
      <c r="AW29" s="312"/>
      <c r="AX29" s="312"/>
      <c r="AY29" s="312"/>
      <c r="AZ29" s="312"/>
      <c r="BA29" s="312"/>
      <c r="BB29" s="312"/>
      <c r="BC29" s="312"/>
      <c r="BD29" s="312"/>
      <c r="BE29" s="312"/>
      <c r="BF29" s="312"/>
      <c r="BG29" s="312"/>
      <c r="BH29" s="312"/>
      <c r="BI29" s="312"/>
      <c r="BJ29" s="312"/>
      <c r="BK29" s="312"/>
      <c r="BL29" s="140"/>
      <c r="BM29" s="150"/>
      <c r="BN29" s="312"/>
      <c r="BO29" s="312"/>
      <c r="BP29" s="312"/>
      <c r="BQ29" s="312"/>
      <c r="BR29" s="312"/>
      <c r="BS29" s="312"/>
      <c r="BT29" s="312"/>
      <c r="BU29" s="312"/>
      <c r="BV29" s="312"/>
      <c r="BW29" s="312"/>
      <c r="BX29" s="312"/>
      <c r="BY29" s="312"/>
      <c r="BZ29" s="312"/>
      <c r="CA29" s="312"/>
      <c r="CB29" s="312"/>
    </row>
    <row r="30" customHeight="1" spans="1:80">
      <c r="A30" s="140"/>
      <c r="B30" s="235" t="s">
        <v>104</v>
      </c>
      <c r="C30" s="230" t="s">
        <v>136</v>
      </c>
      <c r="D30" s="230"/>
      <c r="E30" s="230"/>
      <c r="F30" s="147">
        <v>2</v>
      </c>
      <c r="G30" s="147"/>
      <c r="H30" s="243" t="s">
        <v>106</v>
      </c>
      <c r="I30" s="269">
        <f>$G$14+F30+IF(B30="O",$AC$3,(IF(B30="❂",$AC$3*2,IF(B30="〄",INT($AC$3/2),0))))</f>
        <v>4</v>
      </c>
      <c r="J30" s="269"/>
      <c r="K30" s="140"/>
      <c r="L30" s="137" t="s">
        <v>137</v>
      </c>
      <c r="M30" s="137"/>
      <c r="N30" s="277"/>
      <c r="O30" s="268" t="s">
        <v>43</v>
      </c>
      <c r="P30" s="268"/>
      <c r="Q30" s="268"/>
      <c r="R30" s="268"/>
      <c r="S30" s="268" t="s">
        <v>98</v>
      </c>
      <c r="T30" s="268"/>
      <c r="U30" s="268"/>
      <c r="V30" s="268" t="s">
        <v>99</v>
      </c>
      <c r="W30" s="268"/>
      <c r="X30" s="268"/>
      <c r="Y30" s="268"/>
      <c r="Z30" s="268"/>
      <c r="AA30" s="266" t="s">
        <v>100</v>
      </c>
      <c r="AB30" s="266"/>
      <c r="AC30" s="340"/>
      <c r="AD30" s="248"/>
      <c r="AE30" s="248"/>
      <c r="AF30" s="248"/>
      <c r="AG30" s="248"/>
      <c r="AH30" s="248"/>
      <c r="AI30" s="248"/>
      <c r="AJ30" s="248"/>
      <c r="AK30" s="248"/>
      <c r="AL30" s="248"/>
      <c r="AM30" s="248"/>
      <c r="AN30" s="248"/>
      <c r="AO30" s="248"/>
      <c r="AP30" s="248"/>
      <c r="AQ30" s="248"/>
      <c r="AR30" s="248"/>
      <c r="AS30" s="248"/>
      <c r="AT30" s="140"/>
      <c r="AU30" s="140"/>
      <c r="AV30" s="247"/>
      <c r="AW30" s="373"/>
      <c r="AX30" s="373"/>
      <c r="AY30" s="373"/>
      <c r="AZ30" s="373"/>
      <c r="BA30" s="373"/>
      <c r="BB30" s="373"/>
      <c r="BC30" s="373"/>
      <c r="BD30" s="373"/>
      <c r="BE30" s="373"/>
      <c r="BF30" s="373"/>
      <c r="BG30" s="373"/>
      <c r="BH30" s="373"/>
      <c r="BI30" s="373"/>
      <c r="BJ30" s="373"/>
      <c r="BK30" s="373"/>
      <c r="BL30" s="140"/>
      <c r="BM30" s="147"/>
      <c r="BN30" s="372"/>
      <c r="BO30" s="372"/>
      <c r="BP30" s="372"/>
      <c r="BQ30" s="372"/>
      <c r="BR30" s="372"/>
      <c r="BS30" s="372"/>
      <c r="BT30" s="372"/>
      <c r="BU30" s="372"/>
      <c r="BV30" s="372"/>
      <c r="BW30" s="372"/>
      <c r="BX30" s="372"/>
      <c r="BY30" s="372"/>
      <c r="BZ30" s="372"/>
      <c r="CA30" s="372"/>
      <c r="CB30" s="372"/>
    </row>
    <row r="31" customHeight="1" spans="1:80">
      <c r="A31" s="140"/>
      <c r="B31" s="235" t="s">
        <v>104</v>
      </c>
      <c r="C31" s="230" t="s">
        <v>138</v>
      </c>
      <c r="D31" s="230"/>
      <c r="E31" s="230"/>
      <c r="F31" s="147">
        <v>2</v>
      </c>
      <c r="G31" s="147"/>
      <c r="H31" s="243" t="s">
        <v>106</v>
      </c>
      <c r="I31" s="269">
        <f>$G$14+F31+IF(B31="O",$AC$3,(IF(B31="❂",$AC$3*2,IF(B31="〄",INT($AC$3/2),0))))</f>
        <v>4</v>
      </c>
      <c r="J31" s="269"/>
      <c r="K31" s="140"/>
      <c r="L31" s="235" t="s">
        <v>139</v>
      </c>
      <c r="M31" s="235"/>
      <c r="N31" s="270" t="s">
        <v>106</v>
      </c>
      <c r="O31" s="271"/>
      <c r="P31" s="271"/>
      <c r="Q31" s="271"/>
      <c r="R31" s="271"/>
      <c r="S31" s="271"/>
      <c r="T31" s="235" t="s">
        <v>104</v>
      </c>
      <c r="U31" s="305"/>
      <c r="V31" s="305"/>
      <c r="W31" s="305"/>
      <c r="X31" s="305"/>
      <c r="Y31" s="305"/>
      <c r="Z31" s="305"/>
      <c r="AA31" s="147"/>
      <c r="AB31" s="147"/>
      <c r="AC31" s="340"/>
      <c r="AD31" s="223" t="s">
        <v>140</v>
      </c>
      <c r="AE31" s="223"/>
      <c r="AF31" s="223"/>
      <c r="AG31" s="223"/>
      <c r="AH31" s="223"/>
      <c r="AI31" s="223"/>
      <c r="AJ31" s="223"/>
      <c r="AK31" s="223"/>
      <c r="AL31" s="223"/>
      <c r="AM31" s="223"/>
      <c r="AN31" s="223"/>
      <c r="AO31" s="223"/>
      <c r="AP31" s="223"/>
      <c r="AQ31" s="223"/>
      <c r="AR31" s="223"/>
      <c r="AS31" s="223"/>
      <c r="AT31" s="140"/>
      <c r="AU31" s="140"/>
      <c r="AV31" s="223" t="s">
        <v>141</v>
      </c>
      <c r="AW31" s="223"/>
      <c r="AX31" s="223"/>
      <c r="AY31" s="223"/>
      <c r="AZ31" s="223"/>
      <c r="BA31" s="223"/>
      <c r="BB31" s="223"/>
      <c r="BC31" s="223"/>
      <c r="BD31" s="223"/>
      <c r="BE31" s="223"/>
      <c r="BF31" s="223"/>
      <c r="BG31" s="223"/>
      <c r="BH31" s="223"/>
      <c r="BI31" s="223"/>
      <c r="BJ31" s="223"/>
      <c r="BK31" s="223"/>
      <c r="BL31" s="140"/>
      <c r="BM31" s="150"/>
      <c r="BN31" s="312"/>
      <c r="BO31" s="312"/>
      <c r="BP31" s="312"/>
      <c r="BQ31" s="312"/>
      <c r="BR31" s="312"/>
      <c r="BS31" s="312"/>
      <c r="BT31" s="312"/>
      <c r="BU31" s="312"/>
      <c r="BV31" s="312"/>
      <c r="BW31" s="312"/>
      <c r="BX31" s="312"/>
      <c r="BY31" s="312"/>
      <c r="BZ31" s="312"/>
      <c r="CA31" s="312"/>
      <c r="CB31" s="312"/>
    </row>
    <row r="32" customHeight="1" spans="1:80">
      <c r="A32" s="140"/>
      <c r="B32" s="235" t="s">
        <v>104</v>
      </c>
      <c r="C32" s="230" t="s">
        <v>142</v>
      </c>
      <c r="D32" s="230"/>
      <c r="E32" s="230"/>
      <c r="F32" s="147"/>
      <c r="G32" s="147"/>
      <c r="H32" s="243" t="s">
        <v>106</v>
      </c>
      <c r="I32" s="269">
        <f>$G$14+F32+IF(B32="O",$AC$3,(IF(B32="❂",$AC$3*2,IF(B32="〄",INT($AC$3/2),0))))</f>
        <v>2</v>
      </c>
      <c r="J32" s="269"/>
      <c r="K32" s="140"/>
      <c r="L32" s="235" t="s">
        <v>143</v>
      </c>
      <c r="M32" s="235"/>
      <c r="N32" s="270" t="s">
        <v>106</v>
      </c>
      <c r="O32" s="150"/>
      <c r="P32" s="150"/>
      <c r="Q32" s="150"/>
      <c r="R32" s="150"/>
      <c r="S32" s="150"/>
      <c r="T32" s="235" t="s">
        <v>104</v>
      </c>
      <c r="U32" s="311"/>
      <c r="V32" s="311"/>
      <c r="W32" s="311"/>
      <c r="X32" s="311"/>
      <c r="Y32" s="311"/>
      <c r="Z32" s="311"/>
      <c r="AA32" s="150"/>
      <c r="AB32" s="150"/>
      <c r="AC32" s="340"/>
      <c r="AD32" s="139" t="s">
        <v>144</v>
      </c>
      <c r="AE32" s="139"/>
      <c r="AF32" s="139"/>
      <c r="AG32" s="139"/>
      <c r="AH32" s="139"/>
      <c r="AI32" s="152" t="s">
        <v>145</v>
      </c>
      <c r="AJ32" s="152"/>
      <c r="AK32" s="152"/>
      <c r="AL32" s="152"/>
      <c r="AM32" s="152"/>
      <c r="AN32" s="152" t="s">
        <v>146</v>
      </c>
      <c r="AO32" s="152"/>
      <c r="AP32" s="152"/>
      <c r="AQ32" s="266" t="s">
        <v>115</v>
      </c>
      <c r="AR32" s="266"/>
      <c r="AS32" s="266"/>
      <c r="AT32" s="140"/>
      <c r="AU32" s="140"/>
      <c r="AV32" s="357" t="s">
        <v>111</v>
      </c>
      <c r="AW32" s="357"/>
      <c r="AX32" s="357"/>
      <c r="AY32" s="357"/>
      <c r="AZ32" s="374"/>
      <c r="BA32" s="374"/>
      <c r="BB32" s="374"/>
      <c r="BC32" s="374"/>
      <c r="BD32" s="374"/>
      <c r="BE32" s="374"/>
      <c r="BF32" s="374"/>
      <c r="BG32" s="374"/>
      <c r="BH32" s="374"/>
      <c r="BI32" s="374"/>
      <c r="BJ32" s="374"/>
      <c r="BK32" s="374"/>
      <c r="BL32" s="140"/>
      <c r="BM32" s="147"/>
      <c r="BN32" s="372"/>
      <c r="BO32" s="372"/>
      <c r="BP32" s="372"/>
      <c r="BQ32" s="372"/>
      <c r="BR32" s="372"/>
      <c r="BS32" s="372"/>
      <c r="BT32" s="372"/>
      <c r="BU32" s="372"/>
      <c r="BV32" s="372"/>
      <c r="BW32" s="372"/>
      <c r="BX32" s="372"/>
      <c r="BY32" s="372"/>
      <c r="BZ32" s="372"/>
      <c r="CA32" s="372"/>
      <c r="CB32" s="372"/>
    </row>
    <row r="33" customHeight="1" spans="1:64">
      <c r="A33" s="140"/>
      <c r="B33" s="235" t="s">
        <v>104</v>
      </c>
      <c r="C33" s="230" t="s">
        <v>147</v>
      </c>
      <c r="D33" s="230"/>
      <c r="E33" s="230"/>
      <c r="F33" s="147">
        <v>2</v>
      </c>
      <c r="G33" s="147"/>
      <c r="H33" s="243" t="s">
        <v>106</v>
      </c>
      <c r="I33" s="269">
        <f>$G$14+F33+IF(B33="O",$AC$3,(IF(B33="❂",$AC$3*2,IF(B33="〄",INT($AC$3/2),0))))</f>
        <v>4</v>
      </c>
      <c r="J33" s="269"/>
      <c r="K33" s="140"/>
      <c r="L33" s="235" t="s">
        <v>148</v>
      </c>
      <c r="M33" s="235"/>
      <c r="N33" s="270" t="s">
        <v>106</v>
      </c>
      <c r="O33" s="271"/>
      <c r="P33" s="271"/>
      <c r="Q33" s="271"/>
      <c r="R33" s="271"/>
      <c r="S33" s="271"/>
      <c r="T33" s="235" t="s">
        <v>104</v>
      </c>
      <c r="U33" s="305"/>
      <c r="V33" s="305"/>
      <c r="W33" s="305"/>
      <c r="X33" s="305"/>
      <c r="Y33" s="305"/>
      <c r="Z33" s="305"/>
      <c r="AA33" s="147"/>
      <c r="AB33" s="147"/>
      <c r="AC33" s="220"/>
      <c r="AD33" s="271"/>
      <c r="AE33" s="271"/>
      <c r="AF33" s="271"/>
      <c r="AG33" s="271"/>
      <c r="AH33" s="271"/>
      <c r="AI33" s="270" t="s">
        <v>106</v>
      </c>
      <c r="AJ33" s="231">
        <f>施法!V2</f>
        <v>6</v>
      </c>
      <c r="AK33" s="231"/>
      <c r="AL33" s="270" t="s">
        <v>106</v>
      </c>
      <c r="AM33" s="271"/>
      <c r="AN33" s="271"/>
      <c r="AO33" s="271"/>
      <c r="AP33" s="271"/>
      <c r="AQ33" s="271"/>
      <c r="AR33" s="271"/>
      <c r="AS33" s="271"/>
      <c r="AT33" s="140"/>
      <c r="AU33" s="140"/>
      <c r="AV33" s="358" t="s">
        <v>97</v>
      </c>
      <c r="AW33" s="358"/>
      <c r="AX33" s="358"/>
      <c r="AY33" s="358"/>
      <c r="AZ33" s="312"/>
      <c r="BA33" s="312"/>
      <c r="BB33" s="312"/>
      <c r="BC33" s="312"/>
      <c r="BD33" s="312"/>
      <c r="BE33" s="312"/>
      <c r="BF33" s="312"/>
      <c r="BG33" s="312"/>
      <c r="BH33" s="312"/>
      <c r="BI33" s="312"/>
      <c r="BJ33" s="312"/>
      <c r="BK33" s="312"/>
      <c r="BL33" s="140"/>
    </row>
    <row r="34" customHeight="1" spans="1:80">
      <c r="A34" s="140"/>
      <c r="B34" s="244" t="s">
        <v>149</v>
      </c>
      <c r="C34" s="244"/>
      <c r="D34" s="244"/>
      <c r="E34" s="244"/>
      <c r="F34" s="244"/>
      <c r="G34" s="244"/>
      <c r="H34" s="243"/>
      <c r="I34" s="276"/>
      <c r="J34" s="276"/>
      <c r="K34" s="140"/>
      <c r="L34" s="235" t="s">
        <v>150</v>
      </c>
      <c r="M34" s="235"/>
      <c r="N34" s="270" t="s">
        <v>106</v>
      </c>
      <c r="O34" s="150" t="s">
        <v>151</v>
      </c>
      <c r="P34" s="150"/>
      <c r="Q34" s="150"/>
      <c r="R34" s="150"/>
      <c r="S34" s="150"/>
      <c r="T34" s="235" t="s">
        <v>104</v>
      </c>
      <c r="U34" s="311"/>
      <c r="V34" s="311"/>
      <c r="W34" s="311"/>
      <c r="X34" s="311"/>
      <c r="Y34" s="311"/>
      <c r="Z34" s="311"/>
      <c r="AA34" s="150"/>
      <c r="AB34" s="150"/>
      <c r="AC34" s="140"/>
      <c r="AD34" s="150"/>
      <c r="AE34" s="150"/>
      <c r="AF34" s="150"/>
      <c r="AG34" s="150"/>
      <c r="AH34" s="150"/>
      <c r="AI34" s="270" t="s">
        <v>106</v>
      </c>
      <c r="AJ34" s="143">
        <f>施法!V2</f>
        <v>6</v>
      </c>
      <c r="AK34" s="143"/>
      <c r="AL34" s="270" t="s">
        <v>106</v>
      </c>
      <c r="AM34" s="150"/>
      <c r="AN34" s="150"/>
      <c r="AO34" s="150"/>
      <c r="AP34" s="150"/>
      <c r="AQ34" s="150"/>
      <c r="AR34" s="150"/>
      <c r="AS34" s="150"/>
      <c r="AT34" s="140"/>
      <c r="AU34" s="140"/>
      <c r="AV34" s="223" t="s">
        <v>152</v>
      </c>
      <c r="AW34" s="223"/>
      <c r="AX34" s="223"/>
      <c r="AY34" s="223"/>
      <c r="AZ34" s="223"/>
      <c r="BA34" s="223"/>
      <c r="BB34" s="223"/>
      <c r="BC34" s="223"/>
      <c r="BD34" s="223"/>
      <c r="BE34" s="223"/>
      <c r="BF34" s="223"/>
      <c r="BG34" s="223"/>
      <c r="BH34" s="223"/>
      <c r="BI34" s="223"/>
      <c r="BJ34" s="223"/>
      <c r="BK34" s="223"/>
      <c r="BL34" s="140"/>
      <c r="BM34" s="223" t="s">
        <v>153</v>
      </c>
      <c r="BN34" s="223"/>
      <c r="BO34" s="223"/>
      <c r="BP34" s="223"/>
      <c r="BQ34" s="223"/>
      <c r="BR34" s="223"/>
      <c r="BS34" s="223"/>
      <c r="BT34" s="223"/>
      <c r="BU34" s="223"/>
      <c r="BV34" s="223"/>
      <c r="BW34" s="223"/>
      <c r="BX34" s="223"/>
      <c r="BY34" s="223"/>
      <c r="BZ34" s="223"/>
      <c r="CA34" s="223"/>
      <c r="CB34" s="223"/>
    </row>
    <row r="35" customHeight="1" spans="1:80">
      <c r="A35" s="140"/>
      <c r="B35" s="235" t="s">
        <v>104</v>
      </c>
      <c r="C35" s="230" t="s">
        <v>154</v>
      </c>
      <c r="D35" s="230"/>
      <c r="E35" s="230"/>
      <c r="F35" s="147">
        <v>2</v>
      </c>
      <c r="G35" s="147"/>
      <c r="H35" s="243" t="s">
        <v>106</v>
      </c>
      <c r="I35" s="269">
        <f>$G$16+F35+IF(B35="O",$AC$3,(IF(B35="❂",$AC$3*2,IF(B35="〄",INT($AC$3/2),0))))</f>
        <v>3</v>
      </c>
      <c r="J35" s="269"/>
      <c r="K35" s="140"/>
      <c r="L35" s="235" t="s">
        <v>155</v>
      </c>
      <c r="M35" s="235"/>
      <c r="N35" s="270" t="s">
        <v>106</v>
      </c>
      <c r="O35" s="271"/>
      <c r="P35" s="271"/>
      <c r="Q35" s="271"/>
      <c r="R35" s="271"/>
      <c r="S35" s="271"/>
      <c r="T35" s="235" t="s">
        <v>104</v>
      </c>
      <c r="U35" s="305"/>
      <c r="V35" s="305"/>
      <c r="W35" s="305"/>
      <c r="X35" s="305"/>
      <c r="Y35" s="305"/>
      <c r="Z35" s="305"/>
      <c r="AA35" s="147"/>
      <c r="AB35" s="147"/>
      <c r="AC35" s="341"/>
      <c r="AD35" s="248"/>
      <c r="AE35" s="248"/>
      <c r="AF35" s="248"/>
      <c r="AG35" s="248"/>
      <c r="AH35" s="248"/>
      <c r="AI35" s="247"/>
      <c r="AJ35" s="247"/>
      <c r="AK35" s="247"/>
      <c r="AL35" s="168"/>
      <c r="AM35" s="139" t="s">
        <v>156</v>
      </c>
      <c r="AN35" s="139"/>
      <c r="AO35" s="139" t="s">
        <v>157</v>
      </c>
      <c r="AP35" s="139"/>
      <c r="AQ35" s="139"/>
      <c r="AR35" s="139"/>
      <c r="AS35" s="139"/>
      <c r="AT35" s="141"/>
      <c r="AU35" s="140"/>
      <c r="AV35" s="357" t="s">
        <v>158</v>
      </c>
      <c r="AW35" s="357"/>
      <c r="AX35" s="357"/>
      <c r="AY35" s="357"/>
      <c r="AZ35" s="374" t="s">
        <v>159</v>
      </c>
      <c r="BA35" s="374"/>
      <c r="BB35" s="374"/>
      <c r="BC35" s="374"/>
      <c r="BD35" s="374"/>
      <c r="BE35" s="374"/>
      <c r="BF35" s="374"/>
      <c r="BG35" s="374"/>
      <c r="BH35" s="374"/>
      <c r="BI35" s="374"/>
      <c r="BJ35" s="374"/>
      <c r="BK35" s="374"/>
      <c r="BL35" s="140"/>
      <c r="BM35" s="372"/>
      <c r="BN35" s="372"/>
      <c r="BO35" s="372"/>
      <c r="BP35" s="372"/>
      <c r="BQ35" s="372"/>
      <c r="BR35" s="372"/>
      <c r="BS35" s="372"/>
      <c r="BT35" s="372"/>
      <c r="BU35" s="372"/>
      <c r="BV35" s="372"/>
      <c r="BW35" s="372"/>
      <c r="BX35" s="372"/>
      <c r="BY35" s="372"/>
      <c r="BZ35" s="372"/>
      <c r="CA35" s="372"/>
      <c r="CB35" s="372"/>
    </row>
    <row r="36" customHeight="1" spans="1:80">
      <c r="A36" s="140"/>
      <c r="B36" s="235" t="s">
        <v>104</v>
      </c>
      <c r="C36" s="230" t="s">
        <v>160</v>
      </c>
      <c r="D36" s="230"/>
      <c r="E36" s="230"/>
      <c r="F36" s="147"/>
      <c r="G36" s="147"/>
      <c r="H36" s="243" t="s">
        <v>106</v>
      </c>
      <c r="I36" s="269">
        <f>$G$16+F36+IF(B36="O",$AC$3,(IF(B36="❂",$AC$3*2,IF(B36="〄",INT($AC$3/2),0))))</f>
        <v>1</v>
      </c>
      <c r="J36" s="269"/>
      <c r="K36" s="140"/>
      <c r="L36" s="235" t="s">
        <v>161</v>
      </c>
      <c r="M36" s="235"/>
      <c r="N36" s="270" t="s">
        <v>106</v>
      </c>
      <c r="O36" s="150"/>
      <c r="P36" s="150"/>
      <c r="Q36" s="150"/>
      <c r="R36" s="150"/>
      <c r="S36" s="150"/>
      <c r="T36" s="235" t="s">
        <v>104</v>
      </c>
      <c r="U36" s="311"/>
      <c r="V36" s="311"/>
      <c r="W36" s="311"/>
      <c r="X36" s="311"/>
      <c r="Y36" s="311"/>
      <c r="Z36" s="311"/>
      <c r="AA36" s="150"/>
      <c r="AB36" s="150"/>
      <c r="AC36" s="341"/>
      <c r="AD36" s="230" t="s">
        <v>84</v>
      </c>
      <c r="AE36" s="230"/>
      <c r="AF36" s="230"/>
      <c r="AG36" s="230"/>
      <c r="AH36" s="230"/>
      <c r="AI36" s="352" t="str">
        <f>施法!H2</f>
        <v>魅力</v>
      </c>
      <c r="AJ36" s="352"/>
      <c r="AK36" s="352"/>
      <c r="AL36" s="198"/>
      <c r="AM36" s="167">
        <v>1</v>
      </c>
      <c r="AN36" s="167"/>
      <c r="AO36" s="359">
        <f>施法!AX5</f>
        <v>0</v>
      </c>
      <c r="AP36" s="359"/>
      <c r="AQ36" s="184" t="s">
        <v>68</v>
      </c>
      <c r="AR36" s="360">
        <f>施法!BA5</f>
        <v>0</v>
      </c>
      <c r="AS36" s="360"/>
      <c r="AT36" s="141"/>
      <c r="AU36" s="140"/>
      <c r="AV36" s="358" t="s">
        <v>162</v>
      </c>
      <c r="AW36" s="358"/>
      <c r="AX36" s="358"/>
      <c r="AY36" s="358"/>
      <c r="AZ36" s="312"/>
      <c r="BA36" s="312"/>
      <c r="BB36" s="312"/>
      <c r="BC36" s="312"/>
      <c r="BD36" s="312"/>
      <c r="BE36" s="312"/>
      <c r="BF36" s="312"/>
      <c r="BG36" s="312"/>
      <c r="BH36" s="312"/>
      <c r="BI36" s="312"/>
      <c r="BJ36" s="312"/>
      <c r="BK36" s="312"/>
      <c r="BL36" s="140"/>
      <c r="BM36" s="372"/>
      <c r="BN36" s="372"/>
      <c r="BO36" s="372"/>
      <c r="BP36" s="372"/>
      <c r="BQ36" s="372"/>
      <c r="BR36" s="372"/>
      <c r="BS36" s="372"/>
      <c r="BT36" s="372"/>
      <c r="BU36" s="372"/>
      <c r="BV36" s="372"/>
      <c r="BW36" s="372"/>
      <c r="BX36" s="372"/>
      <c r="BY36" s="372"/>
      <c r="BZ36" s="372"/>
      <c r="CA36" s="372"/>
      <c r="CB36" s="372"/>
    </row>
    <row r="37" customHeight="1" spans="1:80">
      <c r="A37" s="140"/>
      <c r="B37" s="235" t="s">
        <v>104</v>
      </c>
      <c r="C37" s="230" t="s">
        <v>163</v>
      </c>
      <c r="D37" s="230"/>
      <c r="E37" s="230"/>
      <c r="F37" s="147"/>
      <c r="G37" s="147"/>
      <c r="H37" s="243" t="s">
        <v>106</v>
      </c>
      <c r="I37" s="269">
        <f>$G$16+F37+IF(B37="O",$AC$3,(IF(B37="❂",$AC$3*2,IF(B37="〄",INT($AC$3/2),0))))</f>
        <v>1</v>
      </c>
      <c r="J37" s="269"/>
      <c r="K37" s="140"/>
      <c r="L37" s="235" t="s">
        <v>164</v>
      </c>
      <c r="M37" s="235"/>
      <c r="N37" s="270" t="s">
        <v>106</v>
      </c>
      <c r="O37" s="271" t="s">
        <v>165</v>
      </c>
      <c r="P37" s="271"/>
      <c r="Q37" s="271"/>
      <c r="R37" s="271"/>
      <c r="S37" s="271"/>
      <c r="T37" s="235" t="s">
        <v>104</v>
      </c>
      <c r="U37" s="305"/>
      <c r="V37" s="305"/>
      <c r="W37" s="305"/>
      <c r="X37" s="305"/>
      <c r="Y37" s="305"/>
      <c r="Z37" s="305"/>
      <c r="AA37" s="147"/>
      <c r="AB37" s="147"/>
      <c r="AC37" s="341"/>
      <c r="AD37" s="342" t="s">
        <v>166</v>
      </c>
      <c r="AE37" s="342"/>
      <c r="AF37" s="342"/>
      <c r="AG37" s="342"/>
      <c r="AH37" s="342"/>
      <c r="AI37" s="353">
        <f>施法!O2</f>
        <v>14</v>
      </c>
      <c r="AJ37" s="353"/>
      <c r="AK37" s="353"/>
      <c r="AL37" s="198"/>
      <c r="AM37" s="167">
        <v>2</v>
      </c>
      <c r="AN37" s="167"/>
      <c r="AO37" s="361">
        <f>施法!AX6</f>
        <v>0</v>
      </c>
      <c r="AP37" s="361"/>
      <c r="AQ37" s="180" t="s">
        <v>68</v>
      </c>
      <c r="AR37" s="362">
        <f>施法!BA6</f>
        <v>0</v>
      </c>
      <c r="AS37" s="362"/>
      <c r="AT37" s="141"/>
      <c r="AU37" s="140"/>
      <c r="AV37" s="357" t="s">
        <v>167</v>
      </c>
      <c r="AW37" s="357"/>
      <c r="AX37" s="357"/>
      <c r="AY37" s="357"/>
      <c r="AZ37" s="375">
        <v>0</v>
      </c>
      <c r="BA37" s="375"/>
      <c r="BB37" s="375"/>
      <c r="BC37" s="376" t="s">
        <v>68</v>
      </c>
      <c r="BD37" s="376"/>
      <c r="BE37" s="381">
        <v>3</v>
      </c>
      <c r="BF37" s="381"/>
      <c r="BG37" s="381"/>
      <c r="BH37" s="381"/>
      <c r="BI37" s="381"/>
      <c r="BJ37" s="381"/>
      <c r="BK37" s="381"/>
      <c r="BL37" s="140"/>
      <c r="BM37" s="372"/>
      <c r="BN37" s="372"/>
      <c r="BO37" s="372"/>
      <c r="BP37" s="372"/>
      <c r="BQ37" s="372"/>
      <c r="BR37" s="372"/>
      <c r="BS37" s="372"/>
      <c r="BT37" s="372"/>
      <c r="BU37" s="372"/>
      <c r="BV37" s="372"/>
      <c r="BW37" s="372"/>
      <c r="BX37" s="372"/>
      <c r="BY37" s="372"/>
      <c r="BZ37" s="372"/>
      <c r="CA37" s="372"/>
      <c r="CB37" s="372"/>
    </row>
    <row r="38" customHeight="1" spans="1:80">
      <c r="A38" s="140"/>
      <c r="B38" s="235" t="s">
        <v>104</v>
      </c>
      <c r="C38" s="230" t="s">
        <v>168</v>
      </c>
      <c r="D38" s="230"/>
      <c r="E38" s="230"/>
      <c r="F38" s="147"/>
      <c r="G38" s="147"/>
      <c r="H38" s="243" t="s">
        <v>106</v>
      </c>
      <c r="I38" s="269">
        <f>$G$16+F38+IF(B38="O",$AC$3,(IF(B38="❂",$AC$3*2,IF(B38="〄",INT($AC$3/2),0))))</f>
        <v>1</v>
      </c>
      <c r="J38" s="269"/>
      <c r="K38" s="140"/>
      <c r="L38" s="235" t="s">
        <v>169</v>
      </c>
      <c r="M38" s="235"/>
      <c r="N38" s="270" t="s">
        <v>106</v>
      </c>
      <c r="O38" s="150"/>
      <c r="P38" s="150"/>
      <c r="Q38" s="150"/>
      <c r="R38" s="150"/>
      <c r="S38" s="150"/>
      <c r="T38" s="235" t="s">
        <v>104</v>
      </c>
      <c r="U38" s="311"/>
      <c r="V38" s="311"/>
      <c r="W38" s="311"/>
      <c r="X38" s="311"/>
      <c r="Y38" s="311"/>
      <c r="Z38" s="311"/>
      <c r="AA38" s="150"/>
      <c r="AB38" s="150"/>
      <c r="AC38" s="341"/>
      <c r="AD38" s="342"/>
      <c r="AE38" s="342"/>
      <c r="AF38" s="342"/>
      <c r="AG38" s="342"/>
      <c r="AH38" s="342"/>
      <c r="AI38" s="353"/>
      <c r="AJ38" s="353"/>
      <c r="AK38" s="353"/>
      <c r="AL38" s="140"/>
      <c r="AM38" s="167">
        <v>3</v>
      </c>
      <c r="AN38" s="167"/>
      <c r="AO38" s="359">
        <f>施法!AX7</f>
        <v>0</v>
      </c>
      <c r="AP38" s="359"/>
      <c r="AQ38" s="184" t="s">
        <v>68</v>
      </c>
      <c r="AR38" s="360">
        <f>施法!BA7</f>
        <v>0</v>
      </c>
      <c r="AS38" s="360"/>
      <c r="AT38" s="140"/>
      <c r="AU38" s="140"/>
      <c r="AV38" s="363" t="s">
        <v>170</v>
      </c>
      <c r="AW38" s="363"/>
      <c r="AX38" s="363"/>
      <c r="AY38" s="363"/>
      <c r="AZ38" s="377">
        <v>0</v>
      </c>
      <c r="BA38" s="377"/>
      <c r="BB38" s="377"/>
      <c r="BC38" s="378" t="s">
        <v>68</v>
      </c>
      <c r="BD38" s="378"/>
      <c r="BE38" s="382">
        <v>1</v>
      </c>
      <c r="BF38" s="382"/>
      <c r="BG38" s="382"/>
      <c r="BH38" s="382"/>
      <c r="BI38" s="382"/>
      <c r="BJ38" s="382"/>
      <c r="BK38" s="382"/>
      <c r="BL38" s="140"/>
      <c r="BM38" s="372"/>
      <c r="BN38" s="372"/>
      <c r="BO38" s="372"/>
      <c r="BP38" s="372"/>
      <c r="BQ38" s="372"/>
      <c r="BR38" s="372"/>
      <c r="BS38" s="372"/>
      <c r="BT38" s="372"/>
      <c r="BU38" s="372"/>
      <c r="BV38" s="372"/>
      <c r="BW38" s="372"/>
      <c r="BX38" s="372"/>
      <c r="BY38" s="372"/>
      <c r="BZ38" s="372"/>
      <c r="CA38" s="372"/>
      <c r="CB38" s="372"/>
    </row>
    <row r="39" customHeight="1" spans="1:80">
      <c r="A39" s="140"/>
      <c r="B39" s="235" t="s">
        <v>104</v>
      </c>
      <c r="C39" s="230" t="s">
        <v>171</v>
      </c>
      <c r="D39" s="230"/>
      <c r="E39" s="230"/>
      <c r="F39" s="147"/>
      <c r="G39" s="147"/>
      <c r="H39" s="243" t="s">
        <v>106</v>
      </c>
      <c r="I39" s="269">
        <f>$G$16+F39+IF(B39="O",$AC$3,(IF(B39="❂",$AC$3*2,IF(B39="〄",INT($AC$3/2),0))))</f>
        <v>1</v>
      </c>
      <c r="J39" s="269"/>
      <c r="K39" s="140"/>
      <c r="L39" s="235" t="s">
        <v>172</v>
      </c>
      <c r="M39" s="235"/>
      <c r="N39" s="270" t="s">
        <v>106</v>
      </c>
      <c r="O39" s="271" t="s">
        <v>173</v>
      </c>
      <c r="P39" s="271"/>
      <c r="Q39" s="271"/>
      <c r="R39" s="271"/>
      <c r="S39" s="271"/>
      <c r="T39" s="235" t="s">
        <v>104</v>
      </c>
      <c r="U39" s="305"/>
      <c r="V39" s="305"/>
      <c r="W39" s="305"/>
      <c r="X39" s="305"/>
      <c r="Y39" s="305"/>
      <c r="Z39" s="305"/>
      <c r="AA39" s="147"/>
      <c r="AB39" s="147"/>
      <c r="AC39" s="341"/>
      <c r="AD39" s="248"/>
      <c r="AE39" s="248"/>
      <c r="AF39" s="248"/>
      <c r="AG39" s="248"/>
      <c r="AH39" s="248"/>
      <c r="AI39" s="247"/>
      <c r="AJ39" s="247"/>
      <c r="AK39" s="247"/>
      <c r="AL39" s="140"/>
      <c r="AM39" s="167">
        <v>4</v>
      </c>
      <c r="AN39" s="167"/>
      <c r="AO39" s="361">
        <f>施法!AX8</f>
        <v>0</v>
      </c>
      <c r="AP39" s="361"/>
      <c r="AQ39" s="180" t="s">
        <v>68</v>
      </c>
      <c r="AR39" s="362">
        <f>施法!BA8</f>
        <v>0</v>
      </c>
      <c r="AS39" s="362"/>
      <c r="AT39" s="140"/>
      <c r="AU39" s="140"/>
      <c r="AV39" s="357" t="s">
        <v>174</v>
      </c>
      <c r="AW39" s="357"/>
      <c r="AX39" s="357"/>
      <c r="AY39" s="357"/>
      <c r="AZ39" s="379"/>
      <c r="BA39" s="379"/>
      <c r="BB39" s="379"/>
      <c r="BC39" s="379"/>
      <c r="BD39" s="379"/>
      <c r="BE39" s="379"/>
      <c r="BF39" s="379"/>
      <c r="BG39" s="379"/>
      <c r="BH39" s="379"/>
      <c r="BI39" s="379"/>
      <c r="BJ39" s="379"/>
      <c r="BK39" s="379"/>
      <c r="BL39" s="140"/>
      <c r="BM39" s="372"/>
      <c r="BN39" s="372"/>
      <c r="BO39" s="372"/>
      <c r="BP39" s="372"/>
      <c r="BQ39" s="372"/>
      <c r="BR39" s="372"/>
      <c r="BS39" s="372"/>
      <c r="BT39" s="372"/>
      <c r="BU39" s="372"/>
      <c r="BV39" s="372"/>
      <c r="BW39" s="372"/>
      <c r="BX39" s="372"/>
      <c r="BY39" s="372"/>
      <c r="BZ39" s="372"/>
      <c r="CA39" s="372"/>
      <c r="CB39" s="372"/>
    </row>
    <row r="40" customHeight="1" spans="1:80">
      <c r="A40" s="140"/>
      <c r="B40" s="244" t="s">
        <v>175</v>
      </c>
      <c r="C40" s="244"/>
      <c r="D40" s="244"/>
      <c r="E40" s="244"/>
      <c r="F40" s="244"/>
      <c r="G40" s="244"/>
      <c r="H40" s="243"/>
      <c r="I40" s="276"/>
      <c r="J40" s="276"/>
      <c r="K40" s="140"/>
      <c r="L40" s="235" t="s">
        <v>176</v>
      </c>
      <c r="M40" s="235"/>
      <c r="N40" s="270" t="s">
        <v>106</v>
      </c>
      <c r="O40" s="150"/>
      <c r="P40" s="150"/>
      <c r="Q40" s="150"/>
      <c r="R40" s="150"/>
      <c r="S40" s="150"/>
      <c r="T40" s="235" t="s">
        <v>104</v>
      </c>
      <c r="U40" s="312"/>
      <c r="V40" s="312"/>
      <c r="W40" s="312"/>
      <c r="X40" s="312"/>
      <c r="Y40" s="312"/>
      <c r="Z40" s="312"/>
      <c r="AA40" s="150"/>
      <c r="AB40" s="150"/>
      <c r="AC40" s="146"/>
      <c r="AD40" s="230" t="s">
        <v>177</v>
      </c>
      <c r="AE40" s="230"/>
      <c r="AF40" s="230"/>
      <c r="AG40" s="150"/>
      <c r="AH40" s="150"/>
      <c r="AI40" s="150"/>
      <c r="AJ40" s="150"/>
      <c r="AK40" s="150"/>
      <c r="AL40" s="140"/>
      <c r="AM40" s="167">
        <v>5</v>
      </c>
      <c r="AN40" s="167"/>
      <c r="AO40" s="359">
        <f>施法!AX9</f>
        <v>0</v>
      </c>
      <c r="AP40" s="359"/>
      <c r="AQ40" s="184" t="s">
        <v>68</v>
      </c>
      <c r="AR40" s="360">
        <f>施法!BA9</f>
        <v>0</v>
      </c>
      <c r="AS40" s="360"/>
      <c r="AT40" s="140"/>
      <c r="AU40" s="140"/>
      <c r="AV40" s="364" t="s">
        <v>178</v>
      </c>
      <c r="AW40" s="364"/>
      <c r="AX40" s="364"/>
      <c r="AY40" s="364"/>
      <c r="AZ40" s="312"/>
      <c r="BA40" s="312"/>
      <c r="BB40" s="312"/>
      <c r="BC40" s="312"/>
      <c r="BD40" s="312"/>
      <c r="BE40" s="312"/>
      <c r="BF40" s="312"/>
      <c r="BG40" s="312"/>
      <c r="BH40" s="312"/>
      <c r="BI40" s="312"/>
      <c r="BJ40" s="312"/>
      <c r="BK40" s="312"/>
      <c r="BL40" s="140"/>
      <c r="BM40" s="372"/>
      <c r="BN40" s="372"/>
      <c r="BO40" s="372"/>
      <c r="BP40" s="372"/>
      <c r="BQ40" s="372"/>
      <c r="BR40" s="372"/>
      <c r="BS40" s="372"/>
      <c r="BT40" s="372"/>
      <c r="BU40" s="372"/>
      <c r="BV40" s="372"/>
      <c r="BW40" s="372"/>
      <c r="BX40" s="372"/>
      <c r="BY40" s="372"/>
      <c r="BZ40" s="372"/>
      <c r="CA40" s="372"/>
      <c r="CB40" s="372"/>
    </row>
    <row r="41" customHeight="1" spans="1:80">
      <c r="A41" s="140"/>
      <c r="B41" s="235" t="s">
        <v>104</v>
      </c>
      <c r="C41" s="230" t="s">
        <v>179</v>
      </c>
      <c r="D41" s="230"/>
      <c r="E41" s="230"/>
      <c r="F41" s="147"/>
      <c r="G41" s="147"/>
      <c r="H41" s="243" t="s">
        <v>106</v>
      </c>
      <c r="I41" s="269">
        <f>$G$18+F41+IF(B41="O",$AC$3,(IF(B41="❂",$AC$3*2,IF(B41="〄",INT($AC$3/2),0))))</f>
        <v>3</v>
      </c>
      <c r="J41" s="269"/>
      <c r="K41" s="140"/>
      <c r="L41" s="278" t="s">
        <v>180</v>
      </c>
      <c r="M41" s="278"/>
      <c r="N41" s="278"/>
      <c r="O41" s="278" t="str">
        <f>背包!B3</f>
        <v>速查</v>
      </c>
      <c r="P41" s="278"/>
      <c r="Q41" s="278"/>
      <c r="R41" s="278" t="str">
        <f>背包!Y3</f>
        <v>自述</v>
      </c>
      <c r="S41" s="278"/>
      <c r="T41" s="278"/>
      <c r="U41" s="278" t="s">
        <v>181</v>
      </c>
      <c r="V41" s="278"/>
      <c r="W41" s="313" t="s">
        <v>182</v>
      </c>
      <c r="X41" s="313"/>
      <c r="Y41" s="313"/>
      <c r="Z41" s="278" t="s">
        <v>183</v>
      </c>
      <c r="AA41" s="278"/>
      <c r="AB41" s="278"/>
      <c r="AC41" s="341"/>
      <c r="AD41" s="230" t="s">
        <v>184</v>
      </c>
      <c r="AE41" s="230"/>
      <c r="AF41" s="230"/>
      <c r="AG41" s="271"/>
      <c r="AH41" s="271"/>
      <c r="AI41" s="271"/>
      <c r="AJ41" s="271"/>
      <c r="AK41" s="271"/>
      <c r="AL41" s="140"/>
      <c r="AM41" s="167">
        <v>6</v>
      </c>
      <c r="AN41" s="167"/>
      <c r="AO41" s="361">
        <f>施法!AX10</f>
        <v>0</v>
      </c>
      <c r="AP41" s="361"/>
      <c r="AQ41" s="180" t="s">
        <v>68</v>
      </c>
      <c r="AR41" s="362">
        <f>施法!BA10</f>
        <v>0</v>
      </c>
      <c r="AS41" s="362"/>
      <c r="AT41" s="140"/>
      <c r="AU41" s="140"/>
      <c r="AV41" s="365" t="s">
        <v>185</v>
      </c>
      <c r="AW41" s="365"/>
      <c r="AX41" s="365"/>
      <c r="AY41" s="365"/>
      <c r="AZ41" s="374"/>
      <c r="BA41" s="374"/>
      <c r="BB41" s="374"/>
      <c r="BC41" s="374"/>
      <c r="BD41" s="374"/>
      <c r="BE41" s="374"/>
      <c r="BF41" s="374"/>
      <c r="BG41" s="374"/>
      <c r="BH41" s="374"/>
      <c r="BI41" s="374"/>
      <c r="BJ41" s="374"/>
      <c r="BK41" s="374"/>
      <c r="BL41" s="140"/>
      <c r="BM41" s="372"/>
      <c r="BN41" s="372"/>
      <c r="BO41" s="372"/>
      <c r="BP41" s="372"/>
      <c r="BQ41" s="372"/>
      <c r="BR41" s="372"/>
      <c r="BS41" s="372"/>
      <c r="BT41" s="372"/>
      <c r="BU41" s="372"/>
      <c r="BV41" s="372"/>
      <c r="BW41" s="372"/>
      <c r="BX41" s="372"/>
      <c r="BY41" s="372"/>
      <c r="BZ41" s="372"/>
      <c r="CA41" s="372"/>
      <c r="CB41" s="372"/>
    </row>
    <row r="42" customHeight="1" spans="1:80">
      <c r="A42" s="140"/>
      <c r="B42" s="235" t="s">
        <v>104</v>
      </c>
      <c r="C42" s="230" t="s">
        <v>186</v>
      </c>
      <c r="D42" s="230"/>
      <c r="E42" s="230"/>
      <c r="F42" s="147">
        <v>2</v>
      </c>
      <c r="G42" s="147"/>
      <c r="H42" s="243" t="s">
        <v>106</v>
      </c>
      <c r="I42" s="269">
        <f>$G$18+F42+IF(B42="O",$AC$3,(IF(B42="❂",$AC$3*2,IF(B42="〄",INT($AC$3/2),0))))</f>
        <v>5</v>
      </c>
      <c r="J42" s="269"/>
      <c r="K42" s="140"/>
      <c r="L42" s="279">
        <f>SUM(AA31:AB40,AA25:AB29,AA23,IF(S12="是",AR23,))</f>
        <v>13</v>
      </c>
      <c r="M42" s="279"/>
      <c r="N42" s="279"/>
      <c r="O42" s="279">
        <f>背包!V3</f>
        <v>0</v>
      </c>
      <c r="P42" s="279"/>
      <c r="Q42" s="279"/>
      <c r="R42" s="279">
        <f>背包!AS3</f>
        <v>0</v>
      </c>
      <c r="S42" s="279"/>
      <c r="T42" s="279"/>
      <c r="U42" s="314">
        <f>SUM(L42:T42)+Z42+Z44</f>
        <v>13</v>
      </c>
      <c r="V42" s="314"/>
      <c r="W42" s="315">
        <f>AG40*10+AG41*0.5+AG42+AG43*0.1+AG44*0.01</f>
        <v>0</v>
      </c>
      <c r="X42" s="315"/>
      <c r="Y42" s="315"/>
      <c r="Z42" s="279">
        <f>SUM(AG40:AK44)/50</f>
        <v>0</v>
      </c>
      <c r="AA42" s="279"/>
      <c r="AB42" s="279"/>
      <c r="AC42" s="341"/>
      <c r="AD42" s="230" t="s">
        <v>187</v>
      </c>
      <c r="AE42" s="230"/>
      <c r="AF42" s="230"/>
      <c r="AG42" s="150"/>
      <c r="AH42" s="150"/>
      <c r="AI42" s="150"/>
      <c r="AJ42" s="150"/>
      <c r="AK42" s="150"/>
      <c r="AL42" s="140"/>
      <c r="AM42" s="167">
        <v>7</v>
      </c>
      <c r="AN42" s="167"/>
      <c r="AO42" s="359">
        <f>施法!AX11</f>
        <v>0</v>
      </c>
      <c r="AP42" s="359"/>
      <c r="AQ42" s="184" t="s">
        <v>68</v>
      </c>
      <c r="AR42" s="360">
        <f>施法!BA11</f>
        <v>0</v>
      </c>
      <c r="AS42" s="360"/>
      <c r="AT42" s="140"/>
      <c r="AU42" s="140"/>
      <c r="AV42" s="364" t="s">
        <v>188</v>
      </c>
      <c r="AW42" s="364"/>
      <c r="AX42" s="364"/>
      <c r="AY42" s="364"/>
      <c r="AZ42" s="312"/>
      <c r="BA42" s="312"/>
      <c r="BB42" s="312"/>
      <c r="BC42" s="312"/>
      <c r="BD42" s="312"/>
      <c r="BE42" s="312"/>
      <c r="BF42" s="312"/>
      <c r="BG42" s="312"/>
      <c r="BH42" s="312"/>
      <c r="BI42" s="312"/>
      <c r="BJ42" s="312"/>
      <c r="BK42" s="312"/>
      <c r="BL42" s="140"/>
      <c r="BM42" s="372"/>
      <c r="BN42" s="372"/>
      <c r="BO42" s="372"/>
      <c r="BP42" s="372"/>
      <c r="BQ42" s="372"/>
      <c r="BR42" s="372"/>
      <c r="BS42" s="372"/>
      <c r="BT42" s="372"/>
      <c r="BU42" s="372"/>
      <c r="BV42" s="372"/>
      <c r="BW42" s="372"/>
      <c r="BX42" s="372"/>
      <c r="BY42" s="372"/>
      <c r="BZ42" s="372"/>
      <c r="CA42" s="372"/>
      <c r="CB42" s="372"/>
    </row>
    <row r="43" customHeight="1" spans="1:80">
      <c r="A43" s="140"/>
      <c r="B43" s="235" t="s">
        <v>104</v>
      </c>
      <c r="C43" s="230" t="s">
        <v>189</v>
      </c>
      <c r="D43" s="230"/>
      <c r="E43" s="230"/>
      <c r="F43" s="147"/>
      <c r="G43" s="147"/>
      <c r="H43" s="243" t="s">
        <v>106</v>
      </c>
      <c r="I43" s="269">
        <f>$G$18+F43+IF(B43="O",$AC$3,(IF(B43="❂",$AC$3*2,IF(B43="〄",INT($AC$3/2),0))))</f>
        <v>3</v>
      </c>
      <c r="J43" s="269"/>
      <c r="K43" s="140"/>
      <c r="L43" s="278" t="s">
        <v>190</v>
      </c>
      <c r="M43" s="278"/>
      <c r="N43" s="278"/>
      <c r="O43" s="278" t="s">
        <v>191</v>
      </c>
      <c r="P43" s="278"/>
      <c r="Q43" s="278"/>
      <c r="R43" s="278" t="s">
        <v>192</v>
      </c>
      <c r="S43" s="278"/>
      <c r="T43" s="278"/>
      <c r="U43" s="278" t="s">
        <v>193</v>
      </c>
      <c r="V43" s="278"/>
      <c r="W43" s="315"/>
      <c r="X43" s="315"/>
      <c r="Y43" s="315"/>
      <c r="Z43" s="278" t="s">
        <v>194</v>
      </c>
      <c r="AA43" s="278"/>
      <c r="AB43" s="278"/>
      <c r="AC43" s="146"/>
      <c r="AD43" s="230" t="s">
        <v>195</v>
      </c>
      <c r="AE43" s="230"/>
      <c r="AF43" s="230"/>
      <c r="AG43" s="271"/>
      <c r="AH43" s="271"/>
      <c r="AI43" s="271"/>
      <c r="AJ43" s="271"/>
      <c r="AK43" s="271"/>
      <c r="AL43" s="140"/>
      <c r="AM43" s="167">
        <v>8</v>
      </c>
      <c r="AN43" s="167"/>
      <c r="AO43" s="361">
        <f>施法!AX12</f>
        <v>0</v>
      </c>
      <c r="AP43" s="361"/>
      <c r="AQ43" s="180" t="s">
        <v>68</v>
      </c>
      <c r="AR43" s="362">
        <f>施法!BA12</f>
        <v>0</v>
      </c>
      <c r="AS43" s="362"/>
      <c r="AT43" s="140"/>
      <c r="AU43" s="140"/>
      <c r="AV43" s="365" t="s">
        <v>196</v>
      </c>
      <c r="AW43" s="365"/>
      <c r="AX43" s="365"/>
      <c r="AY43" s="365"/>
      <c r="AZ43" s="374"/>
      <c r="BA43" s="374"/>
      <c r="BB43" s="374"/>
      <c r="BC43" s="374"/>
      <c r="BD43" s="374"/>
      <c r="BE43" s="374"/>
      <c r="BF43" s="374"/>
      <c r="BG43" s="374"/>
      <c r="BH43" s="374"/>
      <c r="BI43" s="374"/>
      <c r="BJ43" s="374"/>
      <c r="BK43" s="374"/>
      <c r="BL43" s="140"/>
      <c r="BM43" s="372"/>
      <c r="BN43" s="372"/>
      <c r="BO43" s="372"/>
      <c r="BP43" s="372"/>
      <c r="BQ43" s="372"/>
      <c r="BR43" s="372"/>
      <c r="BS43" s="372"/>
      <c r="BT43" s="372"/>
      <c r="BU43" s="372"/>
      <c r="BV43" s="372"/>
      <c r="BW43" s="372"/>
      <c r="BX43" s="372"/>
      <c r="BY43" s="372"/>
      <c r="BZ43" s="372"/>
      <c r="CA43" s="372"/>
      <c r="CB43" s="372"/>
    </row>
    <row r="44" customHeight="1" spans="1:80">
      <c r="A44" s="140"/>
      <c r="B44" s="235" t="s">
        <v>104</v>
      </c>
      <c r="C44" s="230" t="s">
        <v>197</v>
      </c>
      <c r="D44" s="230"/>
      <c r="E44" s="230"/>
      <c r="F44" s="147"/>
      <c r="G44" s="147"/>
      <c r="H44" s="243" t="s">
        <v>106</v>
      </c>
      <c r="I44" s="269">
        <f>$G$18++F44+IF(B44="O",$AC$3,(IF(B44="❂",$AC$3*2,IF(B44="〄",INT($AC$3/2),0))))</f>
        <v>3</v>
      </c>
      <c r="J44" s="269"/>
      <c r="K44" s="140"/>
      <c r="L44" s="279">
        <v>0</v>
      </c>
      <c r="M44" s="279"/>
      <c r="N44" s="279"/>
      <c r="O44" s="279">
        <f>E8*5</f>
        <v>50</v>
      </c>
      <c r="P44" s="279"/>
      <c r="Q44" s="279"/>
      <c r="R44" s="279">
        <f>E8*10</f>
        <v>100</v>
      </c>
      <c r="S44" s="279"/>
      <c r="T44" s="279"/>
      <c r="U44" s="316">
        <f>IF(U43="最大载重",E8*15,_xlfn.IFS(U42&lt;=O44,"轻载",U42&lt;=R44,"重载",U42&gt;R44,"超载",TRUE(),))</f>
        <v>150</v>
      </c>
      <c r="V44" s="316"/>
      <c r="W44" s="315"/>
      <c r="X44" s="315"/>
      <c r="Y44" s="315"/>
      <c r="Z44" s="279">
        <f>IF(背包!V27="无",0,背包!J51)</f>
        <v>0</v>
      </c>
      <c r="AA44" s="279"/>
      <c r="AB44" s="279"/>
      <c r="AC44" s="282"/>
      <c r="AD44" s="230" t="s">
        <v>198</v>
      </c>
      <c r="AE44" s="230"/>
      <c r="AF44" s="230"/>
      <c r="AG44" s="150"/>
      <c r="AH44" s="150"/>
      <c r="AI44" s="150"/>
      <c r="AJ44" s="150"/>
      <c r="AK44" s="150"/>
      <c r="AL44" s="140"/>
      <c r="AM44" s="167">
        <v>9</v>
      </c>
      <c r="AN44" s="167"/>
      <c r="AO44" s="359">
        <f>施法!AX13</f>
        <v>0</v>
      </c>
      <c r="AP44" s="359"/>
      <c r="AQ44" s="184" t="s">
        <v>68</v>
      </c>
      <c r="AR44" s="360">
        <f>施法!BA13</f>
        <v>0</v>
      </c>
      <c r="AS44" s="360"/>
      <c r="AT44" s="140"/>
      <c r="AU44" s="140"/>
      <c r="AV44" s="364" t="s">
        <v>199</v>
      </c>
      <c r="AW44" s="364"/>
      <c r="AX44" s="364"/>
      <c r="AY44" s="364"/>
      <c r="AZ44" s="312"/>
      <c r="BA44" s="312"/>
      <c r="BB44" s="312"/>
      <c r="BC44" s="312"/>
      <c r="BD44" s="312"/>
      <c r="BE44" s="312"/>
      <c r="BF44" s="312"/>
      <c r="BG44" s="312"/>
      <c r="BH44" s="312"/>
      <c r="BI44" s="312"/>
      <c r="BJ44" s="312"/>
      <c r="BK44" s="312"/>
      <c r="BL44" s="140"/>
      <c r="BM44" s="372"/>
      <c r="BN44" s="372"/>
      <c r="BO44" s="372"/>
      <c r="BP44" s="372"/>
      <c r="BQ44" s="372"/>
      <c r="BR44" s="372"/>
      <c r="BS44" s="372"/>
      <c r="BT44" s="372"/>
      <c r="BU44" s="372"/>
      <c r="BV44" s="372"/>
      <c r="BW44" s="372"/>
      <c r="BX44" s="372"/>
      <c r="BY44" s="372"/>
      <c r="BZ44" s="372"/>
      <c r="CA44" s="372"/>
      <c r="CB44" s="372"/>
    </row>
    <row r="45" customHeight="1" spans="1:82">
      <c r="A45" s="140"/>
      <c r="B45" s="247"/>
      <c r="C45" s="248"/>
      <c r="D45" s="248"/>
      <c r="E45" s="248"/>
      <c r="F45" s="247"/>
      <c r="G45" s="247"/>
      <c r="H45" s="249"/>
      <c r="I45" s="280"/>
      <c r="J45" s="280"/>
      <c r="K45" s="140"/>
      <c r="L45" s="281"/>
      <c r="M45" s="281"/>
      <c r="N45" s="281"/>
      <c r="O45" s="281"/>
      <c r="P45" s="281"/>
      <c r="Q45" s="281"/>
      <c r="R45" s="281"/>
      <c r="S45" s="281"/>
      <c r="T45" s="281"/>
      <c r="U45" s="198"/>
      <c r="V45" s="317"/>
      <c r="W45" s="317"/>
      <c r="X45" s="317"/>
      <c r="Y45" s="317"/>
      <c r="Z45" s="198"/>
      <c r="AA45" s="281"/>
      <c r="AB45" s="281"/>
      <c r="AC45" s="281"/>
      <c r="AD45" s="343"/>
      <c r="AE45" s="282"/>
      <c r="AF45" s="282"/>
      <c r="AG45" s="170"/>
      <c r="AH45" s="170"/>
      <c r="AI45" s="170"/>
      <c r="AJ45" s="170"/>
      <c r="AK45" s="170"/>
      <c r="AL45" s="140"/>
      <c r="AM45" s="248"/>
      <c r="AN45" s="248"/>
      <c r="AO45" s="366"/>
      <c r="AP45" s="366"/>
      <c r="AQ45" s="367"/>
      <c r="AR45" s="368"/>
      <c r="AS45" s="368"/>
      <c r="AT45" s="140"/>
      <c r="AU45" s="140"/>
      <c r="AV45" s="369"/>
      <c r="AW45" s="369"/>
      <c r="AX45" s="369"/>
      <c r="AY45" s="369"/>
      <c r="AZ45" s="369"/>
      <c r="BA45" s="369"/>
      <c r="BB45" s="369"/>
      <c r="BC45" s="369"/>
      <c r="BD45" s="369"/>
      <c r="BE45" s="369"/>
      <c r="BF45" s="383"/>
      <c r="BG45" s="383"/>
      <c r="BH45" s="383"/>
      <c r="BI45" s="383"/>
      <c r="BJ45" s="383"/>
      <c r="BK45" s="383"/>
      <c r="BL45" s="140"/>
      <c r="CC45" s="197"/>
      <c r="CD45" s="197"/>
    </row>
    <row r="46" customHeight="1" spans="1:82">
      <c r="A46" s="140"/>
      <c r="B46" s="247"/>
      <c r="C46" s="248"/>
      <c r="D46" s="248"/>
      <c r="E46" s="248"/>
      <c r="F46" s="247"/>
      <c r="G46" s="247"/>
      <c r="H46" s="249"/>
      <c r="I46" s="280"/>
      <c r="J46" s="280"/>
      <c r="K46" s="140"/>
      <c r="L46" s="282"/>
      <c r="M46" s="282"/>
      <c r="N46" s="282"/>
      <c r="O46" s="282"/>
      <c r="P46" s="282"/>
      <c r="Q46" s="282"/>
      <c r="R46" s="282"/>
      <c r="S46" s="282"/>
      <c r="T46" s="282"/>
      <c r="U46" s="281"/>
      <c r="V46" s="282"/>
      <c r="W46" s="282"/>
      <c r="X46" s="282"/>
      <c r="Y46" s="282"/>
      <c r="Z46" s="281"/>
      <c r="AA46" s="282"/>
      <c r="AB46" s="282"/>
      <c r="AC46" s="282"/>
      <c r="AD46" s="140"/>
      <c r="AE46" s="248"/>
      <c r="AF46" s="248"/>
      <c r="AG46" s="247"/>
      <c r="AH46" s="247"/>
      <c r="AI46" s="247"/>
      <c r="AJ46" s="247"/>
      <c r="AK46" s="247"/>
      <c r="AL46" s="140"/>
      <c r="AM46" s="248"/>
      <c r="AN46" s="248"/>
      <c r="AO46" s="366"/>
      <c r="AP46" s="366"/>
      <c r="AQ46" s="367"/>
      <c r="AR46" s="368"/>
      <c r="AS46" s="368"/>
      <c r="AT46" s="140"/>
      <c r="AU46" s="140"/>
      <c r="AV46" s="369"/>
      <c r="AW46" s="369"/>
      <c r="AX46" s="369"/>
      <c r="AY46" s="369"/>
      <c r="AZ46" s="369"/>
      <c r="BA46" s="369"/>
      <c r="BB46" s="369"/>
      <c r="BC46" s="369"/>
      <c r="BD46" s="369"/>
      <c r="BE46" s="383"/>
      <c r="BF46" s="383"/>
      <c r="BG46" s="383"/>
      <c r="BH46" s="383"/>
      <c r="BI46" s="383"/>
      <c r="BJ46" s="383"/>
      <c r="BK46" s="383"/>
      <c r="BL46" s="140"/>
      <c r="CC46" s="197"/>
      <c r="CD46" s="197"/>
    </row>
    <row r="47" customHeight="1" spans="1:82">
      <c r="A47" s="140"/>
      <c r="B47" s="247"/>
      <c r="C47" s="248"/>
      <c r="D47" s="248"/>
      <c r="E47" s="248"/>
      <c r="F47" s="247"/>
      <c r="G47" s="247"/>
      <c r="H47" s="249"/>
      <c r="I47" s="280"/>
      <c r="J47" s="280"/>
      <c r="K47" s="140"/>
      <c r="L47" s="281"/>
      <c r="M47" s="281"/>
      <c r="N47" s="281"/>
      <c r="O47" s="281"/>
      <c r="P47" s="281"/>
      <c r="Q47" s="281"/>
      <c r="R47" s="281"/>
      <c r="S47" s="281"/>
      <c r="T47" s="281"/>
      <c r="U47" s="281"/>
      <c r="V47" s="317"/>
      <c r="W47" s="317"/>
      <c r="X47" s="317"/>
      <c r="Y47" s="317"/>
      <c r="Z47" s="273"/>
      <c r="AA47" s="273"/>
      <c r="AB47" s="273"/>
      <c r="AC47" s="273"/>
      <c r="AD47" s="140"/>
      <c r="AE47" s="248"/>
      <c r="AF47" s="248"/>
      <c r="AG47" s="247"/>
      <c r="AH47" s="247"/>
      <c r="AI47" s="247"/>
      <c r="AJ47" s="247"/>
      <c r="AK47" s="247"/>
      <c r="AL47" s="140"/>
      <c r="AM47" s="248"/>
      <c r="AN47" s="248"/>
      <c r="AO47" s="366"/>
      <c r="AP47" s="366"/>
      <c r="AQ47" s="367"/>
      <c r="AR47" s="368"/>
      <c r="AS47" s="368"/>
      <c r="AT47" s="140"/>
      <c r="AU47" s="140"/>
      <c r="AV47" s="369"/>
      <c r="AW47" s="369"/>
      <c r="AX47" s="369"/>
      <c r="AY47" s="369"/>
      <c r="AZ47" s="369"/>
      <c r="BA47" s="369"/>
      <c r="BB47" s="369"/>
      <c r="BC47" s="369"/>
      <c r="BD47" s="369"/>
      <c r="BE47" s="369"/>
      <c r="BF47" s="383"/>
      <c r="BG47" s="383"/>
      <c r="BH47" s="383"/>
      <c r="BI47" s="383"/>
      <c r="BJ47" s="383"/>
      <c r="BK47" s="383"/>
      <c r="BL47" s="140"/>
      <c r="CC47" s="197"/>
      <c r="CD47" s="197"/>
    </row>
    <row r="48" customHeight="1" spans="48:63">
      <c r="AV48" s="370"/>
      <c r="AW48" s="370"/>
      <c r="AX48" s="370"/>
      <c r="AY48" s="370"/>
      <c r="AZ48" s="370"/>
      <c r="BA48" s="370"/>
      <c r="BB48" s="370"/>
      <c r="BC48" s="370"/>
      <c r="BD48" s="370"/>
      <c r="BE48" s="370"/>
      <c r="BF48" s="370"/>
      <c r="BG48" s="370"/>
      <c r="BH48" s="370"/>
      <c r="BI48" s="370"/>
      <c r="BJ48" s="370"/>
      <c r="BK48" s="370"/>
    </row>
    <row r="49" customHeight="1"/>
    <row r="50" customHeight="1"/>
    <row r="51" customHeight="1"/>
    <row r="52" customHeight="1"/>
    <row r="53" customHeight="1"/>
    <row r="54" customHeight="1"/>
    <row r="55" customHeight="1"/>
    <row r="56" customHeight="1"/>
    <row r="57" customHeight="1"/>
    <row r="58" customHeight="1"/>
    <row r="59" customHeight="1"/>
    <row r="60" customHeight="1"/>
    <row r="61" customHeight="1"/>
    <row r="62" customHeight="1"/>
    <row r="63" customHeight="1"/>
    <row r="64" customHeight="1"/>
    <row r="65" customHeight="1"/>
    <row r="66" customHeight="1"/>
    <row r="67" customHeight="1"/>
    <row r="68" customHeight="1"/>
    <row r="69" customHeight="1"/>
    <row r="70" customHeight="1"/>
    <row r="71" customHeight="1"/>
    <row r="72" customHeight="1"/>
    <row r="73" customHeight="1"/>
    <row r="74" customHeight="1"/>
    <row r="75" customHeight="1"/>
    <row r="76" customHeight="1"/>
    <row r="77" customHeight="1"/>
    <row r="78" customHeight="1"/>
    <row r="79" customHeight="1"/>
    <row r="80" customHeight="1"/>
    <row r="81" customHeight="1"/>
    <row r="82" customHeight="1"/>
    <row r="83" customHeight="1"/>
    <row r="84" customHeight="1"/>
    <row r="85" customHeight="1"/>
    <row r="86" customHeight="1"/>
    <row r="87" customHeight="1"/>
    <row r="88" customHeight="1"/>
    <row r="89" customHeight="1"/>
    <row r="90" customHeight="1"/>
    <row r="91" customHeight="1"/>
    <row r="92" customHeight="1"/>
    <row r="93" customHeight="1"/>
    <row r="94" customHeight="1"/>
    <row r="95" customHeight="1"/>
    <row r="96" customHeight="1"/>
    <row r="97" customHeight="1"/>
    <row r="98" customHeight="1"/>
    <row r="99" customHeight="1"/>
    <row r="100" customHeight="1"/>
  </sheetData>
  <mergeCells count="556">
    <mergeCell ref="A1:AS1"/>
    <mergeCell ref="AV1:BK1"/>
    <mergeCell ref="BM1:CB1"/>
    <mergeCell ref="W2:X2"/>
    <mergeCell ref="Y2:Z2"/>
    <mergeCell ref="AH2:AS2"/>
    <mergeCell ref="AW2:BA2"/>
    <mergeCell ref="BB2:BK2"/>
    <mergeCell ref="BM2:BR2"/>
    <mergeCell ref="BS2:CB2"/>
    <mergeCell ref="B3:D3"/>
    <mergeCell ref="E3:N3"/>
    <mergeCell ref="P3:R3"/>
    <mergeCell ref="S3:V3"/>
    <mergeCell ref="W3:X3"/>
    <mergeCell ref="Z3:AB3"/>
    <mergeCell ref="AC3:AF3"/>
    <mergeCell ref="AW3:BA3"/>
    <mergeCell ref="BB3:BK3"/>
    <mergeCell ref="BM3:BR3"/>
    <mergeCell ref="BS3:CB3"/>
    <mergeCell ref="B4:D4"/>
    <mergeCell ref="E4:N4"/>
    <mergeCell ref="P4:R4"/>
    <mergeCell ref="S4:V4"/>
    <mergeCell ref="W4:X4"/>
    <mergeCell ref="Z4:AB4"/>
    <mergeCell ref="AC4:AF4"/>
    <mergeCell ref="AW4:BA4"/>
    <mergeCell ref="BB4:BK4"/>
    <mergeCell ref="BM4:BR4"/>
    <mergeCell ref="BS4:CB4"/>
    <mergeCell ref="P5:R5"/>
    <mergeCell ref="S5:V5"/>
    <mergeCell ref="W5:X5"/>
    <mergeCell ref="AW5:BA5"/>
    <mergeCell ref="BB5:BK5"/>
    <mergeCell ref="BM5:BR5"/>
    <mergeCell ref="BS5:CB5"/>
    <mergeCell ref="B6:L6"/>
    <mergeCell ref="N6:AF6"/>
    <mergeCell ref="AW6:BA6"/>
    <mergeCell ref="BB6:BK6"/>
    <mergeCell ref="BM6:BR6"/>
    <mergeCell ref="BS6:CB6"/>
    <mergeCell ref="E7:F7"/>
    <mergeCell ref="G7:H7"/>
    <mergeCell ref="I7:J7"/>
    <mergeCell ref="K7:L7"/>
    <mergeCell ref="S7:T7"/>
    <mergeCell ref="V7:X7"/>
    <mergeCell ref="Y7:AA7"/>
    <mergeCell ref="AC7:AE7"/>
    <mergeCell ref="AW7:BA7"/>
    <mergeCell ref="BB7:BK7"/>
    <mergeCell ref="BM7:BR7"/>
    <mergeCell ref="BS7:CB7"/>
    <mergeCell ref="AW8:BA8"/>
    <mergeCell ref="BB8:BK8"/>
    <mergeCell ref="BM8:BR8"/>
    <mergeCell ref="BS8:CB8"/>
    <mergeCell ref="AW9:BA9"/>
    <mergeCell ref="BB9:BK9"/>
    <mergeCell ref="BM9:BR9"/>
    <mergeCell ref="BS9:CB9"/>
    <mergeCell ref="V10:X10"/>
    <mergeCell ref="Y10:AA10"/>
    <mergeCell ref="AC10:AF10"/>
    <mergeCell ref="AW10:BA10"/>
    <mergeCell ref="BB10:BK10"/>
    <mergeCell ref="BM10:BR10"/>
    <mergeCell ref="BS10:CB10"/>
    <mergeCell ref="V11:X11"/>
    <mergeCell ref="Y11:AA11"/>
    <mergeCell ref="AC11:AF11"/>
    <mergeCell ref="AW11:BA11"/>
    <mergeCell ref="BB11:BK11"/>
    <mergeCell ref="BM11:BR11"/>
    <mergeCell ref="BS11:CB11"/>
    <mergeCell ref="N12:Q12"/>
    <mergeCell ref="S12:T12"/>
    <mergeCell ref="V12:X12"/>
    <mergeCell ref="Y12:AA12"/>
    <mergeCell ref="AC12:AD12"/>
    <mergeCell ref="AE12:AF12"/>
    <mergeCell ref="AW12:BA12"/>
    <mergeCell ref="BB12:BK12"/>
    <mergeCell ref="BM12:BR12"/>
    <mergeCell ref="BS12:CB12"/>
    <mergeCell ref="AW13:BA13"/>
    <mergeCell ref="BB13:BK13"/>
    <mergeCell ref="BM13:CB13"/>
    <mergeCell ref="AW14:BA14"/>
    <mergeCell ref="BB14:BK14"/>
    <mergeCell ref="BN14:BR14"/>
    <mergeCell ref="BS14:CB14"/>
    <mergeCell ref="AW15:BA15"/>
    <mergeCell ref="BB15:BK15"/>
    <mergeCell ref="BN15:BR15"/>
    <mergeCell ref="BS15:CB15"/>
    <mergeCell ref="V16:W16"/>
    <mergeCell ref="AB16:AC16"/>
    <mergeCell ref="AD16:AF16"/>
    <mergeCell ref="AW16:BA16"/>
    <mergeCell ref="BB16:BK16"/>
    <mergeCell ref="BN16:BR16"/>
    <mergeCell ref="BS16:CB16"/>
    <mergeCell ref="N17:Q17"/>
    <mergeCell ref="R17:T17"/>
    <mergeCell ref="V17:W17"/>
    <mergeCell ref="X17:Y17"/>
    <mergeCell ref="AA17:AC17"/>
    <mergeCell ref="AD17:AE17"/>
    <mergeCell ref="AW17:BA17"/>
    <mergeCell ref="BB17:BK17"/>
    <mergeCell ref="BN17:BR17"/>
    <mergeCell ref="BS17:CB17"/>
    <mergeCell ref="AW18:BA18"/>
    <mergeCell ref="BB18:BK18"/>
    <mergeCell ref="BN18:BR18"/>
    <mergeCell ref="BS18:CB18"/>
    <mergeCell ref="N19:Q19"/>
    <mergeCell ref="R19:T19"/>
    <mergeCell ref="V19:W19"/>
    <mergeCell ref="X19:AF19"/>
    <mergeCell ref="AW19:BA19"/>
    <mergeCell ref="BB19:BK19"/>
    <mergeCell ref="BN19:BR19"/>
    <mergeCell ref="BS19:CB19"/>
    <mergeCell ref="AW20:BA20"/>
    <mergeCell ref="BB20:BK20"/>
    <mergeCell ref="BN20:BR20"/>
    <mergeCell ref="BS20:CB20"/>
    <mergeCell ref="B21:J21"/>
    <mergeCell ref="L21:AK21"/>
    <mergeCell ref="AM21:AS21"/>
    <mergeCell ref="AW21:BA21"/>
    <mergeCell ref="BB21:BK21"/>
    <mergeCell ref="BN21:BR21"/>
    <mergeCell ref="BS21:CB21"/>
    <mergeCell ref="C22:E22"/>
    <mergeCell ref="F22:G22"/>
    <mergeCell ref="I22:J22"/>
    <mergeCell ref="L22:M22"/>
    <mergeCell ref="O22:R22"/>
    <mergeCell ref="S22:U22"/>
    <mergeCell ref="V22:Z22"/>
    <mergeCell ref="AA22:AB22"/>
    <mergeCell ref="AD22:AE22"/>
    <mergeCell ref="AF22:AI22"/>
    <mergeCell ref="AJ22:AL22"/>
    <mergeCell ref="AM22:AO22"/>
    <mergeCell ref="AP22:AQ22"/>
    <mergeCell ref="AR22:AS22"/>
    <mergeCell ref="AW22:BA22"/>
    <mergeCell ref="BB22:BK22"/>
    <mergeCell ref="C23:E23"/>
    <mergeCell ref="F23:G23"/>
    <mergeCell ref="I23:J23"/>
    <mergeCell ref="L23:M23"/>
    <mergeCell ref="O23:S23"/>
    <mergeCell ref="U23:Z23"/>
    <mergeCell ref="AA23:AB23"/>
    <mergeCell ref="AD23:AE23"/>
    <mergeCell ref="AG23:AH23"/>
    <mergeCell ref="AJ23:AK23"/>
    <mergeCell ref="AM23:AO23"/>
    <mergeCell ref="AP23:AQ23"/>
    <mergeCell ref="AR23:AS23"/>
    <mergeCell ref="AW23:BA23"/>
    <mergeCell ref="BB23:BK23"/>
    <mergeCell ref="BM23:CB23"/>
    <mergeCell ref="B24:G24"/>
    <mergeCell ref="L24:M24"/>
    <mergeCell ref="O24:R24"/>
    <mergeCell ref="S24:U24"/>
    <mergeCell ref="V24:Z24"/>
    <mergeCell ref="AA24:AB24"/>
    <mergeCell ref="AD24:AG24"/>
    <mergeCell ref="AI24:AL24"/>
    <mergeCell ref="AM24:AO24"/>
    <mergeCell ref="AP24:AQ24"/>
    <mergeCell ref="AR24:AT24"/>
    <mergeCell ref="AW24:BA24"/>
    <mergeCell ref="BB24:BK24"/>
    <mergeCell ref="BN24:BR24"/>
    <mergeCell ref="BS24:CB24"/>
    <mergeCell ref="C25:E25"/>
    <mergeCell ref="F25:G25"/>
    <mergeCell ref="I25:J25"/>
    <mergeCell ref="L25:M25"/>
    <mergeCell ref="O25:S25"/>
    <mergeCell ref="U25:Z25"/>
    <mergeCell ref="AA25:AB25"/>
    <mergeCell ref="AD25:AE25"/>
    <mergeCell ref="AF25:AG25"/>
    <mergeCell ref="AI25:AL25"/>
    <mergeCell ref="AM25:AO25"/>
    <mergeCell ref="AP25:AQ25"/>
    <mergeCell ref="AS25:AT25"/>
    <mergeCell ref="AW25:BA25"/>
    <mergeCell ref="BB25:BK25"/>
    <mergeCell ref="BN25:BR25"/>
    <mergeCell ref="BS25:CB25"/>
    <mergeCell ref="C26:E26"/>
    <mergeCell ref="F26:G26"/>
    <mergeCell ref="I26:J26"/>
    <mergeCell ref="L26:M26"/>
    <mergeCell ref="O26:S26"/>
    <mergeCell ref="U26:Z26"/>
    <mergeCell ref="AA26:AB26"/>
    <mergeCell ref="AD26:AE26"/>
    <mergeCell ref="AF26:AG26"/>
    <mergeCell ref="AI26:AL26"/>
    <mergeCell ref="AM26:AO26"/>
    <mergeCell ref="AP26:AQ26"/>
    <mergeCell ref="AS26:AT26"/>
    <mergeCell ref="AW26:BA26"/>
    <mergeCell ref="BB26:BK26"/>
    <mergeCell ref="BN26:BR26"/>
    <mergeCell ref="BS26:CB26"/>
    <mergeCell ref="C27:E27"/>
    <mergeCell ref="F27:G27"/>
    <mergeCell ref="I27:J27"/>
    <mergeCell ref="L27:M27"/>
    <mergeCell ref="O27:S27"/>
    <mergeCell ref="U27:Z27"/>
    <mergeCell ref="AA27:AB27"/>
    <mergeCell ref="AD27:AE27"/>
    <mergeCell ref="AF27:AG27"/>
    <mergeCell ref="AI27:AL27"/>
    <mergeCell ref="AM27:AO27"/>
    <mergeCell ref="AP27:AQ27"/>
    <mergeCell ref="AS27:AT27"/>
    <mergeCell ref="AW27:BA27"/>
    <mergeCell ref="BB27:BK27"/>
    <mergeCell ref="BN27:BR27"/>
    <mergeCell ref="BS27:CB27"/>
    <mergeCell ref="B28:G28"/>
    <mergeCell ref="L28:M28"/>
    <mergeCell ref="O28:S28"/>
    <mergeCell ref="U28:Z28"/>
    <mergeCell ref="AA28:AB28"/>
    <mergeCell ref="AD28:AE28"/>
    <mergeCell ref="AF28:AG28"/>
    <mergeCell ref="AI28:AL28"/>
    <mergeCell ref="AM28:AO28"/>
    <mergeCell ref="AP28:AQ28"/>
    <mergeCell ref="AS28:AT28"/>
    <mergeCell ref="AW28:BA28"/>
    <mergeCell ref="BB28:BK28"/>
    <mergeCell ref="BN28:BR28"/>
    <mergeCell ref="BS28:CB28"/>
    <mergeCell ref="C29:E29"/>
    <mergeCell ref="F29:G29"/>
    <mergeCell ref="I29:J29"/>
    <mergeCell ref="L29:M29"/>
    <mergeCell ref="O29:S29"/>
    <mergeCell ref="U29:Z29"/>
    <mergeCell ref="AA29:AB29"/>
    <mergeCell ref="AD29:AE29"/>
    <mergeCell ref="AF29:AG29"/>
    <mergeCell ref="AI29:AL29"/>
    <mergeCell ref="AM29:AO29"/>
    <mergeCell ref="AP29:AQ29"/>
    <mergeCell ref="AS29:AT29"/>
    <mergeCell ref="AW29:BA29"/>
    <mergeCell ref="BB29:BK29"/>
    <mergeCell ref="BN29:BR29"/>
    <mergeCell ref="BS29:CB29"/>
    <mergeCell ref="C30:E30"/>
    <mergeCell ref="F30:G30"/>
    <mergeCell ref="I30:J30"/>
    <mergeCell ref="L30:M30"/>
    <mergeCell ref="O30:R30"/>
    <mergeCell ref="S30:U30"/>
    <mergeCell ref="V30:Z30"/>
    <mergeCell ref="AA30:AB30"/>
    <mergeCell ref="AD30:AS30"/>
    <mergeCell ref="BN30:BR30"/>
    <mergeCell ref="BS30:CB30"/>
    <mergeCell ref="C31:E31"/>
    <mergeCell ref="F31:G31"/>
    <mergeCell ref="I31:J31"/>
    <mergeCell ref="L31:M31"/>
    <mergeCell ref="O31:S31"/>
    <mergeCell ref="U31:Z31"/>
    <mergeCell ref="AA31:AB31"/>
    <mergeCell ref="AD31:AS31"/>
    <mergeCell ref="AV31:BK31"/>
    <mergeCell ref="BN31:BR31"/>
    <mergeCell ref="BS31:CB31"/>
    <mergeCell ref="C32:E32"/>
    <mergeCell ref="F32:G32"/>
    <mergeCell ref="I32:J32"/>
    <mergeCell ref="L32:M32"/>
    <mergeCell ref="O32:S32"/>
    <mergeCell ref="U32:Z32"/>
    <mergeCell ref="AA32:AB32"/>
    <mergeCell ref="AD32:AH32"/>
    <mergeCell ref="AQ32:AS32"/>
    <mergeCell ref="AV32:AY32"/>
    <mergeCell ref="AZ32:BK32"/>
    <mergeCell ref="BN32:BR32"/>
    <mergeCell ref="BS32:CB32"/>
    <mergeCell ref="C33:E33"/>
    <mergeCell ref="F33:G33"/>
    <mergeCell ref="I33:J33"/>
    <mergeCell ref="L33:M33"/>
    <mergeCell ref="O33:S33"/>
    <mergeCell ref="U33:Z33"/>
    <mergeCell ref="AA33:AB33"/>
    <mergeCell ref="AD33:AH33"/>
    <mergeCell ref="AJ33:AK33"/>
    <mergeCell ref="AM33:AP33"/>
    <mergeCell ref="AQ33:AS33"/>
    <mergeCell ref="AV33:AY33"/>
    <mergeCell ref="AZ33:BK33"/>
    <mergeCell ref="B34:G34"/>
    <mergeCell ref="L34:M34"/>
    <mergeCell ref="O34:S34"/>
    <mergeCell ref="U34:Z34"/>
    <mergeCell ref="AA34:AB34"/>
    <mergeCell ref="AD34:AH34"/>
    <mergeCell ref="AJ34:AK34"/>
    <mergeCell ref="AM34:AP34"/>
    <mergeCell ref="AQ34:AS34"/>
    <mergeCell ref="AV34:BK34"/>
    <mergeCell ref="BM34:CB34"/>
    <mergeCell ref="C35:E35"/>
    <mergeCell ref="F35:G35"/>
    <mergeCell ref="I35:J35"/>
    <mergeCell ref="L35:M35"/>
    <mergeCell ref="O35:S35"/>
    <mergeCell ref="U35:Z35"/>
    <mergeCell ref="AA35:AB35"/>
    <mergeCell ref="AD35:AH35"/>
    <mergeCell ref="AI35:AK35"/>
    <mergeCell ref="AM35:AN35"/>
    <mergeCell ref="AO35:AS35"/>
    <mergeCell ref="AV35:AY35"/>
    <mergeCell ref="AZ35:BK35"/>
    <mergeCell ref="C36:E36"/>
    <mergeCell ref="F36:G36"/>
    <mergeCell ref="I36:J36"/>
    <mergeCell ref="L36:M36"/>
    <mergeCell ref="O36:S36"/>
    <mergeCell ref="U36:Z36"/>
    <mergeCell ref="AA36:AB36"/>
    <mergeCell ref="AD36:AH36"/>
    <mergeCell ref="AI36:AK36"/>
    <mergeCell ref="AM36:AN36"/>
    <mergeCell ref="AO36:AP36"/>
    <mergeCell ref="AR36:AS36"/>
    <mergeCell ref="AV36:AY36"/>
    <mergeCell ref="AZ36:BK36"/>
    <mergeCell ref="C37:E37"/>
    <mergeCell ref="F37:G37"/>
    <mergeCell ref="I37:J37"/>
    <mergeCell ref="L37:M37"/>
    <mergeCell ref="O37:S37"/>
    <mergeCell ref="U37:Z37"/>
    <mergeCell ref="AA37:AB37"/>
    <mergeCell ref="AM37:AN37"/>
    <mergeCell ref="AO37:AP37"/>
    <mergeCell ref="AR37:AS37"/>
    <mergeCell ref="AV37:AY37"/>
    <mergeCell ref="AZ37:BB37"/>
    <mergeCell ref="BC37:BD37"/>
    <mergeCell ref="BE37:BK37"/>
    <mergeCell ref="C38:E38"/>
    <mergeCell ref="F38:G38"/>
    <mergeCell ref="I38:J38"/>
    <mergeCell ref="L38:M38"/>
    <mergeCell ref="O38:S38"/>
    <mergeCell ref="U38:Z38"/>
    <mergeCell ref="AA38:AB38"/>
    <mergeCell ref="AM38:AN38"/>
    <mergeCell ref="AO38:AP38"/>
    <mergeCell ref="AR38:AS38"/>
    <mergeCell ref="AV38:AY38"/>
    <mergeCell ref="AZ38:BB38"/>
    <mergeCell ref="BC38:BD38"/>
    <mergeCell ref="BE38:BK38"/>
    <mergeCell ref="C39:E39"/>
    <mergeCell ref="F39:G39"/>
    <mergeCell ref="I39:J39"/>
    <mergeCell ref="L39:M39"/>
    <mergeCell ref="O39:S39"/>
    <mergeCell ref="U39:Z39"/>
    <mergeCell ref="AA39:AB39"/>
    <mergeCell ref="AD39:AH39"/>
    <mergeCell ref="AI39:AK39"/>
    <mergeCell ref="AM39:AN39"/>
    <mergeCell ref="AO39:AP39"/>
    <mergeCell ref="AR39:AS39"/>
    <mergeCell ref="AV39:AY39"/>
    <mergeCell ref="AZ39:BK39"/>
    <mergeCell ref="B40:G40"/>
    <mergeCell ref="L40:M40"/>
    <mergeCell ref="O40:S40"/>
    <mergeCell ref="U40:Z40"/>
    <mergeCell ref="AA40:AB40"/>
    <mergeCell ref="AD40:AF40"/>
    <mergeCell ref="AG40:AK40"/>
    <mergeCell ref="AM40:AN40"/>
    <mergeCell ref="AO40:AP40"/>
    <mergeCell ref="AR40:AS40"/>
    <mergeCell ref="AV40:AY40"/>
    <mergeCell ref="AZ40:BK40"/>
    <mergeCell ref="C41:E41"/>
    <mergeCell ref="F41:G41"/>
    <mergeCell ref="I41:J41"/>
    <mergeCell ref="L41:N41"/>
    <mergeCell ref="O41:Q41"/>
    <mergeCell ref="R41:T41"/>
    <mergeCell ref="U41:V41"/>
    <mergeCell ref="W41:Y41"/>
    <mergeCell ref="Z41:AB41"/>
    <mergeCell ref="AD41:AF41"/>
    <mergeCell ref="AG41:AK41"/>
    <mergeCell ref="AM41:AN41"/>
    <mergeCell ref="AO41:AP41"/>
    <mergeCell ref="AR41:AS41"/>
    <mergeCell ref="AV41:AY41"/>
    <mergeCell ref="AZ41:BK41"/>
    <mergeCell ref="C42:E42"/>
    <mergeCell ref="F42:G42"/>
    <mergeCell ref="I42:J42"/>
    <mergeCell ref="L42:N42"/>
    <mergeCell ref="O42:Q42"/>
    <mergeCell ref="R42:T42"/>
    <mergeCell ref="U42:V42"/>
    <mergeCell ref="Z42:AB42"/>
    <mergeCell ref="AD42:AF42"/>
    <mergeCell ref="AG42:AK42"/>
    <mergeCell ref="AM42:AN42"/>
    <mergeCell ref="AO42:AP42"/>
    <mergeCell ref="AR42:AS42"/>
    <mergeCell ref="AV42:AY42"/>
    <mergeCell ref="AZ42:BK42"/>
    <mergeCell ref="C43:E43"/>
    <mergeCell ref="F43:G43"/>
    <mergeCell ref="I43:J43"/>
    <mergeCell ref="L43:N43"/>
    <mergeCell ref="O43:Q43"/>
    <mergeCell ref="R43:T43"/>
    <mergeCell ref="U43:V43"/>
    <mergeCell ref="Z43:AB43"/>
    <mergeCell ref="AD43:AF43"/>
    <mergeCell ref="AG43:AK43"/>
    <mergeCell ref="AM43:AN43"/>
    <mergeCell ref="AO43:AP43"/>
    <mergeCell ref="AR43:AS43"/>
    <mergeCell ref="AV43:AY43"/>
    <mergeCell ref="AZ43:BK43"/>
    <mergeCell ref="C44:E44"/>
    <mergeCell ref="F44:G44"/>
    <mergeCell ref="I44:J44"/>
    <mergeCell ref="L44:N44"/>
    <mergeCell ref="O44:Q44"/>
    <mergeCell ref="R44:T44"/>
    <mergeCell ref="U44:V44"/>
    <mergeCell ref="Z44:AB44"/>
    <mergeCell ref="AD44:AF44"/>
    <mergeCell ref="AG44:AK44"/>
    <mergeCell ref="AM44:AN44"/>
    <mergeCell ref="AO44:AP44"/>
    <mergeCell ref="AR44:AS44"/>
    <mergeCell ref="AV44:AY44"/>
    <mergeCell ref="AZ44:BK44"/>
    <mergeCell ref="C45:E45"/>
    <mergeCell ref="F45:G45"/>
    <mergeCell ref="I45:J45"/>
    <mergeCell ref="AM45:AN45"/>
    <mergeCell ref="AO45:AP45"/>
    <mergeCell ref="AR45:AS45"/>
    <mergeCell ref="C46:E46"/>
    <mergeCell ref="F46:G46"/>
    <mergeCell ref="I46:J46"/>
    <mergeCell ref="AE46:AF46"/>
    <mergeCell ref="AG46:AK46"/>
    <mergeCell ref="AM46:AN46"/>
    <mergeCell ref="AO46:AP46"/>
    <mergeCell ref="AR46:AS46"/>
    <mergeCell ref="C47:E47"/>
    <mergeCell ref="F47:G47"/>
    <mergeCell ref="I47:J47"/>
    <mergeCell ref="AA47:AC47"/>
    <mergeCell ref="AE47:AF47"/>
    <mergeCell ref="AG47:AK47"/>
    <mergeCell ref="AM47:AN47"/>
    <mergeCell ref="AO47:AP47"/>
    <mergeCell ref="AR47:AS47"/>
    <mergeCell ref="B8:B9"/>
    <mergeCell ref="B10:B11"/>
    <mergeCell ref="B12:B13"/>
    <mergeCell ref="B14:B15"/>
    <mergeCell ref="B16:B17"/>
    <mergeCell ref="B18:B19"/>
    <mergeCell ref="R8:R9"/>
    <mergeCell ref="R10:R11"/>
    <mergeCell ref="R14:R15"/>
    <mergeCell ref="U16:U17"/>
    <mergeCell ref="AB8:AB9"/>
    <mergeCell ref="AH3:AS19"/>
    <mergeCell ref="C8:D9"/>
    <mergeCell ref="E8:F9"/>
    <mergeCell ref="G8:H9"/>
    <mergeCell ref="I8:J9"/>
    <mergeCell ref="K8:L9"/>
    <mergeCell ref="S8:T9"/>
    <mergeCell ref="N8:O9"/>
    <mergeCell ref="P8:Q9"/>
    <mergeCell ref="V8:X9"/>
    <mergeCell ref="Y8:AA9"/>
    <mergeCell ref="AC8:AF9"/>
    <mergeCell ref="C10:D11"/>
    <mergeCell ref="E10:F11"/>
    <mergeCell ref="G10:H11"/>
    <mergeCell ref="I10:J11"/>
    <mergeCell ref="K10:L11"/>
    <mergeCell ref="S10:T11"/>
    <mergeCell ref="N10:O11"/>
    <mergeCell ref="P10:Q11"/>
    <mergeCell ref="C12:D13"/>
    <mergeCell ref="E12:F13"/>
    <mergeCell ref="G12:H13"/>
    <mergeCell ref="I12:J13"/>
    <mergeCell ref="K12:L13"/>
    <mergeCell ref="C14:D15"/>
    <mergeCell ref="E14:F15"/>
    <mergeCell ref="G14:H15"/>
    <mergeCell ref="I14:J15"/>
    <mergeCell ref="K14:L15"/>
    <mergeCell ref="S14:T15"/>
    <mergeCell ref="N14:O15"/>
    <mergeCell ref="P14:Q15"/>
    <mergeCell ref="V14:W15"/>
    <mergeCell ref="X14:Y15"/>
    <mergeCell ref="AA14:AC15"/>
    <mergeCell ref="AD14:AF15"/>
    <mergeCell ref="C16:D17"/>
    <mergeCell ref="E16:F17"/>
    <mergeCell ref="G16:H17"/>
    <mergeCell ref="I16:J17"/>
    <mergeCell ref="K16:L17"/>
    <mergeCell ref="C18:D19"/>
    <mergeCell ref="E18:F19"/>
    <mergeCell ref="G18:H19"/>
    <mergeCell ref="I18:J19"/>
    <mergeCell ref="K18:L19"/>
    <mergeCell ref="BM35:CB44"/>
    <mergeCell ref="AD37:AH38"/>
    <mergeCell ref="AI37:AK38"/>
    <mergeCell ref="W42:Y44"/>
  </mergeCells>
  <conditionalFormatting sqref="P5:R5">
    <cfRule type="expression" dxfId="0" priority="2">
      <formula>OR(ISTEXT(S5),ISNUMBER(W5))</formula>
    </cfRule>
  </conditionalFormatting>
  <conditionalFormatting sqref="S5:V5">
    <cfRule type="expression" dxfId="0" priority="3">
      <formula>OR(ISTEXT(S5),ISNUMBER(W5))</formula>
    </cfRule>
  </conditionalFormatting>
  <conditionalFormatting sqref="W5:X5">
    <cfRule type="expression" dxfId="0" priority="4">
      <formula>OR(ISTEXT(S5),ISNUMBER(W5))</formula>
    </cfRule>
  </conditionalFormatting>
  <conditionalFormatting sqref="C8:D19">
    <cfRule type="expression" dxfId="1" priority="5">
      <formula>IF(B8="O",1,0)</formula>
    </cfRule>
  </conditionalFormatting>
  <conditionalFormatting sqref="C23 C25:E27 C29:E33 C35:E39 C41:E44">
    <cfRule type="expression" dxfId="1" priority="6">
      <formula>IF(B23="❂",1,0)</formula>
    </cfRule>
    <cfRule type="expression" dxfId="1" priority="7">
      <formula>IF(B23="O",1,0)</formula>
    </cfRule>
  </conditionalFormatting>
  <pageMargins left="0.699305555555556" right="0.699305555555556" top="0.75" bottom="0.75" header="0.511811023622047" footer="0.511811023622047"/>
  <pageSetup paperSize="9" orientation="portrait"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BY100"/>
  <sheetViews>
    <sheetView workbookViewId="0">
      <selection activeCell="B5" sqref="B5:H5"/>
    </sheetView>
  </sheetViews>
  <sheetFormatPr defaultColWidth="8.99090909090909" defaultRowHeight="14"/>
  <cols>
    <col min="1" max="8" width="2.38181818181818" style="132" customWidth="1"/>
    <col min="9" max="18" width="5.73636363636364" style="132" customWidth="1"/>
    <col min="19" max="31" width="2.38181818181818" style="132" customWidth="1"/>
    <col min="32" max="41" width="5.73636363636364" style="132" customWidth="1"/>
    <col min="42" max="49" width="2.38181818181818" style="132" customWidth="1"/>
    <col min="50" max="51" width="2.38181818181818" style="132" hidden="1" customWidth="1"/>
    <col min="52" max="57" width="2.38181818181818" style="132" customWidth="1"/>
    <col min="58" max="58" width="2.38181818181818" style="132" hidden="1" customWidth="1"/>
    <col min="59" max="104" width="2.38181818181818" style="132" customWidth="1"/>
    <col min="105" max="16384" width="8.99090909090909" style="132"/>
  </cols>
  <sheetData>
    <row r="1" ht="16.5" customHeight="1" spans="1:77">
      <c r="A1" s="201" t="s">
        <v>200</v>
      </c>
      <c r="B1" s="201"/>
      <c r="C1" s="201"/>
      <c r="D1" s="201"/>
      <c r="E1" s="201"/>
      <c r="F1" s="201"/>
      <c r="G1" s="201"/>
      <c r="H1" s="201"/>
      <c r="I1" s="201"/>
      <c r="J1" s="201"/>
      <c r="K1" s="201"/>
      <c r="L1" s="201"/>
      <c r="M1" s="201"/>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25"/>
      <c r="AW1" s="225"/>
      <c r="AX1" s="225"/>
      <c r="AY1" s="225"/>
      <c r="AZ1" s="225"/>
      <c r="BA1" s="225"/>
      <c r="BB1" s="225"/>
      <c r="BC1" s="225"/>
      <c r="BD1" s="225"/>
      <c r="BE1" s="225"/>
      <c r="BF1" s="225"/>
      <c r="BG1" s="225"/>
      <c r="BH1" s="225"/>
      <c r="BI1" s="225"/>
      <c r="BJ1" s="225"/>
      <c r="BK1" s="225"/>
      <c r="BL1" s="225"/>
      <c r="BM1" s="225"/>
      <c r="BN1" s="225"/>
      <c r="BO1" s="225"/>
      <c r="BP1" s="225"/>
      <c r="BQ1" s="225"/>
      <c r="BR1" s="225"/>
      <c r="BS1" s="225"/>
      <c r="BT1" s="225"/>
      <c r="BU1" s="225"/>
      <c r="BV1" s="225"/>
      <c r="BW1" s="225"/>
      <c r="BX1" s="225"/>
      <c r="BY1" s="225"/>
    </row>
    <row r="2" ht="16.5" customHeight="1" spans="1:77">
      <c r="A2" s="202"/>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25"/>
      <c r="AW2" s="225"/>
      <c r="AX2" s="225"/>
      <c r="AY2" s="225"/>
      <c r="AZ2" s="225"/>
      <c r="BA2" s="225"/>
      <c r="BB2" s="225"/>
      <c r="BC2" s="225"/>
      <c r="BD2" s="225"/>
      <c r="BE2" s="225"/>
      <c r="BF2" s="225"/>
      <c r="BG2" s="225"/>
      <c r="BH2" s="225"/>
      <c r="BI2" s="225"/>
      <c r="BJ2" s="225"/>
      <c r="BK2" s="225"/>
      <c r="BL2" s="225"/>
      <c r="BM2" s="225"/>
      <c r="BN2" s="225"/>
      <c r="BO2" s="225"/>
      <c r="BP2" s="225"/>
      <c r="BQ2" s="225"/>
      <c r="BR2" s="225"/>
      <c r="BS2" s="225"/>
      <c r="BT2" s="225"/>
      <c r="BU2" s="225"/>
      <c r="BV2" s="225"/>
      <c r="BW2" s="225"/>
      <c r="BX2" s="225"/>
      <c r="BY2" s="225"/>
    </row>
    <row r="3" ht="16.5" customHeight="1" spans="1:77">
      <c r="A3" s="202"/>
      <c r="B3" s="203" t="s">
        <v>201</v>
      </c>
      <c r="C3" s="203"/>
      <c r="D3" s="203"/>
      <c r="E3" s="203"/>
      <c r="F3" s="203"/>
      <c r="G3" s="203"/>
      <c r="H3" s="203"/>
      <c r="I3" s="203"/>
      <c r="J3" s="203"/>
      <c r="K3" s="203"/>
      <c r="L3" s="203"/>
      <c r="M3" s="203"/>
      <c r="N3" s="203"/>
      <c r="O3" s="203"/>
      <c r="P3" s="203"/>
      <c r="Q3" s="203"/>
      <c r="R3" s="203"/>
      <c r="S3" s="203"/>
      <c r="T3" s="203"/>
      <c r="U3" s="203"/>
      <c r="V3" s="211">
        <f>SUM(AX16:AX25,AX5:AX14)</f>
        <v>0</v>
      </c>
      <c r="W3" s="211"/>
      <c r="X3" s="202"/>
      <c r="Y3" s="203" t="s">
        <v>202</v>
      </c>
      <c r="Z3" s="203"/>
      <c r="AA3" s="203"/>
      <c r="AB3" s="203"/>
      <c r="AC3" s="203"/>
      <c r="AD3" s="203"/>
      <c r="AE3" s="203"/>
      <c r="AF3" s="203"/>
      <c r="AG3" s="203"/>
      <c r="AH3" s="203"/>
      <c r="AI3" s="203"/>
      <c r="AJ3" s="203"/>
      <c r="AK3" s="203"/>
      <c r="AL3" s="203"/>
      <c r="AM3" s="203"/>
      <c r="AN3" s="203"/>
      <c r="AO3" s="203"/>
      <c r="AP3" s="203"/>
      <c r="AQ3" s="203"/>
      <c r="AR3" s="203"/>
      <c r="AS3" s="211">
        <f>SUM(AY5:AY14,AY16:AY25)</f>
        <v>0</v>
      </c>
      <c r="AT3" s="211"/>
      <c r="AU3" s="202"/>
      <c r="AV3" s="225"/>
      <c r="AW3" s="225"/>
      <c r="AX3" s="225"/>
      <c r="AY3" s="225"/>
      <c r="AZ3" s="225"/>
      <c r="BA3" s="225"/>
      <c r="BB3" s="225"/>
      <c r="BC3" s="225"/>
      <c r="BD3" s="225"/>
      <c r="BE3" s="225"/>
      <c r="BF3" s="225"/>
      <c r="BG3" s="225"/>
      <c r="BH3" s="225"/>
      <c r="BI3" s="225"/>
      <c r="BJ3" s="225"/>
      <c r="BK3" s="225"/>
      <c r="BL3" s="225"/>
      <c r="BM3" s="225"/>
      <c r="BN3" s="225"/>
      <c r="BO3" s="225"/>
      <c r="BP3" s="225"/>
      <c r="BQ3" s="225"/>
      <c r="BR3" s="225"/>
      <c r="BS3" s="225"/>
      <c r="BT3" s="225"/>
      <c r="BU3" s="225"/>
      <c r="BV3" s="225"/>
      <c r="BW3" s="225"/>
      <c r="BX3" s="225"/>
      <c r="BY3" s="225"/>
    </row>
    <row r="4" ht="16.5" customHeight="1" spans="1:77">
      <c r="A4" s="204"/>
      <c r="B4" s="137" t="s">
        <v>43</v>
      </c>
      <c r="C4" s="137"/>
      <c r="D4" s="137"/>
      <c r="E4" s="137"/>
      <c r="F4" s="137"/>
      <c r="G4" s="137"/>
      <c r="H4" s="137"/>
      <c r="I4" s="137" t="s">
        <v>44</v>
      </c>
      <c r="J4" s="137"/>
      <c r="K4" s="137"/>
      <c r="L4" s="137"/>
      <c r="M4" s="137"/>
      <c r="N4" s="137"/>
      <c r="O4" s="137"/>
      <c r="P4" s="137"/>
      <c r="Q4" s="137"/>
      <c r="R4" s="137"/>
      <c r="S4" s="137" t="s">
        <v>203</v>
      </c>
      <c r="T4" s="137"/>
      <c r="U4" s="204"/>
      <c r="V4" s="137" t="s">
        <v>204</v>
      </c>
      <c r="W4" s="137"/>
      <c r="X4" s="204"/>
      <c r="Y4" s="137" t="s">
        <v>43</v>
      </c>
      <c r="Z4" s="137"/>
      <c r="AA4" s="137"/>
      <c r="AB4" s="137"/>
      <c r="AC4" s="137"/>
      <c r="AD4" s="137"/>
      <c r="AE4" s="137"/>
      <c r="AF4" s="137" t="s">
        <v>44</v>
      </c>
      <c r="AG4" s="137"/>
      <c r="AH4" s="137"/>
      <c r="AI4" s="137"/>
      <c r="AJ4" s="137"/>
      <c r="AK4" s="137"/>
      <c r="AL4" s="137"/>
      <c r="AM4" s="137"/>
      <c r="AN4" s="137"/>
      <c r="AO4" s="137"/>
      <c r="AP4" s="137" t="s">
        <v>203</v>
      </c>
      <c r="AQ4" s="137"/>
      <c r="AR4" s="204"/>
      <c r="AS4" s="137" t="s">
        <v>204</v>
      </c>
      <c r="AT4" s="137"/>
      <c r="AU4" s="204"/>
      <c r="AV4" s="225"/>
      <c r="AW4" s="225"/>
      <c r="AX4" s="225"/>
      <c r="AY4" s="225"/>
      <c r="AZ4" s="225"/>
      <c r="BA4" s="225"/>
      <c r="BB4" s="225"/>
      <c r="BC4" s="225"/>
      <c r="BD4" s="225"/>
      <c r="BE4" s="225"/>
      <c r="BF4" s="225"/>
      <c r="BG4" s="225"/>
      <c r="BH4" s="225"/>
      <c r="BI4" s="225"/>
      <c r="BJ4" s="225"/>
      <c r="BK4" s="225"/>
      <c r="BL4" s="225"/>
      <c r="BM4" s="225"/>
      <c r="BN4" s="225"/>
      <c r="BO4" s="225"/>
      <c r="BP4" s="225"/>
      <c r="BQ4" s="225"/>
      <c r="BR4" s="225"/>
      <c r="BS4" s="225"/>
      <c r="BT4" s="225"/>
      <c r="BU4" s="225"/>
      <c r="BV4" s="225"/>
      <c r="BW4" s="225"/>
      <c r="BX4" s="225"/>
      <c r="BY4" s="225"/>
    </row>
    <row r="5" ht="16.5" customHeight="1" spans="1:77">
      <c r="A5" s="202"/>
      <c r="B5" s="147"/>
      <c r="C5" s="147"/>
      <c r="D5" s="147"/>
      <c r="E5" s="147"/>
      <c r="F5" s="147"/>
      <c r="G5" s="147"/>
      <c r="H5" s="147"/>
      <c r="I5" s="147"/>
      <c r="J5" s="147"/>
      <c r="K5" s="147"/>
      <c r="L5" s="147"/>
      <c r="M5" s="147"/>
      <c r="N5" s="147"/>
      <c r="O5" s="147"/>
      <c r="P5" s="147"/>
      <c r="Q5" s="147"/>
      <c r="R5" s="147"/>
      <c r="S5" s="212">
        <f>图表!AE145</f>
        <v>0</v>
      </c>
      <c r="T5" s="212"/>
      <c r="U5" s="202" t="s">
        <v>205</v>
      </c>
      <c r="V5" s="147"/>
      <c r="W5" s="147"/>
      <c r="X5" s="202"/>
      <c r="Y5" s="147"/>
      <c r="Z5" s="147"/>
      <c r="AA5" s="147"/>
      <c r="AB5" s="147"/>
      <c r="AC5" s="147"/>
      <c r="AD5" s="147"/>
      <c r="AE5" s="147"/>
      <c r="AF5" s="147"/>
      <c r="AG5" s="147"/>
      <c r="AH5" s="147"/>
      <c r="AI5" s="147"/>
      <c r="AJ5" s="147"/>
      <c r="AK5" s="147"/>
      <c r="AL5" s="147"/>
      <c r="AM5" s="147"/>
      <c r="AN5" s="147"/>
      <c r="AO5" s="147"/>
      <c r="AP5" s="218"/>
      <c r="AQ5" s="218"/>
      <c r="AR5" s="202" t="s">
        <v>205</v>
      </c>
      <c r="AS5" s="147"/>
      <c r="AT5" s="147"/>
      <c r="AU5" s="202"/>
      <c r="AV5" s="225"/>
      <c r="AW5" s="225"/>
      <c r="AX5" s="225">
        <f t="shared" ref="AX5:AX14" si="0">S5*V5</f>
        <v>0</v>
      </c>
      <c r="AY5" s="225">
        <f t="shared" ref="AY5:AY14" si="1">AP5*AS5</f>
        <v>0</v>
      </c>
      <c r="AZ5" s="225"/>
      <c r="BA5" s="225"/>
      <c r="BB5" s="225"/>
      <c r="BC5" s="225"/>
      <c r="BD5" s="225"/>
      <c r="BE5" s="225"/>
      <c r="BF5" s="225"/>
      <c r="BG5" s="225"/>
      <c r="BH5" s="225"/>
      <c r="BI5" s="225"/>
      <c r="BJ5" s="225"/>
      <c r="BK5" s="225"/>
      <c r="BL5" s="225"/>
      <c r="BM5" s="225"/>
      <c r="BN5" s="225"/>
      <c r="BO5" s="225"/>
      <c r="BP5" s="225"/>
      <c r="BQ5" s="225"/>
      <c r="BR5" s="225"/>
      <c r="BS5" s="225"/>
      <c r="BT5" s="225"/>
      <c r="BU5" s="225"/>
      <c r="BV5" s="225"/>
      <c r="BW5" s="225"/>
      <c r="BX5" s="225"/>
      <c r="BY5" s="225"/>
    </row>
    <row r="6" ht="16.5" customHeight="1" spans="1:77">
      <c r="A6" s="202"/>
      <c r="B6" s="150"/>
      <c r="C6" s="150"/>
      <c r="D6" s="150"/>
      <c r="E6" s="150"/>
      <c r="F6" s="150"/>
      <c r="G6" s="150"/>
      <c r="H6" s="150"/>
      <c r="I6" s="150"/>
      <c r="J6" s="150"/>
      <c r="K6" s="150"/>
      <c r="L6" s="150"/>
      <c r="M6" s="150"/>
      <c r="N6" s="150"/>
      <c r="O6" s="150"/>
      <c r="P6" s="150"/>
      <c r="Q6" s="150"/>
      <c r="R6" s="150"/>
      <c r="S6" s="213">
        <f>图表!AE146</f>
        <v>0</v>
      </c>
      <c r="T6" s="213"/>
      <c r="U6" s="202" t="s">
        <v>205</v>
      </c>
      <c r="V6" s="150"/>
      <c r="W6" s="150"/>
      <c r="X6" s="202"/>
      <c r="Y6" s="150"/>
      <c r="Z6" s="150"/>
      <c r="AA6" s="150"/>
      <c r="AB6" s="150"/>
      <c r="AC6" s="150"/>
      <c r="AD6" s="150"/>
      <c r="AE6" s="150"/>
      <c r="AF6" s="150"/>
      <c r="AG6" s="150"/>
      <c r="AH6" s="150"/>
      <c r="AI6" s="150"/>
      <c r="AJ6" s="150"/>
      <c r="AK6" s="150"/>
      <c r="AL6" s="150"/>
      <c r="AM6" s="150"/>
      <c r="AN6" s="150"/>
      <c r="AO6" s="150"/>
      <c r="AP6" s="219"/>
      <c r="AQ6" s="219"/>
      <c r="AR6" s="202" t="s">
        <v>205</v>
      </c>
      <c r="AS6" s="150"/>
      <c r="AT6" s="150"/>
      <c r="AU6" s="202"/>
      <c r="AV6" s="225"/>
      <c r="AW6" s="225"/>
      <c r="AX6" s="225">
        <f t="shared" si="0"/>
        <v>0</v>
      </c>
      <c r="AY6" s="225">
        <f t="shared" si="1"/>
        <v>0</v>
      </c>
      <c r="AZ6" s="225"/>
      <c r="BA6" s="225"/>
      <c r="BB6" s="225"/>
      <c r="BC6" s="225"/>
      <c r="BD6" s="225"/>
      <c r="BE6" s="225"/>
      <c r="BF6" s="225"/>
      <c r="BG6" s="225"/>
      <c r="BH6" s="225"/>
      <c r="BI6" s="225"/>
      <c r="BJ6" s="225"/>
      <c r="BK6" s="225"/>
      <c r="BL6" s="225"/>
      <c r="BM6" s="225"/>
      <c r="BN6" s="225"/>
      <c r="BO6" s="225"/>
      <c r="BP6" s="225"/>
      <c r="BQ6" s="225"/>
      <c r="BR6" s="225"/>
      <c r="BS6" s="225"/>
      <c r="BT6" s="225"/>
      <c r="BU6" s="225"/>
      <c r="BV6" s="225"/>
      <c r="BW6" s="225"/>
      <c r="BX6" s="225"/>
      <c r="BY6" s="225"/>
    </row>
    <row r="7" ht="16.5" customHeight="1" spans="1:77">
      <c r="A7" s="202"/>
      <c r="B7" s="147"/>
      <c r="C7" s="147"/>
      <c r="D7" s="147"/>
      <c r="E7" s="147"/>
      <c r="F7" s="147"/>
      <c r="G7" s="147"/>
      <c r="H7" s="147"/>
      <c r="I7" s="147"/>
      <c r="J7" s="147"/>
      <c r="K7" s="147"/>
      <c r="L7" s="147"/>
      <c r="M7" s="147"/>
      <c r="N7" s="147"/>
      <c r="O7" s="147"/>
      <c r="P7" s="147"/>
      <c r="Q7" s="147"/>
      <c r="R7" s="147"/>
      <c r="S7" s="212">
        <f>图表!AE147</f>
        <v>0</v>
      </c>
      <c r="T7" s="212"/>
      <c r="U7" s="202" t="s">
        <v>205</v>
      </c>
      <c r="V7" s="147"/>
      <c r="W7" s="147"/>
      <c r="X7" s="202"/>
      <c r="Y7" s="147"/>
      <c r="Z7" s="147"/>
      <c r="AA7" s="147"/>
      <c r="AB7" s="147"/>
      <c r="AC7" s="147"/>
      <c r="AD7" s="147"/>
      <c r="AE7" s="147"/>
      <c r="AF7" s="147"/>
      <c r="AG7" s="147"/>
      <c r="AH7" s="147"/>
      <c r="AI7" s="147"/>
      <c r="AJ7" s="147"/>
      <c r="AK7" s="147"/>
      <c r="AL7" s="147"/>
      <c r="AM7" s="147"/>
      <c r="AN7" s="147"/>
      <c r="AO7" s="147"/>
      <c r="AP7" s="218"/>
      <c r="AQ7" s="218"/>
      <c r="AR7" s="202" t="s">
        <v>205</v>
      </c>
      <c r="AS7" s="147"/>
      <c r="AT7" s="147"/>
      <c r="AU7" s="202"/>
      <c r="AV7" s="225"/>
      <c r="AW7" s="225"/>
      <c r="AX7" s="225">
        <f t="shared" si="0"/>
        <v>0</v>
      </c>
      <c r="AY7" s="225">
        <f t="shared" si="1"/>
        <v>0</v>
      </c>
      <c r="AZ7" s="225"/>
      <c r="BA7" s="225"/>
      <c r="BB7" s="225"/>
      <c r="BC7" s="225"/>
      <c r="BD7" s="225"/>
      <c r="BE7" s="225"/>
      <c r="BF7" s="225"/>
      <c r="BG7" s="225"/>
      <c r="BH7" s="225"/>
      <c r="BI7" s="225"/>
      <c r="BJ7" s="225"/>
      <c r="BK7" s="225"/>
      <c r="BL7" s="225"/>
      <c r="BM7" s="225"/>
      <c r="BN7" s="225"/>
      <c r="BO7" s="225"/>
      <c r="BP7" s="225"/>
      <c r="BQ7" s="225"/>
      <c r="BR7" s="225"/>
      <c r="BS7" s="225"/>
      <c r="BT7" s="225"/>
      <c r="BU7" s="225"/>
      <c r="BV7" s="225"/>
      <c r="BW7" s="225"/>
      <c r="BX7" s="225"/>
      <c r="BY7" s="225"/>
    </row>
    <row r="8" ht="16.5" customHeight="1" spans="1:77">
      <c r="A8" s="202"/>
      <c r="B8" s="150"/>
      <c r="C8" s="150"/>
      <c r="D8" s="150"/>
      <c r="E8" s="150"/>
      <c r="F8" s="150"/>
      <c r="G8" s="150"/>
      <c r="H8" s="150"/>
      <c r="I8" s="150"/>
      <c r="J8" s="150"/>
      <c r="K8" s="150"/>
      <c r="L8" s="150"/>
      <c r="M8" s="150"/>
      <c r="N8" s="150"/>
      <c r="O8" s="150"/>
      <c r="P8" s="150"/>
      <c r="Q8" s="150"/>
      <c r="R8" s="150"/>
      <c r="S8" s="213">
        <f>图表!AE148</f>
        <v>0</v>
      </c>
      <c r="T8" s="213"/>
      <c r="U8" s="202" t="s">
        <v>205</v>
      </c>
      <c r="V8" s="150"/>
      <c r="W8" s="150"/>
      <c r="X8" s="202"/>
      <c r="Y8" s="150"/>
      <c r="Z8" s="150"/>
      <c r="AA8" s="150"/>
      <c r="AB8" s="150"/>
      <c r="AC8" s="150"/>
      <c r="AD8" s="150"/>
      <c r="AE8" s="150"/>
      <c r="AF8" s="150"/>
      <c r="AG8" s="150"/>
      <c r="AH8" s="150"/>
      <c r="AI8" s="150"/>
      <c r="AJ8" s="150"/>
      <c r="AK8" s="150"/>
      <c r="AL8" s="150"/>
      <c r="AM8" s="150"/>
      <c r="AN8" s="150"/>
      <c r="AO8" s="150"/>
      <c r="AP8" s="219"/>
      <c r="AQ8" s="219"/>
      <c r="AR8" s="202" t="s">
        <v>205</v>
      </c>
      <c r="AS8" s="150"/>
      <c r="AT8" s="150"/>
      <c r="AU8" s="202"/>
      <c r="AV8" s="225"/>
      <c r="AW8" s="225"/>
      <c r="AX8" s="225">
        <f t="shared" si="0"/>
        <v>0</v>
      </c>
      <c r="AY8" s="225">
        <f t="shared" si="1"/>
        <v>0</v>
      </c>
      <c r="AZ8" s="225"/>
      <c r="BA8" s="225"/>
      <c r="BB8" s="225"/>
      <c r="BC8" s="225"/>
      <c r="BD8" s="225"/>
      <c r="BE8" s="225"/>
      <c r="BF8" s="225"/>
      <c r="BG8" s="225"/>
      <c r="BH8" s="225"/>
      <c r="BI8" s="225"/>
      <c r="BJ8" s="225"/>
      <c r="BK8" s="225"/>
      <c r="BL8" s="225"/>
      <c r="BM8" s="225"/>
      <c r="BN8" s="225"/>
      <c r="BO8" s="225"/>
      <c r="BP8" s="225"/>
      <c r="BQ8" s="225"/>
      <c r="BR8" s="225"/>
      <c r="BS8" s="225"/>
      <c r="BT8" s="225"/>
      <c r="BU8" s="225"/>
      <c r="BV8" s="225"/>
      <c r="BW8" s="225"/>
      <c r="BX8" s="225"/>
      <c r="BY8" s="225"/>
    </row>
    <row r="9" ht="16.5" customHeight="1" spans="1:77">
      <c r="A9" s="202"/>
      <c r="B9" s="147"/>
      <c r="C9" s="147"/>
      <c r="D9" s="147"/>
      <c r="E9" s="147"/>
      <c r="F9" s="147"/>
      <c r="G9" s="147"/>
      <c r="H9" s="147"/>
      <c r="I9" s="147"/>
      <c r="J9" s="147"/>
      <c r="K9" s="147"/>
      <c r="L9" s="147"/>
      <c r="M9" s="147"/>
      <c r="N9" s="147"/>
      <c r="O9" s="147"/>
      <c r="P9" s="147"/>
      <c r="Q9" s="147"/>
      <c r="R9" s="147"/>
      <c r="S9" s="212">
        <f>图表!AE149</f>
        <v>0</v>
      </c>
      <c r="T9" s="212"/>
      <c r="U9" s="202" t="s">
        <v>205</v>
      </c>
      <c r="V9" s="147"/>
      <c r="W9" s="147"/>
      <c r="X9" s="202"/>
      <c r="Y9" s="147"/>
      <c r="Z9" s="147"/>
      <c r="AA9" s="147"/>
      <c r="AB9" s="147"/>
      <c r="AC9" s="147"/>
      <c r="AD9" s="147"/>
      <c r="AE9" s="147"/>
      <c r="AF9" s="147"/>
      <c r="AG9" s="147"/>
      <c r="AH9" s="147"/>
      <c r="AI9" s="147"/>
      <c r="AJ9" s="147"/>
      <c r="AK9" s="147"/>
      <c r="AL9" s="147"/>
      <c r="AM9" s="147"/>
      <c r="AN9" s="147"/>
      <c r="AO9" s="147"/>
      <c r="AP9" s="218"/>
      <c r="AQ9" s="218"/>
      <c r="AR9" s="202" t="s">
        <v>205</v>
      </c>
      <c r="AS9" s="147"/>
      <c r="AT9" s="147"/>
      <c r="AU9" s="202"/>
      <c r="AV9" s="225"/>
      <c r="AW9" s="225"/>
      <c r="AX9" s="225">
        <f t="shared" si="0"/>
        <v>0</v>
      </c>
      <c r="AY9" s="225">
        <f t="shared" si="1"/>
        <v>0</v>
      </c>
      <c r="AZ9" s="225"/>
      <c r="BA9" s="225"/>
      <c r="BB9" s="225"/>
      <c r="BC9" s="225"/>
      <c r="BD9" s="225"/>
      <c r="BE9" s="225"/>
      <c r="BF9" s="225"/>
      <c r="BG9" s="225"/>
      <c r="BH9" s="225"/>
      <c r="BI9" s="225"/>
      <c r="BJ9" s="225"/>
      <c r="BK9" s="225"/>
      <c r="BL9" s="225"/>
      <c r="BM9" s="225"/>
      <c r="BN9" s="225"/>
      <c r="BO9" s="225"/>
      <c r="BP9" s="225"/>
      <c r="BQ9" s="225"/>
      <c r="BR9" s="225"/>
      <c r="BS9" s="225"/>
      <c r="BT9" s="225"/>
      <c r="BU9" s="225"/>
      <c r="BV9" s="225"/>
      <c r="BW9" s="225"/>
      <c r="BX9" s="225"/>
      <c r="BY9" s="225"/>
    </row>
    <row r="10" ht="16.5" customHeight="1" spans="1:77">
      <c r="A10" s="202"/>
      <c r="B10" s="150"/>
      <c r="C10" s="150"/>
      <c r="D10" s="150"/>
      <c r="E10" s="150"/>
      <c r="F10" s="150"/>
      <c r="G10" s="150"/>
      <c r="H10" s="150"/>
      <c r="I10" s="150"/>
      <c r="J10" s="150"/>
      <c r="K10" s="150"/>
      <c r="L10" s="150"/>
      <c r="M10" s="150"/>
      <c r="N10" s="150"/>
      <c r="O10" s="150"/>
      <c r="P10" s="150"/>
      <c r="Q10" s="150"/>
      <c r="R10" s="150"/>
      <c r="S10" s="213">
        <f>图表!AE150</f>
        <v>0</v>
      </c>
      <c r="T10" s="213"/>
      <c r="U10" s="202" t="s">
        <v>205</v>
      </c>
      <c r="V10" s="150"/>
      <c r="W10" s="150"/>
      <c r="X10" s="202"/>
      <c r="Y10" s="150"/>
      <c r="Z10" s="150"/>
      <c r="AA10" s="150"/>
      <c r="AB10" s="150"/>
      <c r="AC10" s="150"/>
      <c r="AD10" s="150"/>
      <c r="AE10" s="150"/>
      <c r="AF10" s="150"/>
      <c r="AG10" s="150"/>
      <c r="AH10" s="150"/>
      <c r="AI10" s="150"/>
      <c r="AJ10" s="150"/>
      <c r="AK10" s="150"/>
      <c r="AL10" s="150"/>
      <c r="AM10" s="150"/>
      <c r="AN10" s="150"/>
      <c r="AO10" s="150"/>
      <c r="AP10" s="219"/>
      <c r="AQ10" s="219"/>
      <c r="AR10" s="202" t="s">
        <v>205</v>
      </c>
      <c r="AS10" s="150"/>
      <c r="AT10" s="150"/>
      <c r="AU10" s="202"/>
      <c r="AV10" s="225"/>
      <c r="AW10" s="225"/>
      <c r="AX10" s="225">
        <f t="shared" si="0"/>
        <v>0</v>
      </c>
      <c r="AY10" s="225">
        <f t="shared" si="1"/>
        <v>0</v>
      </c>
      <c r="AZ10" s="225"/>
      <c r="BA10" s="225"/>
      <c r="BB10" s="225"/>
      <c r="BC10" s="225"/>
      <c r="BD10" s="225"/>
      <c r="BE10" s="225"/>
      <c r="BF10" s="225"/>
      <c r="BG10" s="225"/>
      <c r="BH10" s="225"/>
      <c r="BI10" s="225"/>
      <c r="BJ10" s="225"/>
      <c r="BK10" s="225"/>
      <c r="BL10" s="225"/>
      <c r="BM10" s="225"/>
      <c r="BN10" s="225"/>
      <c r="BO10" s="225"/>
      <c r="BP10" s="225"/>
      <c r="BQ10" s="225"/>
      <c r="BR10" s="225"/>
      <c r="BS10" s="225"/>
      <c r="BT10" s="225"/>
      <c r="BU10" s="225"/>
      <c r="BV10" s="225"/>
      <c r="BW10" s="225"/>
      <c r="BX10" s="225"/>
      <c r="BY10" s="225"/>
    </row>
    <row r="11" ht="16.5" customHeight="1" spans="1:77">
      <c r="A11" s="202"/>
      <c r="B11" s="147"/>
      <c r="C11" s="147"/>
      <c r="D11" s="147"/>
      <c r="E11" s="147"/>
      <c r="F11" s="147"/>
      <c r="G11" s="147"/>
      <c r="H11" s="147"/>
      <c r="I11" s="147"/>
      <c r="J11" s="147"/>
      <c r="K11" s="147"/>
      <c r="L11" s="147"/>
      <c r="M11" s="147"/>
      <c r="N11" s="147"/>
      <c r="O11" s="147"/>
      <c r="P11" s="147"/>
      <c r="Q11" s="147"/>
      <c r="R11" s="147"/>
      <c r="S11" s="212">
        <f>图表!AE151</f>
        <v>0</v>
      </c>
      <c r="T11" s="212"/>
      <c r="U11" s="202" t="s">
        <v>205</v>
      </c>
      <c r="V11" s="147"/>
      <c r="W11" s="147"/>
      <c r="X11" s="202"/>
      <c r="Y11" s="147"/>
      <c r="Z11" s="147"/>
      <c r="AA11" s="147"/>
      <c r="AB11" s="147"/>
      <c r="AC11" s="147"/>
      <c r="AD11" s="147"/>
      <c r="AE11" s="147"/>
      <c r="AF11" s="147"/>
      <c r="AG11" s="147"/>
      <c r="AH11" s="147"/>
      <c r="AI11" s="147"/>
      <c r="AJ11" s="147"/>
      <c r="AK11" s="147"/>
      <c r="AL11" s="147"/>
      <c r="AM11" s="147"/>
      <c r="AN11" s="147"/>
      <c r="AO11" s="147"/>
      <c r="AP11" s="218"/>
      <c r="AQ11" s="218"/>
      <c r="AR11" s="202" t="s">
        <v>205</v>
      </c>
      <c r="AS11" s="147"/>
      <c r="AT11" s="147"/>
      <c r="AU11" s="202"/>
      <c r="AV11" s="225"/>
      <c r="AW11" s="225"/>
      <c r="AX11" s="225">
        <f t="shared" si="0"/>
        <v>0</v>
      </c>
      <c r="AY11" s="225">
        <f t="shared" si="1"/>
        <v>0</v>
      </c>
      <c r="AZ11" s="225"/>
      <c r="BA11" s="225"/>
      <c r="BB11" s="225"/>
      <c r="BC11" s="225"/>
      <c r="BD11" s="225"/>
      <c r="BE11" s="225"/>
      <c r="BF11" s="225"/>
      <c r="BG11" s="225"/>
      <c r="BH11" s="225"/>
      <c r="BI11" s="225"/>
      <c r="BJ11" s="225"/>
      <c r="BK11" s="225"/>
      <c r="BL11" s="225"/>
      <c r="BM11" s="225"/>
      <c r="BN11" s="225"/>
      <c r="BO11" s="225"/>
      <c r="BP11" s="225"/>
      <c r="BQ11" s="225"/>
      <c r="BR11" s="225"/>
      <c r="BS11" s="225"/>
      <c r="BT11" s="225"/>
      <c r="BU11" s="225"/>
      <c r="BV11" s="225"/>
      <c r="BW11" s="225"/>
      <c r="BX11" s="225"/>
      <c r="BY11" s="225"/>
    </row>
    <row r="12" ht="16.5" customHeight="1" spans="1:77">
      <c r="A12" s="202"/>
      <c r="B12" s="150"/>
      <c r="C12" s="150"/>
      <c r="D12" s="150"/>
      <c r="E12" s="150"/>
      <c r="F12" s="150"/>
      <c r="G12" s="150"/>
      <c r="H12" s="150"/>
      <c r="I12" s="150"/>
      <c r="J12" s="150"/>
      <c r="K12" s="150"/>
      <c r="L12" s="150"/>
      <c r="M12" s="150"/>
      <c r="N12" s="150"/>
      <c r="O12" s="150"/>
      <c r="P12" s="150"/>
      <c r="Q12" s="150"/>
      <c r="R12" s="150"/>
      <c r="S12" s="213">
        <f>图表!AE152</f>
        <v>0</v>
      </c>
      <c r="T12" s="213"/>
      <c r="U12" s="202" t="s">
        <v>205</v>
      </c>
      <c r="V12" s="150"/>
      <c r="W12" s="150"/>
      <c r="X12" s="202"/>
      <c r="Y12" s="150"/>
      <c r="Z12" s="150"/>
      <c r="AA12" s="150"/>
      <c r="AB12" s="150"/>
      <c r="AC12" s="150"/>
      <c r="AD12" s="150"/>
      <c r="AE12" s="150"/>
      <c r="AF12" s="150"/>
      <c r="AG12" s="150"/>
      <c r="AH12" s="150"/>
      <c r="AI12" s="150"/>
      <c r="AJ12" s="150"/>
      <c r="AK12" s="150"/>
      <c r="AL12" s="150"/>
      <c r="AM12" s="150"/>
      <c r="AN12" s="150"/>
      <c r="AO12" s="150"/>
      <c r="AP12" s="219"/>
      <c r="AQ12" s="219"/>
      <c r="AR12" s="202" t="s">
        <v>205</v>
      </c>
      <c r="AS12" s="150"/>
      <c r="AT12" s="150"/>
      <c r="AU12" s="202"/>
      <c r="AV12" s="225"/>
      <c r="AW12" s="225"/>
      <c r="AX12" s="225">
        <f t="shared" si="0"/>
        <v>0</v>
      </c>
      <c r="AY12" s="225">
        <f t="shared" si="1"/>
        <v>0</v>
      </c>
      <c r="AZ12" s="225"/>
      <c r="BA12" s="225"/>
      <c r="BB12" s="225"/>
      <c r="BC12" s="225"/>
      <c r="BD12" s="225"/>
      <c r="BE12" s="225"/>
      <c r="BF12" s="225"/>
      <c r="BG12" s="225"/>
      <c r="BH12" s="225"/>
      <c r="BI12" s="225"/>
      <c r="BJ12" s="225"/>
      <c r="BK12" s="225"/>
      <c r="BL12" s="225"/>
      <c r="BM12" s="225"/>
      <c r="BN12" s="225"/>
      <c r="BO12" s="225"/>
      <c r="BP12" s="225"/>
      <c r="BQ12" s="225"/>
      <c r="BR12" s="225"/>
      <c r="BS12" s="225"/>
      <c r="BT12" s="225"/>
      <c r="BU12" s="225"/>
      <c r="BV12" s="225"/>
      <c r="BW12" s="225"/>
      <c r="BX12" s="225"/>
      <c r="BY12" s="225"/>
    </row>
    <row r="13" ht="16.5" customHeight="1" spans="1:77">
      <c r="A13" s="202"/>
      <c r="B13" s="147"/>
      <c r="C13" s="147"/>
      <c r="D13" s="147"/>
      <c r="E13" s="147"/>
      <c r="F13" s="147"/>
      <c r="G13" s="147"/>
      <c r="H13" s="147"/>
      <c r="I13" s="147"/>
      <c r="J13" s="147"/>
      <c r="K13" s="147"/>
      <c r="L13" s="147"/>
      <c r="M13" s="147"/>
      <c r="N13" s="147"/>
      <c r="O13" s="147"/>
      <c r="P13" s="147"/>
      <c r="Q13" s="147"/>
      <c r="R13" s="147"/>
      <c r="S13" s="212">
        <f>图表!AE153</f>
        <v>0</v>
      </c>
      <c r="T13" s="212"/>
      <c r="U13" s="202" t="s">
        <v>205</v>
      </c>
      <c r="V13" s="147"/>
      <c r="W13" s="147"/>
      <c r="X13" s="202"/>
      <c r="Y13" s="147"/>
      <c r="Z13" s="147"/>
      <c r="AA13" s="147"/>
      <c r="AB13" s="147"/>
      <c r="AC13" s="147"/>
      <c r="AD13" s="147"/>
      <c r="AE13" s="147"/>
      <c r="AF13" s="147"/>
      <c r="AG13" s="147"/>
      <c r="AH13" s="147"/>
      <c r="AI13" s="147"/>
      <c r="AJ13" s="147"/>
      <c r="AK13" s="147"/>
      <c r="AL13" s="147"/>
      <c r="AM13" s="147"/>
      <c r="AN13" s="147"/>
      <c r="AO13" s="147"/>
      <c r="AP13" s="218"/>
      <c r="AQ13" s="218"/>
      <c r="AR13" s="202" t="s">
        <v>205</v>
      </c>
      <c r="AS13" s="147"/>
      <c r="AT13" s="147"/>
      <c r="AU13" s="202"/>
      <c r="AV13" s="225"/>
      <c r="AW13" s="225"/>
      <c r="AX13" s="225">
        <f t="shared" si="0"/>
        <v>0</v>
      </c>
      <c r="AY13" s="225">
        <f t="shared" si="1"/>
        <v>0</v>
      </c>
      <c r="AZ13" s="225"/>
      <c r="BA13" s="225"/>
      <c r="BB13" s="225"/>
      <c r="BC13" s="225"/>
      <c r="BD13" s="225"/>
      <c r="BE13" s="225"/>
      <c r="BF13" s="225"/>
      <c r="BG13" s="225"/>
      <c r="BH13" s="225"/>
      <c r="BI13" s="225"/>
      <c r="BJ13" s="225"/>
      <c r="BK13" s="225"/>
      <c r="BL13" s="225"/>
      <c r="BM13" s="225"/>
      <c r="BN13" s="225"/>
      <c r="BO13" s="225"/>
      <c r="BP13" s="225"/>
      <c r="BQ13" s="225"/>
      <c r="BR13" s="225"/>
      <c r="BS13" s="225"/>
      <c r="BT13" s="225"/>
      <c r="BU13" s="225"/>
      <c r="BV13" s="225"/>
      <c r="BW13" s="225"/>
      <c r="BX13" s="225"/>
      <c r="BY13" s="225"/>
    </row>
    <row r="14" ht="16.5" customHeight="1" spans="1:77">
      <c r="A14" s="202"/>
      <c r="B14" s="150"/>
      <c r="C14" s="150"/>
      <c r="D14" s="150"/>
      <c r="E14" s="150"/>
      <c r="F14" s="150"/>
      <c r="G14" s="150"/>
      <c r="H14" s="150"/>
      <c r="I14" s="150"/>
      <c r="J14" s="150"/>
      <c r="K14" s="150"/>
      <c r="L14" s="150"/>
      <c r="M14" s="150"/>
      <c r="N14" s="150"/>
      <c r="O14" s="150"/>
      <c r="P14" s="150"/>
      <c r="Q14" s="150"/>
      <c r="R14" s="150"/>
      <c r="S14" s="213">
        <f>图表!AE154</f>
        <v>0</v>
      </c>
      <c r="T14" s="213"/>
      <c r="U14" s="202" t="s">
        <v>205</v>
      </c>
      <c r="V14" s="150"/>
      <c r="W14" s="150"/>
      <c r="X14" s="202"/>
      <c r="Y14" s="150"/>
      <c r="Z14" s="150"/>
      <c r="AA14" s="150"/>
      <c r="AB14" s="150"/>
      <c r="AC14" s="150"/>
      <c r="AD14" s="150"/>
      <c r="AE14" s="150"/>
      <c r="AF14" s="150"/>
      <c r="AG14" s="150"/>
      <c r="AH14" s="150"/>
      <c r="AI14" s="150"/>
      <c r="AJ14" s="150"/>
      <c r="AK14" s="150"/>
      <c r="AL14" s="150"/>
      <c r="AM14" s="150"/>
      <c r="AN14" s="150"/>
      <c r="AO14" s="150"/>
      <c r="AP14" s="219"/>
      <c r="AQ14" s="219"/>
      <c r="AR14" s="202" t="s">
        <v>205</v>
      </c>
      <c r="AS14" s="150"/>
      <c r="AT14" s="150"/>
      <c r="AU14" s="202"/>
      <c r="AV14" s="225"/>
      <c r="AW14" s="225"/>
      <c r="AX14" s="225">
        <f t="shared" si="0"/>
        <v>0</v>
      </c>
      <c r="AY14" s="225">
        <f t="shared" si="1"/>
        <v>0</v>
      </c>
      <c r="AZ14" s="225"/>
      <c r="BA14" s="225"/>
      <c r="BB14" s="225"/>
      <c r="BC14" s="225"/>
      <c r="BD14" s="225"/>
      <c r="BE14" s="225"/>
      <c r="BF14" s="225"/>
      <c r="BG14" s="225"/>
      <c r="BH14" s="225"/>
      <c r="BI14" s="225"/>
      <c r="BJ14" s="225"/>
      <c r="BK14" s="225"/>
      <c r="BL14" s="225"/>
      <c r="BM14" s="225"/>
      <c r="BN14" s="225"/>
      <c r="BO14" s="225"/>
      <c r="BP14" s="225"/>
      <c r="BQ14" s="225"/>
      <c r="BR14" s="225"/>
      <c r="BS14" s="225"/>
      <c r="BT14" s="225"/>
      <c r="BU14" s="225"/>
      <c r="BV14" s="225"/>
      <c r="BW14" s="225"/>
      <c r="BX14" s="225"/>
      <c r="BY14" s="225"/>
    </row>
    <row r="15" ht="16.5" customHeight="1" spans="1:77">
      <c r="A15" s="205"/>
      <c r="B15" s="206"/>
      <c r="C15" s="206"/>
      <c r="D15" s="206"/>
      <c r="E15" s="206"/>
      <c r="F15" s="206"/>
      <c r="G15" s="206"/>
      <c r="H15" s="206"/>
      <c r="I15" s="206"/>
      <c r="J15" s="206"/>
      <c r="K15" s="206"/>
      <c r="L15" s="206"/>
      <c r="M15" s="206"/>
      <c r="N15" s="206"/>
      <c r="O15" s="206"/>
      <c r="P15" s="206"/>
      <c r="Q15" s="206"/>
      <c r="R15" s="206"/>
      <c r="S15" s="214"/>
      <c r="T15" s="214"/>
      <c r="U15" s="215"/>
      <c r="V15" s="214"/>
      <c r="W15" s="214"/>
      <c r="X15" s="205"/>
      <c r="Y15" s="206"/>
      <c r="Z15" s="206"/>
      <c r="AA15" s="206"/>
      <c r="AB15" s="206"/>
      <c r="AC15" s="206"/>
      <c r="AD15" s="206"/>
      <c r="AE15" s="206"/>
      <c r="AF15" s="206"/>
      <c r="AG15" s="206"/>
      <c r="AH15" s="206"/>
      <c r="AI15" s="206"/>
      <c r="AJ15" s="206"/>
      <c r="AK15" s="206"/>
      <c r="AL15" s="206"/>
      <c r="AM15" s="206"/>
      <c r="AN15" s="206"/>
      <c r="AO15" s="206"/>
      <c r="AP15" s="214"/>
      <c r="AQ15" s="214"/>
      <c r="AR15" s="215"/>
      <c r="AS15" s="214"/>
      <c r="AT15" s="214"/>
      <c r="AU15" s="205"/>
      <c r="AV15" s="175"/>
      <c r="AW15" s="226"/>
      <c r="AX15" s="226"/>
      <c r="AY15" s="226"/>
      <c r="AZ15" s="226"/>
      <c r="BA15" s="226"/>
      <c r="BB15" s="226"/>
      <c r="BC15" s="226"/>
      <c r="BD15" s="226"/>
      <c r="BE15" s="226"/>
      <c r="BF15" s="226"/>
      <c r="BG15" s="226"/>
      <c r="BH15" s="226"/>
      <c r="BI15" s="226"/>
      <c r="BJ15" s="226"/>
      <c r="BK15" s="226"/>
      <c r="BL15" s="226"/>
      <c r="BM15" s="226"/>
      <c r="BN15" s="175"/>
      <c r="BO15" s="175"/>
      <c r="BP15" s="225"/>
      <c r="BQ15" s="225"/>
      <c r="BR15" s="225"/>
      <c r="BS15" s="225"/>
      <c r="BT15" s="225"/>
      <c r="BU15" s="225"/>
      <c r="BV15" s="225"/>
      <c r="BW15" s="225"/>
      <c r="BX15" s="225"/>
      <c r="BY15" s="225"/>
    </row>
    <row r="16" ht="16.5" customHeight="1" spans="1:77">
      <c r="A16" s="205"/>
      <c r="B16" s="142"/>
      <c r="C16" s="142"/>
      <c r="D16" s="142"/>
      <c r="E16" s="142"/>
      <c r="F16" s="142"/>
      <c r="G16" s="142"/>
      <c r="H16" s="142"/>
      <c r="I16" s="142"/>
      <c r="J16" s="142"/>
      <c r="K16" s="142"/>
      <c r="L16" s="142"/>
      <c r="M16" s="142"/>
      <c r="N16" s="142"/>
      <c r="O16" s="142"/>
      <c r="P16" s="142"/>
      <c r="Q16" s="142"/>
      <c r="R16" s="142"/>
      <c r="S16" s="212">
        <f>图表!AE156</f>
        <v>0</v>
      </c>
      <c r="T16" s="212"/>
      <c r="U16" s="205" t="s">
        <v>205</v>
      </c>
      <c r="V16" s="142"/>
      <c r="W16" s="142"/>
      <c r="X16" s="205"/>
      <c r="Y16" s="142"/>
      <c r="Z16" s="142"/>
      <c r="AA16" s="142"/>
      <c r="AB16" s="142"/>
      <c r="AC16" s="142"/>
      <c r="AD16" s="142"/>
      <c r="AE16" s="142"/>
      <c r="AF16" s="142"/>
      <c r="AG16" s="142"/>
      <c r="AH16" s="142"/>
      <c r="AI16" s="142"/>
      <c r="AJ16" s="142"/>
      <c r="AK16" s="142"/>
      <c r="AL16" s="142"/>
      <c r="AM16" s="142"/>
      <c r="AN16" s="142"/>
      <c r="AO16" s="142"/>
      <c r="AP16" s="212"/>
      <c r="AQ16" s="212"/>
      <c r="AR16" s="205" t="s">
        <v>205</v>
      </c>
      <c r="AS16" s="142"/>
      <c r="AT16" s="142"/>
      <c r="AU16" s="205"/>
      <c r="AV16" s="175"/>
      <c r="AW16" s="225"/>
      <c r="AX16" s="225">
        <f t="shared" ref="AX16:AX25" si="2">S16*V16</f>
        <v>0</v>
      </c>
      <c r="AY16" s="225">
        <f t="shared" ref="AY16:AY25" si="3">AP16*AS16</f>
        <v>0</v>
      </c>
      <c r="AZ16" s="225"/>
      <c r="BA16" s="225"/>
      <c r="BB16" s="226"/>
      <c r="BC16" s="226"/>
      <c r="BD16" s="226"/>
      <c r="BE16" s="226"/>
      <c r="BF16" s="226"/>
      <c r="BG16" s="226"/>
      <c r="BH16" s="226"/>
      <c r="BI16" s="226"/>
      <c r="BJ16" s="226"/>
      <c r="BK16" s="226"/>
      <c r="BL16" s="226"/>
      <c r="BM16" s="226"/>
      <c r="BN16" s="175"/>
      <c r="BO16" s="175"/>
      <c r="BP16" s="225"/>
      <c r="BQ16" s="225"/>
      <c r="BR16" s="225"/>
      <c r="BS16" s="225"/>
      <c r="BT16" s="225"/>
      <c r="BU16" s="225"/>
      <c r="BV16" s="225"/>
      <c r="BW16" s="225"/>
      <c r="BX16" s="225"/>
      <c r="BY16" s="225"/>
    </row>
    <row r="17" ht="16.5" customHeight="1" spans="1:77">
      <c r="A17" s="202"/>
      <c r="B17" s="150"/>
      <c r="C17" s="150"/>
      <c r="D17" s="150"/>
      <c r="E17" s="150"/>
      <c r="F17" s="150"/>
      <c r="G17" s="150"/>
      <c r="H17" s="150"/>
      <c r="I17" s="150"/>
      <c r="J17" s="150"/>
      <c r="K17" s="150"/>
      <c r="L17" s="150"/>
      <c r="M17" s="150"/>
      <c r="N17" s="150"/>
      <c r="O17" s="150"/>
      <c r="P17" s="150"/>
      <c r="Q17" s="150"/>
      <c r="R17" s="150"/>
      <c r="S17" s="213">
        <f>图表!AE157</f>
        <v>0</v>
      </c>
      <c r="T17" s="213"/>
      <c r="U17" s="202" t="s">
        <v>205</v>
      </c>
      <c r="V17" s="150"/>
      <c r="W17" s="150"/>
      <c r="X17" s="202"/>
      <c r="Y17" s="150"/>
      <c r="Z17" s="150"/>
      <c r="AA17" s="150"/>
      <c r="AB17" s="150"/>
      <c r="AC17" s="150"/>
      <c r="AD17" s="150"/>
      <c r="AE17" s="150"/>
      <c r="AF17" s="150"/>
      <c r="AG17" s="150"/>
      <c r="AH17" s="150"/>
      <c r="AI17" s="150"/>
      <c r="AJ17" s="150"/>
      <c r="AK17" s="150"/>
      <c r="AL17" s="150"/>
      <c r="AM17" s="150"/>
      <c r="AN17" s="150"/>
      <c r="AO17" s="150"/>
      <c r="AP17" s="219"/>
      <c r="AQ17" s="219"/>
      <c r="AR17" s="202" t="s">
        <v>205</v>
      </c>
      <c r="AS17" s="150"/>
      <c r="AT17" s="150"/>
      <c r="AU17" s="202"/>
      <c r="AV17" s="225"/>
      <c r="AW17" s="225"/>
      <c r="AX17" s="225">
        <f t="shared" si="2"/>
        <v>0</v>
      </c>
      <c r="AY17" s="225">
        <f t="shared" si="3"/>
        <v>0</v>
      </c>
      <c r="AZ17" s="225"/>
      <c r="BA17" s="225"/>
      <c r="BB17" s="227"/>
      <c r="BC17" s="227"/>
      <c r="BD17" s="227"/>
      <c r="BE17" s="227"/>
      <c r="BF17" s="227"/>
      <c r="BG17" s="227"/>
      <c r="BH17" s="227"/>
      <c r="BI17" s="227"/>
      <c r="BJ17" s="227"/>
      <c r="BK17" s="227"/>
      <c r="BL17" s="227"/>
      <c r="BM17" s="227"/>
      <c r="BN17" s="225"/>
      <c r="BO17" s="225"/>
      <c r="BP17" s="225"/>
      <c r="BQ17" s="225"/>
      <c r="BR17" s="225"/>
      <c r="BS17" s="225"/>
      <c r="BT17" s="225"/>
      <c r="BU17" s="225"/>
      <c r="BV17" s="225"/>
      <c r="BW17" s="225"/>
      <c r="BX17" s="225"/>
      <c r="BY17" s="225"/>
    </row>
    <row r="18" ht="16.5" customHeight="1" spans="1:77">
      <c r="A18" s="202"/>
      <c r="B18" s="147"/>
      <c r="C18" s="147"/>
      <c r="D18" s="147"/>
      <c r="E18" s="147"/>
      <c r="F18" s="147"/>
      <c r="G18" s="147"/>
      <c r="H18" s="147"/>
      <c r="I18" s="147"/>
      <c r="J18" s="147"/>
      <c r="K18" s="147"/>
      <c r="L18" s="147"/>
      <c r="M18" s="147"/>
      <c r="N18" s="147"/>
      <c r="O18" s="147"/>
      <c r="P18" s="147"/>
      <c r="Q18" s="147"/>
      <c r="R18" s="147"/>
      <c r="S18" s="212">
        <f>图表!AE158</f>
        <v>0</v>
      </c>
      <c r="T18" s="212"/>
      <c r="U18" s="202" t="s">
        <v>205</v>
      </c>
      <c r="V18" s="147"/>
      <c r="W18" s="147"/>
      <c r="X18" s="202"/>
      <c r="Y18" s="147"/>
      <c r="Z18" s="147"/>
      <c r="AA18" s="147"/>
      <c r="AB18" s="147"/>
      <c r="AC18" s="147"/>
      <c r="AD18" s="147"/>
      <c r="AE18" s="147"/>
      <c r="AF18" s="147"/>
      <c r="AG18" s="147"/>
      <c r="AH18" s="147"/>
      <c r="AI18" s="147"/>
      <c r="AJ18" s="147"/>
      <c r="AK18" s="147"/>
      <c r="AL18" s="147"/>
      <c r="AM18" s="147"/>
      <c r="AN18" s="147"/>
      <c r="AO18" s="147"/>
      <c r="AP18" s="218"/>
      <c r="AQ18" s="218"/>
      <c r="AR18" s="202" t="s">
        <v>205</v>
      </c>
      <c r="AS18" s="147"/>
      <c r="AT18" s="147"/>
      <c r="AU18" s="202"/>
      <c r="AV18" s="225"/>
      <c r="AW18" s="225"/>
      <c r="AX18" s="225">
        <f t="shared" si="2"/>
        <v>0</v>
      </c>
      <c r="AY18" s="225">
        <f t="shared" si="3"/>
        <v>0</v>
      </c>
      <c r="AZ18" s="225"/>
      <c r="BA18" s="225"/>
      <c r="BB18" s="227"/>
      <c r="BC18" s="227"/>
      <c r="BD18" s="227"/>
      <c r="BE18" s="227"/>
      <c r="BF18" s="227"/>
      <c r="BG18" s="227"/>
      <c r="BH18" s="227"/>
      <c r="BI18" s="227"/>
      <c r="BJ18" s="227"/>
      <c r="BK18" s="227"/>
      <c r="BL18" s="227"/>
      <c r="BM18" s="227"/>
      <c r="BN18" s="225"/>
      <c r="BO18" s="225"/>
      <c r="BP18" s="225"/>
      <c r="BQ18" s="225"/>
      <c r="BR18" s="225"/>
      <c r="BS18" s="225"/>
      <c r="BT18" s="225"/>
      <c r="BU18" s="225"/>
      <c r="BV18" s="225"/>
      <c r="BW18" s="225"/>
      <c r="BX18" s="225"/>
      <c r="BY18" s="225"/>
    </row>
    <row r="19" ht="16.5" customHeight="1" spans="1:77">
      <c r="A19" s="202"/>
      <c r="B19" s="150"/>
      <c r="C19" s="150"/>
      <c r="D19" s="150"/>
      <c r="E19" s="150"/>
      <c r="F19" s="150"/>
      <c r="G19" s="150"/>
      <c r="H19" s="150"/>
      <c r="I19" s="150"/>
      <c r="J19" s="150"/>
      <c r="K19" s="150"/>
      <c r="L19" s="150"/>
      <c r="M19" s="150"/>
      <c r="N19" s="150"/>
      <c r="O19" s="150"/>
      <c r="P19" s="150"/>
      <c r="Q19" s="150"/>
      <c r="R19" s="150"/>
      <c r="S19" s="213">
        <f>图表!AE159</f>
        <v>0</v>
      </c>
      <c r="T19" s="213"/>
      <c r="U19" s="202" t="s">
        <v>205</v>
      </c>
      <c r="V19" s="150"/>
      <c r="W19" s="150"/>
      <c r="X19" s="202"/>
      <c r="Y19" s="150"/>
      <c r="Z19" s="150"/>
      <c r="AA19" s="150"/>
      <c r="AB19" s="150"/>
      <c r="AC19" s="150"/>
      <c r="AD19" s="150"/>
      <c r="AE19" s="150"/>
      <c r="AF19" s="150"/>
      <c r="AG19" s="150"/>
      <c r="AH19" s="150"/>
      <c r="AI19" s="150"/>
      <c r="AJ19" s="150"/>
      <c r="AK19" s="150"/>
      <c r="AL19" s="150"/>
      <c r="AM19" s="150"/>
      <c r="AN19" s="150"/>
      <c r="AO19" s="150"/>
      <c r="AP19" s="219"/>
      <c r="AQ19" s="219"/>
      <c r="AR19" s="202" t="s">
        <v>205</v>
      </c>
      <c r="AS19" s="150"/>
      <c r="AT19" s="150"/>
      <c r="AU19" s="202"/>
      <c r="AV19" s="225"/>
      <c r="AW19" s="225"/>
      <c r="AX19" s="225">
        <f t="shared" si="2"/>
        <v>0</v>
      </c>
      <c r="AY19" s="225">
        <f t="shared" si="3"/>
        <v>0</v>
      </c>
      <c r="AZ19" s="225"/>
      <c r="BA19" s="225"/>
      <c r="BB19" s="227"/>
      <c r="BC19" s="227"/>
      <c r="BD19" s="227"/>
      <c r="BE19" s="227"/>
      <c r="BF19" s="227"/>
      <c r="BG19" s="227"/>
      <c r="BH19" s="227"/>
      <c r="BI19" s="227"/>
      <c r="BJ19" s="227"/>
      <c r="BK19" s="227"/>
      <c r="BL19" s="227"/>
      <c r="BM19" s="227"/>
      <c r="BN19" s="225"/>
      <c r="BO19" s="225"/>
      <c r="BP19" s="225"/>
      <c r="BQ19" s="225"/>
      <c r="BR19" s="225"/>
      <c r="BS19" s="225"/>
      <c r="BT19" s="225"/>
      <c r="BU19" s="225"/>
      <c r="BV19" s="225"/>
      <c r="BW19" s="225"/>
      <c r="BX19" s="225"/>
      <c r="BY19" s="225"/>
    </row>
    <row r="20" ht="16.5" customHeight="1" spans="1:77">
      <c r="A20" s="202"/>
      <c r="B20" s="147"/>
      <c r="C20" s="147"/>
      <c r="D20" s="147"/>
      <c r="E20" s="147"/>
      <c r="F20" s="147"/>
      <c r="G20" s="147"/>
      <c r="H20" s="147"/>
      <c r="I20" s="147"/>
      <c r="J20" s="147"/>
      <c r="K20" s="147"/>
      <c r="L20" s="147"/>
      <c r="M20" s="147"/>
      <c r="N20" s="147"/>
      <c r="O20" s="147"/>
      <c r="P20" s="147"/>
      <c r="Q20" s="147"/>
      <c r="R20" s="147"/>
      <c r="S20" s="212">
        <f>图表!AE160</f>
        <v>0</v>
      </c>
      <c r="T20" s="212"/>
      <c r="U20" s="202" t="s">
        <v>205</v>
      </c>
      <c r="V20" s="147"/>
      <c r="W20" s="147"/>
      <c r="X20" s="202"/>
      <c r="Y20" s="147"/>
      <c r="Z20" s="147"/>
      <c r="AA20" s="147"/>
      <c r="AB20" s="147"/>
      <c r="AC20" s="147"/>
      <c r="AD20" s="147"/>
      <c r="AE20" s="147"/>
      <c r="AF20" s="147"/>
      <c r="AG20" s="147"/>
      <c r="AH20" s="147"/>
      <c r="AI20" s="147"/>
      <c r="AJ20" s="147"/>
      <c r="AK20" s="147"/>
      <c r="AL20" s="147"/>
      <c r="AM20" s="147"/>
      <c r="AN20" s="147"/>
      <c r="AO20" s="147"/>
      <c r="AP20" s="218"/>
      <c r="AQ20" s="218"/>
      <c r="AR20" s="202" t="s">
        <v>205</v>
      </c>
      <c r="AS20" s="147"/>
      <c r="AT20" s="147"/>
      <c r="AU20" s="202"/>
      <c r="AV20" s="225"/>
      <c r="AW20" s="225"/>
      <c r="AX20" s="225">
        <f t="shared" si="2"/>
        <v>0</v>
      </c>
      <c r="AY20" s="225">
        <f t="shared" si="3"/>
        <v>0</v>
      </c>
      <c r="AZ20" s="225"/>
      <c r="BA20" s="225"/>
      <c r="BB20" s="225"/>
      <c r="BC20" s="225"/>
      <c r="BD20" s="225"/>
      <c r="BE20" s="225"/>
      <c r="BF20" s="225"/>
      <c r="BG20" s="225"/>
      <c r="BH20" s="225"/>
      <c r="BI20" s="225"/>
      <c r="BJ20" s="225"/>
      <c r="BK20" s="225"/>
      <c r="BL20" s="225"/>
      <c r="BM20" s="225"/>
      <c r="BN20" s="225"/>
      <c r="BO20" s="225"/>
      <c r="BP20" s="225"/>
      <c r="BQ20" s="225"/>
      <c r="BR20" s="225"/>
      <c r="BS20" s="225"/>
      <c r="BT20" s="225"/>
      <c r="BU20" s="225"/>
      <c r="BV20" s="225"/>
      <c r="BW20" s="225"/>
      <c r="BX20" s="225"/>
      <c r="BY20" s="225"/>
    </row>
    <row r="21" ht="16.5" customHeight="1" spans="1:77">
      <c r="A21" s="202"/>
      <c r="B21" s="150"/>
      <c r="C21" s="150"/>
      <c r="D21" s="150"/>
      <c r="E21" s="150"/>
      <c r="F21" s="150"/>
      <c r="G21" s="150"/>
      <c r="H21" s="150"/>
      <c r="I21" s="150"/>
      <c r="J21" s="150"/>
      <c r="K21" s="150"/>
      <c r="L21" s="150"/>
      <c r="M21" s="150"/>
      <c r="N21" s="150"/>
      <c r="O21" s="150"/>
      <c r="P21" s="150"/>
      <c r="Q21" s="150"/>
      <c r="R21" s="150"/>
      <c r="S21" s="213">
        <f>图表!AE161</f>
        <v>0</v>
      </c>
      <c r="T21" s="213"/>
      <c r="U21" s="202" t="s">
        <v>205</v>
      </c>
      <c r="V21" s="150"/>
      <c r="W21" s="150"/>
      <c r="X21" s="202"/>
      <c r="Y21" s="150"/>
      <c r="Z21" s="150"/>
      <c r="AA21" s="150"/>
      <c r="AB21" s="150"/>
      <c r="AC21" s="150"/>
      <c r="AD21" s="150"/>
      <c r="AE21" s="150"/>
      <c r="AF21" s="150"/>
      <c r="AG21" s="150"/>
      <c r="AH21" s="150"/>
      <c r="AI21" s="150"/>
      <c r="AJ21" s="150"/>
      <c r="AK21" s="150"/>
      <c r="AL21" s="150"/>
      <c r="AM21" s="150"/>
      <c r="AN21" s="150"/>
      <c r="AO21" s="150"/>
      <c r="AP21" s="219"/>
      <c r="AQ21" s="219"/>
      <c r="AR21" s="202" t="s">
        <v>205</v>
      </c>
      <c r="AS21" s="150"/>
      <c r="AT21" s="150"/>
      <c r="AU21" s="202"/>
      <c r="AV21" s="225"/>
      <c r="AW21" s="225"/>
      <c r="AX21" s="225">
        <f t="shared" si="2"/>
        <v>0</v>
      </c>
      <c r="AY21" s="225">
        <f t="shared" si="3"/>
        <v>0</v>
      </c>
      <c r="AZ21" s="225"/>
      <c r="BA21" s="225"/>
      <c r="BB21" s="225"/>
      <c r="BC21" s="225"/>
      <c r="BD21" s="225"/>
      <c r="BE21" s="225"/>
      <c r="BF21" s="225"/>
      <c r="BG21" s="225"/>
      <c r="BH21" s="225"/>
      <c r="BI21" s="225"/>
      <c r="BJ21" s="225"/>
      <c r="BK21" s="225"/>
      <c r="BL21" s="225"/>
      <c r="BM21" s="225"/>
      <c r="BN21" s="225"/>
      <c r="BO21" s="225"/>
      <c r="BP21" s="225"/>
      <c r="BQ21" s="225"/>
      <c r="BR21" s="225"/>
      <c r="BS21" s="225"/>
      <c r="BT21" s="225"/>
      <c r="BU21" s="225"/>
      <c r="BV21" s="225"/>
      <c r="BW21" s="225"/>
      <c r="BX21" s="225"/>
      <c r="BY21" s="225"/>
    </row>
    <row r="22" ht="16.5" customHeight="1" spans="1:77">
      <c r="A22" s="202"/>
      <c r="B22" s="147"/>
      <c r="C22" s="147"/>
      <c r="D22" s="147"/>
      <c r="E22" s="147"/>
      <c r="F22" s="147"/>
      <c r="G22" s="147"/>
      <c r="H22" s="147"/>
      <c r="I22" s="147"/>
      <c r="J22" s="147"/>
      <c r="K22" s="147"/>
      <c r="L22" s="147"/>
      <c r="M22" s="147"/>
      <c r="N22" s="147"/>
      <c r="O22" s="147"/>
      <c r="P22" s="147"/>
      <c r="Q22" s="147"/>
      <c r="R22" s="147"/>
      <c r="S22" s="212">
        <f>图表!AE162</f>
        <v>0</v>
      </c>
      <c r="T22" s="212"/>
      <c r="U22" s="202" t="s">
        <v>205</v>
      </c>
      <c r="V22" s="147"/>
      <c r="W22" s="147"/>
      <c r="X22" s="202"/>
      <c r="Y22" s="147"/>
      <c r="Z22" s="147"/>
      <c r="AA22" s="147"/>
      <c r="AB22" s="147"/>
      <c r="AC22" s="147"/>
      <c r="AD22" s="147"/>
      <c r="AE22" s="147"/>
      <c r="AF22" s="147"/>
      <c r="AG22" s="147"/>
      <c r="AH22" s="147"/>
      <c r="AI22" s="147"/>
      <c r="AJ22" s="147"/>
      <c r="AK22" s="147"/>
      <c r="AL22" s="147"/>
      <c r="AM22" s="147"/>
      <c r="AN22" s="147"/>
      <c r="AO22" s="147"/>
      <c r="AP22" s="218"/>
      <c r="AQ22" s="218"/>
      <c r="AR22" s="202" t="s">
        <v>205</v>
      </c>
      <c r="AS22" s="147"/>
      <c r="AT22" s="147"/>
      <c r="AU22" s="202"/>
      <c r="AV22" s="225"/>
      <c r="AW22" s="225"/>
      <c r="AX22" s="225">
        <f t="shared" si="2"/>
        <v>0</v>
      </c>
      <c r="AY22" s="225">
        <f t="shared" si="3"/>
        <v>0</v>
      </c>
      <c r="AZ22" s="225"/>
      <c r="BA22" s="225"/>
      <c r="BB22" s="225"/>
      <c r="BC22" s="225"/>
      <c r="BD22" s="225"/>
      <c r="BE22" s="225"/>
      <c r="BF22" s="225"/>
      <c r="BG22" s="225"/>
      <c r="BH22" s="225"/>
      <c r="BI22" s="225"/>
      <c r="BJ22" s="225"/>
      <c r="BK22" s="225"/>
      <c r="BL22" s="225"/>
      <c r="BM22" s="225"/>
      <c r="BN22" s="225"/>
      <c r="BO22" s="225"/>
      <c r="BP22" s="225"/>
      <c r="BQ22" s="225"/>
      <c r="BR22" s="225"/>
      <c r="BS22" s="225"/>
      <c r="BT22" s="225"/>
      <c r="BU22" s="225"/>
      <c r="BV22" s="225"/>
      <c r="BW22" s="225"/>
      <c r="BX22" s="225"/>
      <c r="BY22" s="225"/>
    </row>
    <row r="23" ht="16.5" customHeight="1" spans="1:77">
      <c r="A23" s="202"/>
      <c r="B23" s="150"/>
      <c r="C23" s="150"/>
      <c r="D23" s="150"/>
      <c r="E23" s="150"/>
      <c r="F23" s="150"/>
      <c r="G23" s="150"/>
      <c r="H23" s="150"/>
      <c r="I23" s="150"/>
      <c r="J23" s="150"/>
      <c r="K23" s="150"/>
      <c r="L23" s="150"/>
      <c r="M23" s="150"/>
      <c r="N23" s="150"/>
      <c r="O23" s="150"/>
      <c r="P23" s="150"/>
      <c r="Q23" s="150"/>
      <c r="R23" s="150"/>
      <c r="S23" s="213">
        <f>图表!AE163</f>
        <v>0</v>
      </c>
      <c r="T23" s="213"/>
      <c r="U23" s="202" t="s">
        <v>205</v>
      </c>
      <c r="V23" s="150"/>
      <c r="W23" s="150"/>
      <c r="X23" s="202"/>
      <c r="Y23" s="150"/>
      <c r="Z23" s="150"/>
      <c r="AA23" s="150"/>
      <c r="AB23" s="150"/>
      <c r="AC23" s="150"/>
      <c r="AD23" s="150"/>
      <c r="AE23" s="150"/>
      <c r="AF23" s="150"/>
      <c r="AG23" s="150"/>
      <c r="AH23" s="150"/>
      <c r="AI23" s="150"/>
      <c r="AJ23" s="150"/>
      <c r="AK23" s="150"/>
      <c r="AL23" s="150"/>
      <c r="AM23" s="150"/>
      <c r="AN23" s="150"/>
      <c r="AO23" s="150"/>
      <c r="AP23" s="219"/>
      <c r="AQ23" s="219"/>
      <c r="AR23" s="202" t="s">
        <v>205</v>
      </c>
      <c r="AS23" s="150"/>
      <c r="AT23" s="150"/>
      <c r="AU23" s="202"/>
      <c r="AV23" s="225"/>
      <c r="AW23" s="225"/>
      <c r="AX23" s="225">
        <f t="shared" si="2"/>
        <v>0</v>
      </c>
      <c r="AY23" s="225">
        <f t="shared" si="3"/>
        <v>0</v>
      </c>
      <c r="AZ23" s="225"/>
      <c r="BA23" s="225"/>
      <c r="BB23" s="225"/>
      <c r="BC23" s="225"/>
      <c r="BD23" s="225"/>
      <c r="BE23" s="225"/>
      <c r="BF23" s="225"/>
      <c r="BG23" s="225"/>
      <c r="BH23" s="225"/>
      <c r="BI23" s="225"/>
      <c r="BJ23" s="225"/>
      <c r="BK23" s="225"/>
      <c r="BL23" s="225"/>
      <c r="BM23" s="225"/>
      <c r="BN23" s="225"/>
      <c r="BO23" s="225"/>
      <c r="BP23" s="225"/>
      <c r="BQ23" s="225"/>
      <c r="BR23" s="225"/>
      <c r="BS23" s="225"/>
      <c r="BT23" s="225"/>
      <c r="BU23" s="225"/>
      <c r="BV23" s="225"/>
      <c r="BW23" s="225"/>
      <c r="BX23" s="225"/>
      <c r="BY23" s="225"/>
    </row>
    <row r="24" ht="16.5" customHeight="1" spans="1:77">
      <c r="A24" s="202"/>
      <c r="B24" s="147"/>
      <c r="C24" s="147"/>
      <c r="D24" s="147"/>
      <c r="E24" s="147"/>
      <c r="F24" s="147"/>
      <c r="G24" s="147"/>
      <c r="H24" s="147"/>
      <c r="I24" s="147"/>
      <c r="J24" s="147"/>
      <c r="K24" s="147"/>
      <c r="L24" s="147"/>
      <c r="M24" s="147"/>
      <c r="N24" s="147"/>
      <c r="O24" s="147"/>
      <c r="P24" s="147"/>
      <c r="Q24" s="147"/>
      <c r="R24" s="147"/>
      <c r="S24" s="212">
        <f>图表!AE164</f>
        <v>0</v>
      </c>
      <c r="T24" s="212"/>
      <c r="U24" s="202" t="s">
        <v>205</v>
      </c>
      <c r="V24" s="147"/>
      <c r="W24" s="147"/>
      <c r="X24" s="202"/>
      <c r="Y24" s="147"/>
      <c r="Z24" s="147"/>
      <c r="AA24" s="147"/>
      <c r="AB24" s="147"/>
      <c r="AC24" s="147"/>
      <c r="AD24" s="147"/>
      <c r="AE24" s="147"/>
      <c r="AF24" s="147"/>
      <c r="AG24" s="147"/>
      <c r="AH24" s="147"/>
      <c r="AI24" s="147"/>
      <c r="AJ24" s="147"/>
      <c r="AK24" s="147"/>
      <c r="AL24" s="147"/>
      <c r="AM24" s="147"/>
      <c r="AN24" s="147"/>
      <c r="AO24" s="147"/>
      <c r="AP24" s="218"/>
      <c r="AQ24" s="218"/>
      <c r="AR24" s="202" t="s">
        <v>205</v>
      </c>
      <c r="AS24" s="147"/>
      <c r="AT24" s="147"/>
      <c r="AU24" s="202"/>
      <c r="AV24" s="225"/>
      <c r="AW24" s="225"/>
      <c r="AX24" s="225">
        <f t="shared" si="2"/>
        <v>0</v>
      </c>
      <c r="AY24" s="225">
        <f t="shared" si="3"/>
        <v>0</v>
      </c>
      <c r="AZ24" s="225"/>
      <c r="BA24" s="225"/>
      <c r="BB24" s="225"/>
      <c r="BC24" s="225"/>
      <c r="BD24" s="225"/>
      <c r="BE24" s="225"/>
      <c r="BF24" s="225"/>
      <c r="BG24" s="225"/>
      <c r="BH24" s="225"/>
      <c r="BI24" s="225"/>
      <c r="BJ24" s="225"/>
      <c r="BK24" s="225"/>
      <c r="BL24" s="225"/>
      <c r="BM24" s="225"/>
      <c r="BN24" s="225"/>
      <c r="BO24" s="225"/>
      <c r="BP24" s="225"/>
      <c r="BQ24" s="225"/>
      <c r="BR24" s="225"/>
      <c r="BS24" s="225"/>
      <c r="BT24" s="225"/>
      <c r="BU24" s="225"/>
      <c r="BV24" s="225"/>
      <c r="BW24" s="225"/>
      <c r="BX24" s="225"/>
      <c r="BY24" s="225"/>
    </row>
    <row r="25" ht="16.5" customHeight="1" spans="1:77">
      <c r="A25" s="202"/>
      <c r="B25" s="150"/>
      <c r="C25" s="150"/>
      <c r="D25" s="150"/>
      <c r="E25" s="150"/>
      <c r="F25" s="150"/>
      <c r="G25" s="150"/>
      <c r="H25" s="150"/>
      <c r="I25" s="150"/>
      <c r="J25" s="150"/>
      <c r="K25" s="150"/>
      <c r="L25" s="150"/>
      <c r="M25" s="150"/>
      <c r="N25" s="150"/>
      <c r="O25" s="150"/>
      <c r="P25" s="150"/>
      <c r="Q25" s="150"/>
      <c r="R25" s="150"/>
      <c r="S25" s="213">
        <f>图表!AE165</f>
        <v>0</v>
      </c>
      <c r="T25" s="213"/>
      <c r="U25" s="202" t="s">
        <v>205</v>
      </c>
      <c r="V25" s="150"/>
      <c r="W25" s="150"/>
      <c r="X25" s="202"/>
      <c r="Y25" s="150"/>
      <c r="Z25" s="150"/>
      <c r="AA25" s="150"/>
      <c r="AB25" s="150"/>
      <c r="AC25" s="150"/>
      <c r="AD25" s="150"/>
      <c r="AE25" s="150"/>
      <c r="AF25" s="150"/>
      <c r="AG25" s="150"/>
      <c r="AH25" s="150"/>
      <c r="AI25" s="150"/>
      <c r="AJ25" s="150"/>
      <c r="AK25" s="150"/>
      <c r="AL25" s="150"/>
      <c r="AM25" s="150"/>
      <c r="AN25" s="150"/>
      <c r="AO25" s="150"/>
      <c r="AP25" s="219"/>
      <c r="AQ25" s="219"/>
      <c r="AR25" s="202" t="s">
        <v>205</v>
      </c>
      <c r="AS25" s="150"/>
      <c r="AT25" s="150"/>
      <c r="AU25" s="202"/>
      <c r="AV25" s="225"/>
      <c r="AW25" s="225"/>
      <c r="AX25" s="225">
        <f t="shared" si="2"/>
        <v>0</v>
      </c>
      <c r="AY25" s="225">
        <f t="shared" si="3"/>
        <v>0</v>
      </c>
      <c r="AZ25" s="225"/>
      <c r="BA25" s="225"/>
      <c r="BB25" s="225"/>
      <c r="BC25" s="225"/>
      <c r="BD25" s="225"/>
      <c r="BE25" s="225"/>
      <c r="BF25" s="225"/>
      <c r="BG25" s="225"/>
      <c r="BH25" s="225"/>
      <c r="BI25" s="225"/>
      <c r="BJ25" s="225"/>
      <c r="BK25" s="225"/>
      <c r="BL25" s="225"/>
      <c r="BM25" s="225"/>
      <c r="BN25" s="225"/>
      <c r="BO25" s="225"/>
      <c r="BP25" s="225"/>
      <c r="BQ25" s="225"/>
      <c r="BR25" s="225"/>
      <c r="BS25" s="225"/>
      <c r="BT25" s="225"/>
      <c r="BU25" s="225"/>
      <c r="BV25" s="225"/>
      <c r="BW25" s="225"/>
      <c r="BX25" s="225"/>
      <c r="BY25" s="225"/>
    </row>
    <row r="26" ht="16.5" customHeight="1" spans="1:77">
      <c r="A26" s="202"/>
      <c r="B26" s="202"/>
      <c r="C26" s="202"/>
      <c r="D26" s="202"/>
      <c r="E26" s="202"/>
      <c r="F26" s="202"/>
      <c r="G26" s="202"/>
      <c r="H26" s="202"/>
      <c r="I26" s="202"/>
      <c r="J26" s="202"/>
      <c r="K26" s="202"/>
      <c r="L26" s="202"/>
      <c r="M26" s="202"/>
      <c r="N26" s="202"/>
      <c r="O26" s="202"/>
      <c r="P26" s="202"/>
      <c r="Q26" s="202"/>
      <c r="R26" s="202"/>
      <c r="S26" s="202"/>
      <c r="T26" s="202"/>
      <c r="U26" s="202"/>
      <c r="V26" s="202"/>
      <c r="W26" s="202"/>
      <c r="X26" s="202"/>
      <c r="Y26" s="202"/>
      <c r="Z26" s="202"/>
      <c r="AA26" s="202"/>
      <c r="AB26" s="202"/>
      <c r="AC26" s="202"/>
      <c r="AD26" s="202"/>
      <c r="AE26" s="202"/>
      <c r="AF26" s="202"/>
      <c r="AG26" s="202"/>
      <c r="AH26" s="202"/>
      <c r="AI26" s="202"/>
      <c r="AJ26" s="202"/>
      <c r="AK26" s="202"/>
      <c r="AL26" s="202"/>
      <c r="AM26" s="202"/>
      <c r="AN26" s="202"/>
      <c r="AO26" s="202"/>
      <c r="AP26" s="202"/>
      <c r="AQ26" s="202"/>
      <c r="AR26" s="202"/>
      <c r="AS26" s="202"/>
      <c r="AT26" s="202"/>
      <c r="AU26" s="202"/>
      <c r="AV26" s="225"/>
      <c r="AW26" s="225"/>
      <c r="AX26" s="225"/>
      <c r="AY26" s="225"/>
      <c r="AZ26" s="225"/>
      <c r="BA26" s="225"/>
      <c r="BB26" s="225"/>
      <c r="BC26" s="225"/>
      <c r="BD26" s="225"/>
      <c r="BE26" s="225"/>
      <c r="BF26" s="225"/>
      <c r="BG26" s="225"/>
      <c r="BH26" s="225"/>
      <c r="BI26" s="225"/>
      <c r="BJ26" s="225"/>
      <c r="BK26" s="225"/>
      <c r="BL26" s="225"/>
      <c r="BM26" s="225"/>
      <c r="BN26" s="225"/>
      <c r="BO26" s="225"/>
      <c r="BP26" s="225"/>
      <c r="BQ26" s="225"/>
      <c r="BR26" s="225"/>
      <c r="BS26" s="225"/>
      <c r="BT26" s="225"/>
      <c r="BU26" s="225"/>
      <c r="BV26" s="225"/>
      <c r="BW26" s="225"/>
      <c r="BX26" s="225"/>
      <c r="BY26" s="225"/>
    </row>
    <row r="27" ht="16.5" customHeight="1" spans="1:77">
      <c r="A27" s="202"/>
      <c r="B27" s="207" t="s">
        <v>206</v>
      </c>
      <c r="C27" s="207"/>
      <c r="D27" s="207"/>
      <c r="E27" s="207"/>
      <c r="F27" s="207"/>
      <c r="G27" s="207"/>
      <c r="H27" s="207"/>
      <c r="I27" s="207"/>
      <c r="J27" s="207"/>
      <c r="K27" s="207"/>
      <c r="L27" s="207"/>
      <c r="M27" s="207"/>
      <c r="N27" s="207"/>
      <c r="O27" s="207"/>
      <c r="P27" s="207"/>
      <c r="Q27" s="207"/>
      <c r="R27" s="207"/>
      <c r="S27" s="207"/>
      <c r="T27" s="207"/>
      <c r="U27" s="207"/>
      <c r="V27" s="216" t="s">
        <v>207</v>
      </c>
      <c r="W27" s="216"/>
      <c r="X27" s="202"/>
      <c r="Y27" s="223" t="s">
        <v>208</v>
      </c>
      <c r="Z27" s="223"/>
      <c r="AA27" s="223"/>
      <c r="AB27" s="223"/>
      <c r="AC27" s="223"/>
      <c r="AD27" s="223"/>
      <c r="AE27" s="223"/>
      <c r="AF27" s="223"/>
      <c r="AG27" s="223"/>
      <c r="AH27" s="223"/>
      <c r="AI27" s="223"/>
      <c r="AJ27" s="223"/>
      <c r="AK27" s="223"/>
      <c r="AL27" s="223"/>
      <c r="AM27" s="223"/>
      <c r="AN27" s="223"/>
      <c r="AO27" s="223"/>
      <c r="AP27" s="223"/>
      <c r="AQ27" s="223"/>
      <c r="AR27" s="223"/>
      <c r="AS27" s="223"/>
      <c r="AT27" s="223"/>
      <c r="AU27" s="202"/>
      <c r="AV27" s="225"/>
      <c r="AW27" s="225"/>
      <c r="AX27" s="225"/>
      <c r="AY27" s="225"/>
      <c r="AZ27" s="225"/>
      <c r="BA27" s="225"/>
      <c r="BB27" s="225"/>
      <c r="BC27" s="225"/>
      <c r="BD27" s="225"/>
      <c r="BE27" s="225"/>
      <c r="BF27" s="225"/>
      <c r="BG27" s="225"/>
      <c r="BH27" s="225"/>
      <c r="BI27" s="225"/>
      <c r="BJ27" s="225"/>
      <c r="BK27" s="225"/>
      <c r="BL27" s="225"/>
      <c r="BM27" s="225"/>
      <c r="BN27" s="225"/>
      <c r="BO27" s="225"/>
      <c r="BP27" s="225"/>
      <c r="BQ27" s="225"/>
      <c r="BR27" s="225"/>
      <c r="BS27" s="225"/>
      <c r="BT27" s="225"/>
      <c r="BU27" s="225"/>
      <c r="BV27" s="225"/>
      <c r="BW27" s="225"/>
      <c r="BX27" s="225"/>
      <c r="BY27" s="225"/>
    </row>
    <row r="28" ht="16.5" customHeight="1" spans="1:77">
      <c r="A28" s="208"/>
      <c r="B28" s="137" t="s">
        <v>43</v>
      </c>
      <c r="C28" s="137"/>
      <c r="D28" s="137"/>
      <c r="E28" s="137"/>
      <c r="F28" s="137"/>
      <c r="G28" s="137"/>
      <c r="H28" s="137"/>
      <c r="I28" s="137" t="s">
        <v>44</v>
      </c>
      <c r="J28" s="137"/>
      <c r="K28" s="137"/>
      <c r="L28" s="137"/>
      <c r="M28" s="137"/>
      <c r="N28" s="137"/>
      <c r="O28" s="137"/>
      <c r="P28" s="137"/>
      <c r="Q28" s="137"/>
      <c r="R28" s="137"/>
      <c r="S28" s="137" t="s">
        <v>203</v>
      </c>
      <c r="T28" s="137"/>
      <c r="U28" s="217"/>
      <c r="V28" s="137" t="s">
        <v>204</v>
      </c>
      <c r="W28" s="137"/>
      <c r="X28" s="208"/>
      <c r="Y28" s="224"/>
      <c r="Z28" s="224"/>
      <c r="AA28" s="224"/>
      <c r="AB28" s="224"/>
      <c r="AC28" s="224"/>
      <c r="AD28" s="224"/>
      <c r="AE28" s="224"/>
      <c r="AF28" s="224"/>
      <c r="AG28" s="224"/>
      <c r="AH28" s="224"/>
      <c r="AI28" s="224"/>
      <c r="AJ28" s="224"/>
      <c r="AK28" s="224"/>
      <c r="AL28" s="224"/>
      <c r="AM28" s="224"/>
      <c r="AN28" s="224"/>
      <c r="AO28" s="224"/>
      <c r="AP28" s="224"/>
      <c r="AQ28" s="224"/>
      <c r="AR28" s="224"/>
      <c r="AS28" s="224"/>
      <c r="AT28" s="224"/>
      <c r="AU28" s="208"/>
      <c r="AV28" s="225"/>
      <c r="AW28" s="225"/>
      <c r="AX28" s="225"/>
      <c r="AY28" s="225"/>
      <c r="AZ28" s="225"/>
      <c r="BA28" s="225"/>
      <c r="BB28" s="225"/>
      <c r="BC28" s="225"/>
      <c r="BD28" s="225"/>
      <c r="BE28" s="225"/>
      <c r="BF28" s="225"/>
      <c r="BG28" s="225"/>
      <c r="BH28" s="225"/>
      <c r="BI28" s="225"/>
      <c r="BJ28" s="225"/>
      <c r="BK28" s="225"/>
      <c r="BL28" s="225"/>
      <c r="BM28" s="225"/>
      <c r="BN28" s="225"/>
      <c r="BO28" s="225"/>
      <c r="BP28" s="225"/>
      <c r="BQ28" s="225"/>
      <c r="BR28" s="225"/>
      <c r="BS28" s="225"/>
      <c r="BT28" s="225"/>
      <c r="BU28" s="225"/>
      <c r="BV28" s="225"/>
      <c r="BW28" s="225"/>
      <c r="BX28" s="225"/>
      <c r="BY28" s="225"/>
    </row>
    <row r="29" ht="16.5" customHeight="1" spans="1:77">
      <c r="A29" s="202"/>
      <c r="B29" s="147"/>
      <c r="C29" s="147"/>
      <c r="D29" s="147"/>
      <c r="E29" s="147"/>
      <c r="F29" s="147"/>
      <c r="G29" s="147"/>
      <c r="H29" s="147"/>
      <c r="I29" s="147"/>
      <c r="J29" s="147"/>
      <c r="K29" s="147"/>
      <c r="L29" s="147"/>
      <c r="M29" s="147"/>
      <c r="N29" s="147"/>
      <c r="O29" s="147"/>
      <c r="P29" s="147"/>
      <c r="Q29" s="147"/>
      <c r="R29" s="147"/>
      <c r="S29" s="218"/>
      <c r="T29" s="218"/>
      <c r="U29" s="202" t="s">
        <v>205</v>
      </c>
      <c r="V29" s="147"/>
      <c r="W29" s="147"/>
      <c r="X29" s="202"/>
      <c r="Y29" s="224"/>
      <c r="Z29" s="224"/>
      <c r="AA29" s="224"/>
      <c r="AB29" s="224"/>
      <c r="AC29" s="224"/>
      <c r="AD29" s="224"/>
      <c r="AE29" s="224"/>
      <c r="AF29" s="224"/>
      <c r="AG29" s="224"/>
      <c r="AH29" s="224"/>
      <c r="AI29" s="224"/>
      <c r="AJ29" s="224"/>
      <c r="AK29" s="224"/>
      <c r="AL29" s="224"/>
      <c r="AM29" s="224"/>
      <c r="AN29" s="224"/>
      <c r="AO29" s="224"/>
      <c r="AP29" s="224"/>
      <c r="AQ29" s="224"/>
      <c r="AR29" s="224"/>
      <c r="AS29" s="224"/>
      <c r="AT29" s="224"/>
      <c r="AU29" s="202"/>
      <c r="AV29" s="225"/>
      <c r="AW29" s="225"/>
      <c r="AX29" s="225"/>
      <c r="AY29" s="225"/>
      <c r="AZ29" s="225"/>
      <c r="BA29" s="225"/>
      <c r="BB29" s="225"/>
      <c r="BC29" s="225"/>
      <c r="BD29" s="225"/>
      <c r="BE29" s="225"/>
      <c r="BF29" s="225">
        <f t="shared" ref="BF29:BF38" si="4">S29*V29</f>
        <v>0</v>
      </c>
      <c r="BG29" s="225"/>
      <c r="BH29" s="225"/>
      <c r="BI29" s="225"/>
      <c r="BJ29" s="225"/>
      <c r="BK29" s="225"/>
      <c r="BL29" s="225"/>
      <c r="BM29" s="225"/>
      <c r="BN29" s="225"/>
      <c r="BO29" s="225"/>
      <c r="BP29" s="225"/>
      <c r="BQ29" s="225"/>
      <c r="BR29" s="225"/>
      <c r="BS29" s="225"/>
      <c r="BT29" s="225"/>
      <c r="BU29" s="225"/>
      <c r="BV29" s="225"/>
      <c r="BW29" s="225"/>
      <c r="BX29" s="225"/>
      <c r="BY29" s="225"/>
    </row>
    <row r="30" ht="16.5" customHeight="1" spans="1:77">
      <c r="A30" s="202"/>
      <c r="B30" s="150"/>
      <c r="C30" s="150"/>
      <c r="D30" s="150"/>
      <c r="E30" s="150"/>
      <c r="F30" s="150"/>
      <c r="G30" s="150"/>
      <c r="H30" s="150"/>
      <c r="I30" s="150"/>
      <c r="J30" s="150"/>
      <c r="K30" s="150"/>
      <c r="L30" s="150"/>
      <c r="M30" s="150"/>
      <c r="N30" s="150"/>
      <c r="O30" s="150"/>
      <c r="P30" s="150"/>
      <c r="Q30" s="150"/>
      <c r="R30" s="150"/>
      <c r="S30" s="219"/>
      <c r="T30" s="219"/>
      <c r="U30" s="202" t="s">
        <v>205</v>
      </c>
      <c r="V30" s="150"/>
      <c r="W30" s="150"/>
      <c r="X30" s="202"/>
      <c r="Y30" s="224"/>
      <c r="Z30" s="224"/>
      <c r="AA30" s="224"/>
      <c r="AB30" s="224"/>
      <c r="AC30" s="224"/>
      <c r="AD30" s="224"/>
      <c r="AE30" s="224"/>
      <c r="AF30" s="224"/>
      <c r="AG30" s="224"/>
      <c r="AH30" s="224"/>
      <c r="AI30" s="224"/>
      <c r="AJ30" s="224"/>
      <c r="AK30" s="224"/>
      <c r="AL30" s="224"/>
      <c r="AM30" s="224"/>
      <c r="AN30" s="224"/>
      <c r="AO30" s="224"/>
      <c r="AP30" s="224"/>
      <c r="AQ30" s="224"/>
      <c r="AR30" s="224"/>
      <c r="AS30" s="224"/>
      <c r="AT30" s="224"/>
      <c r="AU30" s="202"/>
      <c r="AV30" s="225"/>
      <c r="AW30" s="225"/>
      <c r="AX30" s="225"/>
      <c r="AY30" s="225"/>
      <c r="AZ30" s="225"/>
      <c r="BA30" s="225"/>
      <c r="BB30" s="225"/>
      <c r="BC30" s="225"/>
      <c r="BD30" s="225"/>
      <c r="BE30" s="225"/>
      <c r="BF30" s="225">
        <f t="shared" si="4"/>
        <v>0</v>
      </c>
      <c r="BG30" s="225"/>
      <c r="BH30" s="225"/>
      <c r="BI30" s="225"/>
      <c r="BJ30" s="225"/>
      <c r="BK30" s="225"/>
      <c r="BL30" s="225"/>
      <c r="BM30" s="225"/>
      <c r="BN30" s="225"/>
      <c r="BO30" s="225"/>
      <c r="BP30" s="225"/>
      <c r="BQ30" s="225"/>
      <c r="BR30" s="225"/>
      <c r="BS30" s="225"/>
      <c r="BT30" s="225"/>
      <c r="BU30" s="225"/>
      <c r="BV30" s="225"/>
      <c r="BW30" s="225"/>
      <c r="BX30" s="225"/>
      <c r="BY30" s="225"/>
    </row>
    <row r="31" ht="16.5" customHeight="1" spans="1:77">
      <c r="A31" s="202"/>
      <c r="B31" s="147"/>
      <c r="C31" s="147"/>
      <c r="D31" s="147"/>
      <c r="E31" s="147"/>
      <c r="F31" s="147"/>
      <c r="G31" s="147"/>
      <c r="H31" s="147"/>
      <c r="I31" s="147"/>
      <c r="J31" s="147"/>
      <c r="K31" s="147"/>
      <c r="L31" s="147"/>
      <c r="M31" s="147"/>
      <c r="N31" s="147"/>
      <c r="O31" s="147"/>
      <c r="P31" s="147"/>
      <c r="Q31" s="147"/>
      <c r="R31" s="147"/>
      <c r="S31" s="218"/>
      <c r="T31" s="218"/>
      <c r="U31" s="202" t="s">
        <v>205</v>
      </c>
      <c r="V31" s="147"/>
      <c r="W31" s="147"/>
      <c r="X31" s="202"/>
      <c r="Y31" s="224"/>
      <c r="Z31" s="224"/>
      <c r="AA31" s="224"/>
      <c r="AB31" s="224"/>
      <c r="AC31" s="224"/>
      <c r="AD31" s="224"/>
      <c r="AE31" s="224"/>
      <c r="AF31" s="224"/>
      <c r="AG31" s="224"/>
      <c r="AH31" s="224"/>
      <c r="AI31" s="224"/>
      <c r="AJ31" s="224"/>
      <c r="AK31" s="224"/>
      <c r="AL31" s="224"/>
      <c r="AM31" s="224"/>
      <c r="AN31" s="224"/>
      <c r="AO31" s="224"/>
      <c r="AP31" s="224"/>
      <c r="AQ31" s="224"/>
      <c r="AR31" s="224"/>
      <c r="AS31" s="224"/>
      <c r="AT31" s="224"/>
      <c r="AU31" s="202"/>
      <c r="AV31" s="225"/>
      <c r="AW31" s="225"/>
      <c r="AX31" s="225"/>
      <c r="AY31" s="225"/>
      <c r="AZ31" s="225"/>
      <c r="BA31" s="225"/>
      <c r="BB31" s="225"/>
      <c r="BC31" s="225"/>
      <c r="BD31" s="225"/>
      <c r="BE31" s="225"/>
      <c r="BF31" s="225">
        <f t="shared" si="4"/>
        <v>0</v>
      </c>
      <c r="BG31" s="225"/>
      <c r="BH31" s="225"/>
      <c r="BI31" s="225"/>
      <c r="BJ31" s="225"/>
      <c r="BK31" s="225"/>
      <c r="BL31" s="225"/>
      <c r="BM31" s="225"/>
      <c r="BN31" s="225"/>
      <c r="BO31" s="225"/>
      <c r="BP31" s="225"/>
      <c r="BQ31" s="225"/>
      <c r="BR31" s="225"/>
      <c r="BS31" s="225"/>
      <c r="BT31" s="225"/>
      <c r="BU31" s="225"/>
      <c r="BV31" s="225"/>
      <c r="BW31" s="225"/>
      <c r="BX31" s="225"/>
      <c r="BY31" s="225"/>
    </row>
    <row r="32" ht="16.5" customHeight="1" spans="1:77">
      <c r="A32" s="202"/>
      <c r="B32" s="150"/>
      <c r="C32" s="150"/>
      <c r="D32" s="150"/>
      <c r="E32" s="150"/>
      <c r="F32" s="150"/>
      <c r="G32" s="150"/>
      <c r="H32" s="150"/>
      <c r="I32" s="150"/>
      <c r="J32" s="150"/>
      <c r="K32" s="150"/>
      <c r="L32" s="150"/>
      <c r="M32" s="150"/>
      <c r="N32" s="150"/>
      <c r="O32" s="150"/>
      <c r="P32" s="150"/>
      <c r="Q32" s="150"/>
      <c r="R32" s="150"/>
      <c r="S32" s="219"/>
      <c r="T32" s="219"/>
      <c r="U32" s="202" t="s">
        <v>205</v>
      </c>
      <c r="V32" s="150"/>
      <c r="W32" s="150"/>
      <c r="X32" s="202"/>
      <c r="Y32" s="224"/>
      <c r="Z32" s="224"/>
      <c r="AA32" s="224"/>
      <c r="AB32" s="224"/>
      <c r="AC32" s="224"/>
      <c r="AD32" s="224"/>
      <c r="AE32" s="224"/>
      <c r="AF32" s="224"/>
      <c r="AG32" s="224"/>
      <c r="AH32" s="224"/>
      <c r="AI32" s="224"/>
      <c r="AJ32" s="224"/>
      <c r="AK32" s="224"/>
      <c r="AL32" s="224"/>
      <c r="AM32" s="224"/>
      <c r="AN32" s="224"/>
      <c r="AO32" s="224"/>
      <c r="AP32" s="224"/>
      <c r="AQ32" s="224"/>
      <c r="AR32" s="224"/>
      <c r="AS32" s="224"/>
      <c r="AT32" s="224"/>
      <c r="AU32" s="202"/>
      <c r="AV32" s="225"/>
      <c r="AW32" s="225"/>
      <c r="AX32" s="225"/>
      <c r="AY32" s="225"/>
      <c r="AZ32" s="225"/>
      <c r="BA32" s="225"/>
      <c r="BB32" s="225"/>
      <c r="BC32" s="225"/>
      <c r="BD32" s="225"/>
      <c r="BE32" s="225"/>
      <c r="BF32" s="225">
        <f t="shared" si="4"/>
        <v>0</v>
      </c>
      <c r="BG32" s="225"/>
      <c r="BH32" s="225"/>
      <c r="BI32" s="225"/>
      <c r="BJ32" s="225"/>
      <c r="BK32" s="225"/>
      <c r="BL32" s="225"/>
      <c r="BM32" s="225"/>
      <c r="BN32" s="225"/>
      <c r="BO32" s="225"/>
      <c r="BP32" s="225"/>
      <c r="BQ32" s="225"/>
      <c r="BR32" s="225"/>
      <c r="BS32" s="225"/>
      <c r="BT32" s="225"/>
      <c r="BU32" s="225"/>
      <c r="BV32" s="225"/>
      <c r="BW32" s="225"/>
      <c r="BX32" s="225"/>
      <c r="BY32" s="225"/>
    </row>
    <row r="33" ht="16.5" customHeight="1" spans="1:77">
      <c r="A33" s="202"/>
      <c r="B33" s="147"/>
      <c r="C33" s="147"/>
      <c r="D33" s="147"/>
      <c r="E33" s="147"/>
      <c r="F33" s="147"/>
      <c r="G33" s="147"/>
      <c r="H33" s="147"/>
      <c r="I33" s="147"/>
      <c r="J33" s="147"/>
      <c r="K33" s="147"/>
      <c r="L33" s="147"/>
      <c r="M33" s="147"/>
      <c r="N33" s="147"/>
      <c r="O33" s="147"/>
      <c r="P33" s="147"/>
      <c r="Q33" s="147"/>
      <c r="R33" s="147"/>
      <c r="S33" s="218"/>
      <c r="T33" s="218"/>
      <c r="U33" s="202" t="s">
        <v>205</v>
      </c>
      <c r="V33" s="147"/>
      <c r="W33" s="147"/>
      <c r="X33" s="202"/>
      <c r="Y33" s="224"/>
      <c r="Z33" s="224"/>
      <c r="AA33" s="224"/>
      <c r="AB33" s="224"/>
      <c r="AC33" s="224"/>
      <c r="AD33" s="224"/>
      <c r="AE33" s="224"/>
      <c r="AF33" s="224"/>
      <c r="AG33" s="224"/>
      <c r="AH33" s="224"/>
      <c r="AI33" s="224"/>
      <c r="AJ33" s="224"/>
      <c r="AK33" s="224"/>
      <c r="AL33" s="224"/>
      <c r="AM33" s="224"/>
      <c r="AN33" s="224"/>
      <c r="AO33" s="224"/>
      <c r="AP33" s="224"/>
      <c r="AQ33" s="224"/>
      <c r="AR33" s="224"/>
      <c r="AS33" s="224"/>
      <c r="AT33" s="224"/>
      <c r="AU33" s="202"/>
      <c r="AV33" s="225"/>
      <c r="AW33" s="225"/>
      <c r="AX33" s="225"/>
      <c r="AY33" s="225"/>
      <c r="AZ33" s="225"/>
      <c r="BA33" s="225"/>
      <c r="BB33" s="225"/>
      <c r="BC33" s="225"/>
      <c r="BD33" s="225"/>
      <c r="BE33" s="225"/>
      <c r="BF33" s="225">
        <f t="shared" si="4"/>
        <v>0</v>
      </c>
      <c r="BG33" s="225"/>
      <c r="BH33" s="225"/>
      <c r="BI33" s="225"/>
      <c r="BJ33" s="225"/>
      <c r="BK33" s="225"/>
      <c r="BL33" s="225"/>
      <c r="BM33" s="225"/>
      <c r="BN33" s="225"/>
      <c r="BO33" s="225"/>
      <c r="BP33" s="225"/>
      <c r="BQ33" s="225"/>
      <c r="BR33" s="225"/>
      <c r="BS33" s="225"/>
      <c r="BT33" s="225"/>
      <c r="BU33" s="225"/>
      <c r="BV33" s="225"/>
      <c r="BW33" s="225"/>
      <c r="BX33" s="225"/>
      <c r="BY33" s="225"/>
    </row>
    <row r="34" ht="16.5" customHeight="1" spans="1:77">
      <c r="A34" s="202"/>
      <c r="B34" s="150"/>
      <c r="C34" s="150"/>
      <c r="D34" s="150"/>
      <c r="E34" s="150"/>
      <c r="F34" s="150"/>
      <c r="G34" s="150"/>
      <c r="H34" s="150"/>
      <c r="I34" s="150"/>
      <c r="J34" s="150"/>
      <c r="K34" s="150"/>
      <c r="L34" s="150"/>
      <c r="M34" s="150"/>
      <c r="N34" s="150"/>
      <c r="O34" s="150"/>
      <c r="P34" s="150"/>
      <c r="Q34" s="150"/>
      <c r="R34" s="150"/>
      <c r="S34" s="219"/>
      <c r="T34" s="219"/>
      <c r="U34" s="202" t="s">
        <v>205</v>
      </c>
      <c r="V34" s="150"/>
      <c r="W34" s="150"/>
      <c r="X34" s="202"/>
      <c r="Y34" s="224"/>
      <c r="Z34" s="224"/>
      <c r="AA34" s="224"/>
      <c r="AB34" s="224"/>
      <c r="AC34" s="224"/>
      <c r="AD34" s="224"/>
      <c r="AE34" s="224"/>
      <c r="AF34" s="224"/>
      <c r="AG34" s="224"/>
      <c r="AH34" s="224"/>
      <c r="AI34" s="224"/>
      <c r="AJ34" s="224"/>
      <c r="AK34" s="224"/>
      <c r="AL34" s="224"/>
      <c r="AM34" s="224"/>
      <c r="AN34" s="224"/>
      <c r="AO34" s="224"/>
      <c r="AP34" s="224"/>
      <c r="AQ34" s="224"/>
      <c r="AR34" s="224"/>
      <c r="AS34" s="224"/>
      <c r="AT34" s="224"/>
      <c r="AU34" s="202"/>
      <c r="AV34" s="225"/>
      <c r="AW34" s="225"/>
      <c r="AX34" s="225"/>
      <c r="AY34" s="225"/>
      <c r="AZ34" s="225"/>
      <c r="BA34" s="225"/>
      <c r="BB34" s="225"/>
      <c r="BC34" s="225"/>
      <c r="BD34" s="225"/>
      <c r="BE34" s="225"/>
      <c r="BF34" s="225">
        <f t="shared" si="4"/>
        <v>0</v>
      </c>
      <c r="BG34" s="225"/>
      <c r="BH34" s="225"/>
      <c r="BI34" s="225"/>
      <c r="BJ34" s="225"/>
      <c r="BK34" s="225"/>
      <c r="BL34" s="225"/>
      <c r="BM34" s="225"/>
      <c r="BN34" s="225"/>
      <c r="BO34" s="225"/>
      <c r="BP34" s="225"/>
      <c r="BQ34" s="225"/>
      <c r="BR34" s="225"/>
      <c r="BS34" s="225"/>
      <c r="BT34" s="225"/>
      <c r="BU34" s="225"/>
      <c r="BV34" s="225"/>
      <c r="BW34" s="225"/>
      <c r="BX34" s="225"/>
      <c r="BY34" s="225"/>
    </row>
    <row r="35" ht="16.5" customHeight="1" spans="1:77">
      <c r="A35" s="202"/>
      <c r="B35" s="147"/>
      <c r="C35" s="147"/>
      <c r="D35" s="147"/>
      <c r="E35" s="147"/>
      <c r="F35" s="147"/>
      <c r="G35" s="147"/>
      <c r="H35" s="147"/>
      <c r="I35" s="147"/>
      <c r="J35" s="147"/>
      <c r="K35" s="147"/>
      <c r="L35" s="147"/>
      <c r="M35" s="147"/>
      <c r="N35" s="147"/>
      <c r="O35" s="147"/>
      <c r="P35" s="147"/>
      <c r="Q35" s="147"/>
      <c r="R35" s="147"/>
      <c r="S35" s="218"/>
      <c r="T35" s="218"/>
      <c r="U35" s="202" t="s">
        <v>205</v>
      </c>
      <c r="V35" s="147"/>
      <c r="W35" s="147"/>
      <c r="X35" s="202"/>
      <c r="Y35" s="224"/>
      <c r="Z35" s="224"/>
      <c r="AA35" s="224"/>
      <c r="AB35" s="224"/>
      <c r="AC35" s="224"/>
      <c r="AD35" s="224"/>
      <c r="AE35" s="224"/>
      <c r="AF35" s="224"/>
      <c r="AG35" s="224"/>
      <c r="AH35" s="224"/>
      <c r="AI35" s="224"/>
      <c r="AJ35" s="224"/>
      <c r="AK35" s="224"/>
      <c r="AL35" s="224"/>
      <c r="AM35" s="224"/>
      <c r="AN35" s="224"/>
      <c r="AO35" s="224"/>
      <c r="AP35" s="224"/>
      <c r="AQ35" s="224"/>
      <c r="AR35" s="224"/>
      <c r="AS35" s="224"/>
      <c r="AT35" s="224"/>
      <c r="AU35" s="202"/>
      <c r="AV35" s="225"/>
      <c r="AW35" s="225"/>
      <c r="AX35" s="225"/>
      <c r="AY35" s="225"/>
      <c r="AZ35" s="225"/>
      <c r="BA35" s="225"/>
      <c r="BB35" s="225"/>
      <c r="BC35" s="225"/>
      <c r="BD35" s="225"/>
      <c r="BE35" s="225"/>
      <c r="BF35" s="225">
        <f t="shared" si="4"/>
        <v>0</v>
      </c>
      <c r="BG35" s="225"/>
      <c r="BH35" s="225"/>
      <c r="BI35" s="225"/>
      <c r="BJ35" s="225"/>
      <c r="BK35" s="225"/>
      <c r="BL35" s="225"/>
      <c r="BM35" s="225"/>
      <c r="BN35" s="225"/>
      <c r="BO35" s="225"/>
      <c r="BP35" s="225"/>
      <c r="BQ35" s="225"/>
      <c r="BR35" s="225"/>
      <c r="BS35" s="225"/>
      <c r="BT35" s="225"/>
      <c r="BU35" s="225"/>
      <c r="BV35" s="225"/>
      <c r="BW35" s="225"/>
      <c r="BX35" s="225"/>
      <c r="BY35" s="225"/>
    </row>
    <row r="36" ht="16.5" customHeight="1" spans="1:77">
      <c r="A36" s="202"/>
      <c r="B36" s="150"/>
      <c r="C36" s="150"/>
      <c r="D36" s="150"/>
      <c r="E36" s="150"/>
      <c r="F36" s="150"/>
      <c r="G36" s="150"/>
      <c r="H36" s="150"/>
      <c r="I36" s="150"/>
      <c r="J36" s="150"/>
      <c r="K36" s="150"/>
      <c r="L36" s="150"/>
      <c r="M36" s="150"/>
      <c r="N36" s="150"/>
      <c r="O36" s="150"/>
      <c r="P36" s="150"/>
      <c r="Q36" s="150"/>
      <c r="R36" s="150"/>
      <c r="S36" s="219"/>
      <c r="T36" s="219"/>
      <c r="U36" s="202" t="s">
        <v>205</v>
      </c>
      <c r="V36" s="150"/>
      <c r="W36" s="150"/>
      <c r="X36" s="202"/>
      <c r="Y36" s="224"/>
      <c r="Z36" s="224"/>
      <c r="AA36" s="224"/>
      <c r="AB36" s="224"/>
      <c r="AC36" s="224"/>
      <c r="AD36" s="224"/>
      <c r="AE36" s="224"/>
      <c r="AF36" s="224"/>
      <c r="AG36" s="224"/>
      <c r="AH36" s="224"/>
      <c r="AI36" s="224"/>
      <c r="AJ36" s="224"/>
      <c r="AK36" s="224"/>
      <c r="AL36" s="224"/>
      <c r="AM36" s="224"/>
      <c r="AN36" s="224"/>
      <c r="AO36" s="224"/>
      <c r="AP36" s="224"/>
      <c r="AQ36" s="224"/>
      <c r="AR36" s="224"/>
      <c r="AS36" s="224"/>
      <c r="AT36" s="224"/>
      <c r="AU36" s="202"/>
      <c r="AV36" s="225"/>
      <c r="AW36" s="225"/>
      <c r="AX36" s="225"/>
      <c r="AY36" s="225"/>
      <c r="AZ36" s="225"/>
      <c r="BA36" s="225"/>
      <c r="BB36" s="225"/>
      <c r="BC36" s="225"/>
      <c r="BD36" s="225"/>
      <c r="BE36" s="225"/>
      <c r="BF36" s="225">
        <f t="shared" si="4"/>
        <v>0</v>
      </c>
      <c r="BG36" s="225"/>
      <c r="BH36" s="225"/>
      <c r="BI36" s="225"/>
      <c r="BJ36" s="225"/>
      <c r="BK36" s="225"/>
      <c r="BL36" s="225"/>
      <c r="BM36" s="225"/>
      <c r="BN36" s="225"/>
      <c r="BO36" s="225"/>
      <c r="BP36" s="225"/>
      <c r="BQ36" s="225"/>
      <c r="BR36" s="225"/>
      <c r="BS36" s="225"/>
      <c r="BT36" s="225"/>
      <c r="BU36" s="225"/>
      <c r="BV36" s="225"/>
      <c r="BW36" s="225"/>
      <c r="BX36" s="225"/>
      <c r="BY36" s="225"/>
    </row>
    <row r="37" ht="16.5" customHeight="1" spans="1:77">
      <c r="A37" s="202"/>
      <c r="B37" s="147"/>
      <c r="C37" s="147"/>
      <c r="D37" s="147"/>
      <c r="E37" s="147"/>
      <c r="F37" s="147"/>
      <c r="G37" s="147"/>
      <c r="H37" s="147"/>
      <c r="I37" s="147"/>
      <c r="J37" s="147"/>
      <c r="K37" s="147"/>
      <c r="L37" s="147"/>
      <c r="M37" s="147"/>
      <c r="N37" s="147"/>
      <c r="O37" s="147"/>
      <c r="P37" s="147"/>
      <c r="Q37" s="147"/>
      <c r="R37" s="147"/>
      <c r="S37" s="218"/>
      <c r="T37" s="218"/>
      <c r="U37" s="202" t="s">
        <v>205</v>
      </c>
      <c r="V37" s="147"/>
      <c r="W37" s="147"/>
      <c r="X37" s="202"/>
      <c r="Y37" s="224"/>
      <c r="Z37" s="224"/>
      <c r="AA37" s="224"/>
      <c r="AB37" s="224"/>
      <c r="AC37" s="224"/>
      <c r="AD37" s="224"/>
      <c r="AE37" s="224"/>
      <c r="AF37" s="224"/>
      <c r="AG37" s="224"/>
      <c r="AH37" s="224"/>
      <c r="AI37" s="224"/>
      <c r="AJ37" s="224"/>
      <c r="AK37" s="224"/>
      <c r="AL37" s="224"/>
      <c r="AM37" s="224"/>
      <c r="AN37" s="224"/>
      <c r="AO37" s="224"/>
      <c r="AP37" s="224"/>
      <c r="AQ37" s="224"/>
      <c r="AR37" s="224"/>
      <c r="AS37" s="224"/>
      <c r="AT37" s="224"/>
      <c r="AU37" s="202"/>
      <c r="AV37" s="225"/>
      <c r="AW37" s="225"/>
      <c r="AX37" s="225"/>
      <c r="AY37" s="225"/>
      <c r="AZ37" s="225"/>
      <c r="BA37" s="225"/>
      <c r="BB37" s="225"/>
      <c r="BC37" s="225"/>
      <c r="BD37" s="225"/>
      <c r="BE37" s="225"/>
      <c r="BF37" s="225">
        <f t="shared" si="4"/>
        <v>0</v>
      </c>
      <c r="BG37" s="225"/>
      <c r="BH37" s="225"/>
      <c r="BI37" s="225"/>
      <c r="BJ37" s="225"/>
      <c r="BK37" s="225"/>
      <c r="BL37" s="225"/>
      <c r="BM37" s="225"/>
      <c r="BN37" s="225"/>
      <c r="BO37" s="225"/>
      <c r="BP37" s="225"/>
      <c r="BQ37" s="225"/>
      <c r="BR37" s="225"/>
      <c r="BS37" s="225"/>
      <c r="BT37" s="225"/>
      <c r="BU37" s="225"/>
      <c r="BV37" s="225"/>
      <c r="BW37" s="225"/>
      <c r="BX37" s="225"/>
      <c r="BY37" s="225"/>
    </row>
    <row r="38" ht="16.5" customHeight="1" spans="1:77">
      <c r="A38" s="202"/>
      <c r="B38" s="150"/>
      <c r="C38" s="150"/>
      <c r="D38" s="150"/>
      <c r="E38" s="150"/>
      <c r="F38" s="150"/>
      <c r="G38" s="150"/>
      <c r="H38" s="150"/>
      <c r="I38" s="150"/>
      <c r="J38" s="150"/>
      <c r="K38" s="150"/>
      <c r="L38" s="150"/>
      <c r="M38" s="150"/>
      <c r="N38" s="150"/>
      <c r="O38" s="150"/>
      <c r="P38" s="150"/>
      <c r="Q38" s="150"/>
      <c r="R38" s="150"/>
      <c r="S38" s="219"/>
      <c r="T38" s="219"/>
      <c r="U38" s="202" t="s">
        <v>205</v>
      </c>
      <c r="V38" s="150"/>
      <c r="W38" s="150"/>
      <c r="X38" s="202"/>
      <c r="Y38" s="224"/>
      <c r="Z38" s="224"/>
      <c r="AA38" s="224"/>
      <c r="AB38" s="224"/>
      <c r="AC38" s="224"/>
      <c r="AD38" s="224"/>
      <c r="AE38" s="224"/>
      <c r="AF38" s="224"/>
      <c r="AG38" s="224"/>
      <c r="AH38" s="224"/>
      <c r="AI38" s="224"/>
      <c r="AJ38" s="224"/>
      <c r="AK38" s="224"/>
      <c r="AL38" s="224"/>
      <c r="AM38" s="224"/>
      <c r="AN38" s="224"/>
      <c r="AO38" s="224"/>
      <c r="AP38" s="224"/>
      <c r="AQ38" s="224"/>
      <c r="AR38" s="224"/>
      <c r="AS38" s="224"/>
      <c r="AT38" s="224"/>
      <c r="AU38" s="202"/>
      <c r="AV38" s="225"/>
      <c r="AW38" s="225"/>
      <c r="AX38" s="225"/>
      <c r="AY38" s="225"/>
      <c r="AZ38" s="225"/>
      <c r="BA38" s="225"/>
      <c r="BB38" s="225"/>
      <c r="BC38" s="225"/>
      <c r="BD38" s="225"/>
      <c r="BE38" s="225"/>
      <c r="BF38" s="225">
        <f t="shared" si="4"/>
        <v>0</v>
      </c>
      <c r="BG38" s="225"/>
      <c r="BH38" s="225"/>
      <c r="BI38" s="225"/>
      <c r="BJ38" s="225"/>
      <c r="BK38" s="225"/>
      <c r="BL38" s="225"/>
      <c r="BM38" s="225"/>
      <c r="BN38" s="225"/>
      <c r="BO38" s="225"/>
      <c r="BP38" s="225"/>
      <c r="BQ38" s="225"/>
      <c r="BR38" s="225"/>
      <c r="BS38" s="225"/>
      <c r="BT38" s="225"/>
      <c r="BU38" s="225"/>
      <c r="BV38" s="225"/>
      <c r="BW38" s="225"/>
      <c r="BX38" s="225"/>
      <c r="BY38" s="225"/>
    </row>
    <row r="39" ht="16.5" customHeight="1" spans="1:77">
      <c r="A39" s="202" t="s">
        <v>209</v>
      </c>
      <c r="B39" s="140"/>
      <c r="C39" s="140"/>
      <c r="D39" s="140"/>
      <c r="E39" s="140"/>
      <c r="F39" s="140"/>
      <c r="G39" s="140"/>
      <c r="H39" s="140"/>
      <c r="I39" s="140"/>
      <c r="J39" s="140"/>
      <c r="K39" s="140"/>
      <c r="L39" s="140"/>
      <c r="M39" s="140"/>
      <c r="N39" s="140"/>
      <c r="O39" s="140"/>
      <c r="P39" s="140"/>
      <c r="Q39" s="140"/>
      <c r="R39" s="140"/>
      <c r="S39" s="220"/>
      <c r="T39" s="220"/>
      <c r="U39" s="221"/>
      <c r="V39" s="220"/>
      <c r="W39" s="220"/>
      <c r="X39" s="202"/>
      <c r="Y39" s="224"/>
      <c r="Z39" s="224"/>
      <c r="AA39" s="224"/>
      <c r="AB39" s="224"/>
      <c r="AC39" s="224"/>
      <c r="AD39" s="224"/>
      <c r="AE39" s="224"/>
      <c r="AF39" s="224"/>
      <c r="AG39" s="224"/>
      <c r="AH39" s="224"/>
      <c r="AI39" s="224"/>
      <c r="AJ39" s="224"/>
      <c r="AK39" s="224"/>
      <c r="AL39" s="224"/>
      <c r="AM39" s="224"/>
      <c r="AN39" s="224"/>
      <c r="AO39" s="224"/>
      <c r="AP39" s="224"/>
      <c r="AQ39" s="224"/>
      <c r="AR39" s="224"/>
      <c r="AS39" s="224"/>
      <c r="AT39" s="224"/>
      <c r="AU39" s="202"/>
      <c r="AV39" s="225"/>
      <c r="AW39" s="225"/>
      <c r="AX39" s="225"/>
      <c r="AY39" s="225"/>
      <c r="AZ39" s="225"/>
      <c r="BA39" s="225"/>
      <c r="BB39" s="225"/>
      <c r="BC39" s="225"/>
      <c r="BD39" s="225"/>
      <c r="BE39" s="225"/>
      <c r="BF39" s="225"/>
      <c r="BG39" s="225"/>
      <c r="BH39" s="225"/>
      <c r="BI39" s="225"/>
      <c r="BJ39" s="225"/>
      <c r="BK39" s="225"/>
      <c r="BL39" s="225"/>
      <c r="BM39" s="225"/>
      <c r="BN39" s="225"/>
      <c r="BO39" s="225"/>
      <c r="BP39" s="225"/>
      <c r="BQ39" s="225"/>
      <c r="BR39" s="225"/>
      <c r="BS39" s="225"/>
      <c r="BT39" s="225"/>
      <c r="BU39" s="225"/>
      <c r="BV39" s="225"/>
      <c r="BW39" s="225"/>
      <c r="BX39" s="225"/>
      <c r="BY39" s="225"/>
    </row>
    <row r="40" ht="16.5" customHeight="1" spans="1:77">
      <c r="A40" s="202"/>
      <c r="B40" s="147"/>
      <c r="C40" s="147"/>
      <c r="D40" s="147"/>
      <c r="E40" s="147"/>
      <c r="F40" s="147"/>
      <c r="G40" s="147"/>
      <c r="H40" s="147"/>
      <c r="I40" s="147"/>
      <c r="J40" s="147"/>
      <c r="K40" s="147"/>
      <c r="L40" s="147"/>
      <c r="M40" s="147"/>
      <c r="N40" s="147"/>
      <c r="O40" s="147"/>
      <c r="P40" s="147"/>
      <c r="Q40" s="147"/>
      <c r="R40" s="147"/>
      <c r="S40" s="218"/>
      <c r="T40" s="218"/>
      <c r="U40" s="202" t="s">
        <v>205</v>
      </c>
      <c r="V40" s="147"/>
      <c r="W40" s="147"/>
      <c r="X40" s="202"/>
      <c r="Y40" s="224"/>
      <c r="Z40" s="224"/>
      <c r="AA40" s="224"/>
      <c r="AB40" s="224"/>
      <c r="AC40" s="224"/>
      <c r="AD40" s="224"/>
      <c r="AE40" s="224"/>
      <c r="AF40" s="224"/>
      <c r="AG40" s="224"/>
      <c r="AH40" s="224"/>
      <c r="AI40" s="224"/>
      <c r="AJ40" s="224"/>
      <c r="AK40" s="224"/>
      <c r="AL40" s="224"/>
      <c r="AM40" s="224"/>
      <c r="AN40" s="224"/>
      <c r="AO40" s="224"/>
      <c r="AP40" s="224"/>
      <c r="AQ40" s="224"/>
      <c r="AR40" s="224"/>
      <c r="AS40" s="224"/>
      <c r="AT40" s="224"/>
      <c r="AU40" s="202"/>
      <c r="AV40" s="225"/>
      <c r="AW40" s="225"/>
      <c r="AX40" s="225"/>
      <c r="AY40" s="225"/>
      <c r="AZ40" s="225"/>
      <c r="BA40" s="225"/>
      <c r="BB40" s="225"/>
      <c r="BC40" s="225"/>
      <c r="BD40" s="225"/>
      <c r="BE40" s="225"/>
      <c r="BF40" s="225">
        <f t="shared" ref="BF40:BF49" si="5">S40*V40</f>
        <v>0</v>
      </c>
      <c r="BG40" s="225"/>
      <c r="BH40" s="225"/>
      <c r="BI40" s="225"/>
      <c r="BJ40" s="225"/>
      <c r="BK40" s="225"/>
      <c r="BL40" s="225"/>
      <c r="BM40" s="225"/>
      <c r="BN40" s="225"/>
      <c r="BO40" s="225"/>
      <c r="BP40" s="225"/>
      <c r="BQ40" s="225"/>
      <c r="BR40" s="225"/>
      <c r="BS40" s="225"/>
      <c r="BT40" s="225"/>
      <c r="BU40" s="225"/>
      <c r="BV40" s="225"/>
      <c r="BW40" s="225"/>
      <c r="BX40" s="225"/>
      <c r="BY40" s="225"/>
    </row>
    <row r="41" ht="16.5" customHeight="1" spans="1:77">
      <c r="A41" s="202"/>
      <c r="B41" s="150"/>
      <c r="C41" s="150"/>
      <c r="D41" s="150"/>
      <c r="E41" s="150"/>
      <c r="F41" s="150"/>
      <c r="G41" s="150"/>
      <c r="H41" s="150"/>
      <c r="I41" s="150"/>
      <c r="J41" s="150"/>
      <c r="K41" s="150"/>
      <c r="L41" s="150"/>
      <c r="M41" s="150"/>
      <c r="N41" s="150"/>
      <c r="O41" s="150"/>
      <c r="P41" s="150"/>
      <c r="Q41" s="150"/>
      <c r="R41" s="150"/>
      <c r="S41" s="219"/>
      <c r="T41" s="219"/>
      <c r="U41" s="202" t="s">
        <v>205</v>
      </c>
      <c r="V41" s="150"/>
      <c r="W41" s="150"/>
      <c r="X41" s="202"/>
      <c r="Y41" s="224"/>
      <c r="Z41" s="224"/>
      <c r="AA41" s="224"/>
      <c r="AB41" s="224"/>
      <c r="AC41" s="224"/>
      <c r="AD41" s="224"/>
      <c r="AE41" s="224"/>
      <c r="AF41" s="224"/>
      <c r="AG41" s="224"/>
      <c r="AH41" s="224"/>
      <c r="AI41" s="224"/>
      <c r="AJ41" s="224"/>
      <c r="AK41" s="224"/>
      <c r="AL41" s="224"/>
      <c r="AM41" s="224"/>
      <c r="AN41" s="224"/>
      <c r="AO41" s="224"/>
      <c r="AP41" s="224"/>
      <c r="AQ41" s="224"/>
      <c r="AR41" s="224"/>
      <c r="AS41" s="224"/>
      <c r="AT41" s="224"/>
      <c r="AU41" s="202"/>
      <c r="AV41" s="225"/>
      <c r="AW41" s="225"/>
      <c r="AX41" s="225"/>
      <c r="AY41" s="225"/>
      <c r="AZ41" s="225"/>
      <c r="BA41" s="225"/>
      <c r="BB41" s="225"/>
      <c r="BC41" s="225"/>
      <c r="BD41" s="225"/>
      <c r="BE41" s="225"/>
      <c r="BF41" s="225">
        <f t="shared" si="5"/>
        <v>0</v>
      </c>
      <c r="BG41" s="225"/>
      <c r="BH41" s="225"/>
      <c r="BI41" s="225"/>
      <c r="BJ41" s="225"/>
      <c r="BK41" s="225"/>
      <c r="BL41" s="225"/>
      <c r="BM41" s="225"/>
      <c r="BN41" s="225"/>
      <c r="BO41" s="225"/>
      <c r="BP41" s="225"/>
      <c r="BQ41" s="225"/>
      <c r="BR41" s="225"/>
      <c r="BS41" s="225"/>
      <c r="BT41" s="225"/>
      <c r="BU41" s="225"/>
      <c r="BV41" s="225"/>
      <c r="BW41" s="225"/>
      <c r="BX41" s="225"/>
      <c r="BY41" s="225"/>
    </row>
    <row r="42" ht="16.5" customHeight="1" spans="1:77">
      <c r="A42" s="202"/>
      <c r="B42" s="147"/>
      <c r="C42" s="147"/>
      <c r="D42" s="147"/>
      <c r="E42" s="147"/>
      <c r="F42" s="147"/>
      <c r="G42" s="147"/>
      <c r="H42" s="147"/>
      <c r="I42" s="147"/>
      <c r="J42" s="147"/>
      <c r="K42" s="147"/>
      <c r="L42" s="147"/>
      <c r="M42" s="147"/>
      <c r="N42" s="147"/>
      <c r="O42" s="147"/>
      <c r="P42" s="147"/>
      <c r="Q42" s="147"/>
      <c r="R42" s="147"/>
      <c r="S42" s="218"/>
      <c r="T42" s="218"/>
      <c r="U42" s="202" t="s">
        <v>205</v>
      </c>
      <c r="V42" s="147"/>
      <c r="W42" s="147"/>
      <c r="X42" s="202"/>
      <c r="Y42" s="224"/>
      <c r="Z42" s="224"/>
      <c r="AA42" s="224"/>
      <c r="AB42" s="224"/>
      <c r="AC42" s="224"/>
      <c r="AD42" s="224"/>
      <c r="AE42" s="224"/>
      <c r="AF42" s="224"/>
      <c r="AG42" s="224"/>
      <c r="AH42" s="224"/>
      <c r="AI42" s="224"/>
      <c r="AJ42" s="224"/>
      <c r="AK42" s="224"/>
      <c r="AL42" s="224"/>
      <c r="AM42" s="224"/>
      <c r="AN42" s="224"/>
      <c r="AO42" s="224"/>
      <c r="AP42" s="224"/>
      <c r="AQ42" s="224"/>
      <c r="AR42" s="224"/>
      <c r="AS42" s="224"/>
      <c r="AT42" s="224"/>
      <c r="AU42" s="202"/>
      <c r="AV42" s="225"/>
      <c r="AW42" s="225"/>
      <c r="AX42" s="225"/>
      <c r="AY42" s="225"/>
      <c r="AZ42" s="225"/>
      <c r="BA42" s="225"/>
      <c r="BB42" s="225"/>
      <c r="BC42" s="225"/>
      <c r="BD42" s="225"/>
      <c r="BE42" s="225"/>
      <c r="BF42" s="225">
        <f t="shared" si="5"/>
        <v>0</v>
      </c>
      <c r="BG42" s="225"/>
      <c r="BH42" s="225"/>
      <c r="BI42" s="225"/>
      <c r="BJ42" s="225"/>
      <c r="BK42" s="225"/>
      <c r="BL42" s="225"/>
      <c r="BM42" s="225"/>
      <c r="BN42" s="225"/>
      <c r="BO42" s="225"/>
      <c r="BP42" s="225"/>
      <c r="BQ42" s="225"/>
      <c r="BR42" s="225"/>
      <c r="BS42" s="225"/>
      <c r="BT42" s="225"/>
      <c r="BU42" s="225"/>
      <c r="BV42" s="225"/>
      <c r="BW42" s="225"/>
      <c r="BX42" s="225"/>
      <c r="BY42" s="225"/>
    </row>
    <row r="43" ht="16.5" customHeight="1" spans="1:77">
      <c r="A43" s="202"/>
      <c r="B43" s="150"/>
      <c r="C43" s="150"/>
      <c r="D43" s="150"/>
      <c r="E43" s="150"/>
      <c r="F43" s="150"/>
      <c r="G43" s="150"/>
      <c r="H43" s="150"/>
      <c r="I43" s="150"/>
      <c r="J43" s="150"/>
      <c r="K43" s="150"/>
      <c r="L43" s="150"/>
      <c r="M43" s="150"/>
      <c r="N43" s="150"/>
      <c r="O43" s="150"/>
      <c r="P43" s="150"/>
      <c r="Q43" s="150"/>
      <c r="R43" s="150"/>
      <c r="S43" s="219"/>
      <c r="T43" s="219"/>
      <c r="U43" s="202" t="s">
        <v>205</v>
      </c>
      <c r="V43" s="150"/>
      <c r="W43" s="150"/>
      <c r="X43" s="202"/>
      <c r="Y43" s="224"/>
      <c r="Z43" s="224"/>
      <c r="AA43" s="224"/>
      <c r="AB43" s="224"/>
      <c r="AC43" s="224"/>
      <c r="AD43" s="224"/>
      <c r="AE43" s="224"/>
      <c r="AF43" s="224"/>
      <c r="AG43" s="224"/>
      <c r="AH43" s="224"/>
      <c r="AI43" s="224"/>
      <c r="AJ43" s="224"/>
      <c r="AK43" s="224"/>
      <c r="AL43" s="224"/>
      <c r="AM43" s="224"/>
      <c r="AN43" s="224"/>
      <c r="AO43" s="224"/>
      <c r="AP43" s="224"/>
      <c r="AQ43" s="224"/>
      <c r="AR43" s="224"/>
      <c r="AS43" s="224"/>
      <c r="AT43" s="224"/>
      <c r="AU43" s="202"/>
      <c r="AV43" s="225"/>
      <c r="AW43" s="225"/>
      <c r="AX43" s="225"/>
      <c r="AY43" s="225"/>
      <c r="AZ43" s="225"/>
      <c r="BA43" s="225"/>
      <c r="BB43" s="225"/>
      <c r="BC43" s="225"/>
      <c r="BD43" s="225"/>
      <c r="BE43" s="225"/>
      <c r="BF43" s="225">
        <f t="shared" si="5"/>
        <v>0</v>
      </c>
      <c r="BG43" s="225"/>
      <c r="BH43" s="225"/>
      <c r="BI43" s="225"/>
      <c r="BJ43" s="225"/>
      <c r="BK43" s="225"/>
      <c r="BL43" s="225"/>
      <c r="BM43" s="225"/>
      <c r="BN43" s="225"/>
      <c r="BO43" s="225"/>
      <c r="BP43" s="225"/>
      <c r="BQ43" s="225"/>
      <c r="BR43" s="225"/>
      <c r="BS43" s="225"/>
      <c r="BT43" s="225"/>
      <c r="BU43" s="225"/>
      <c r="BV43" s="225"/>
      <c r="BW43" s="225"/>
      <c r="BX43" s="225"/>
      <c r="BY43" s="225"/>
    </row>
    <row r="44" ht="16.5" customHeight="1" spans="1:77">
      <c r="A44" s="202"/>
      <c r="B44" s="147"/>
      <c r="C44" s="147"/>
      <c r="D44" s="147"/>
      <c r="E44" s="147"/>
      <c r="F44" s="147"/>
      <c r="G44" s="147"/>
      <c r="H44" s="147"/>
      <c r="I44" s="147"/>
      <c r="J44" s="147"/>
      <c r="K44" s="147"/>
      <c r="L44" s="147"/>
      <c r="M44" s="147"/>
      <c r="N44" s="147"/>
      <c r="O44" s="147"/>
      <c r="P44" s="147"/>
      <c r="Q44" s="147"/>
      <c r="R44" s="147"/>
      <c r="S44" s="218"/>
      <c r="T44" s="218"/>
      <c r="U44" s="202" t="s">
        <v>205</v>
      </c>
      <c r="V44" s="147"/>
      <c r="W44" s="147"/>
      <c r="X44" s="202"/>
      <c r="Y44" s="224"/>
      <c r="Z44" s="224"/>
      <c r="AA44" s="224"/>
      <c r="AB44" s="224"/>
      <c r="AC44" s="224"/>
      <c r="AD44" s="224"/>
      <c r="AE44" s="224"/>
      <c r="AF44" s="224"/>
      <c r="AG44" s="224"/>
      <c r="AH44" s="224"/>
      <c r="AI44" s="224"/>
      <c r="AJ44" s="224"/>
      <c r="AK44" s="224"/>
      <c r="AL44" s="224"/>
      <c r="AM44" s="224"/>
      <c r="AN44" s="224"/>
      <c r="AO44" s="224"/>
      <c r="AP44" s="224"/>
      <c r="AQ44" s="224"/>
      <c r="AR44" s="224"/>
      <c r="AS44" s="224"/>
      <c r="AT44" s="224"/>
      <c r="AU44" s="202"/>
      <c r="AV44" s="225"/>
      <c r="AW44" s="225"/>
      <c r="AX44" s="225"/>
      <c r="AY44" s="225"/>
      <c r="AZ44" s="225"/>
      <c r="BA44" s="225"/>
      <c r="BB44" s="225"/>
      <c r="BC44" s="225"/>
      <c r="BD44" s="225"/>
      <c r="BE44" s="225"/>
      <c r="BF44" s="225">
        <f t="shared" si="5"/>
        <v>0</v>
      </c>
      <c r="BG44" s="225"/>
      <c r="BH44" s="225"/>
      <c r="BI44" s="225"/>
      <c r="BJ44" s="225"/>
      <c r="BK44" s="225"/>
      <c r="BL44" s="225"/>
      <c r="BM44" s="225"/>
      <c r="BN44" s="225"/>
      <c r="BO44" s="225"/>
      <c r="BP44" s="225"/>
      <c r="BQ44" s="225"/>
      <c r="BR44" s="225"/>
      <c r="BS44" s="225"/>
      <c r="BT44" s="225"/>
      <c r="BU44" s="225"/>
      <c r="BV44" s="225"/>
      <c r="BW44" s="225"/>
      <c r="BX44" s="225"/>
      <c r="BY44" s="225"/>
    </row>
    <row r="45" ht="16.5" customHeight="1" spans="1:77">
      <c r="A45" s="202"/>
      <c r="B45" s="150"/>
      <c r="C45" s="150"/>
      <c r="D45" s="150"/>
      <c r="E45" s="150"/>
      <c r="F45" s="150"/>
      <c r="G45" s="150"/>
      <c r="H45" s="150"/>
      <c r="I45" s="150"/>
      <c r="J45" s="150"/>
      <c r="K45" s="150"/>
      <c r="L45" s="150"/>
      <c r="M45" s="150"/>
      <c r="N45" s="150"/>
      <c r="O45" s="150"/>
      <c r="P45" s="150"/>
      <c r="Q45" s="150"/>
      <c r="R45" s="150"/>
      <c r="S45" s="219"/>
      <c r="T45" s="219"/>
      <c r="U45" s="202" t="s">
        <v>205</v>
      </c>
      <c r="V45" s="150"/>
      <c r="W45" s="150"/>
      <c r="X45" s="202"/>
      <c r="Y45" s="224"/>
      <c r="Z45" s="224"/>
      <c r="AA45" s="224"/>
      <c r="AB45" s="224"/>
      <c r="AC45" s="224"/>
      <c r="AD45" s="224"/>
      <c r="AE45" s="224"/>
      <c r="AF45" s="224"/>
      <c r="AG45" s="224"/>
      <c r="AH45" s="224"/>
      <c r="AI45" s="224"/>
      <c r="AJ45" s="224"/>
      <c r="AK45" s="224"/>
      <c r="AL45" s="224"/>
      <c r="AM45" s="224"/>
      <c r="AN45" s="224"/>
      <c r="AO45" s="224"/>
      <c r="AP45" s="224"/>
      <c r="AQ45" s="224"/>
      <c r="AR45" s="224"/>
      <c r="AS45" s="224"/>
      <c r="AT45" s="224"/>
      <c r="AU45" s="202"/>
      <c r="AV45" s="225"/>
      <c r="AW45" s="225"/>
      <c r="AX45" s="225"/>
      <c r="AY45" s="225"/>
      <c r="AZ45" s="225"/>
      <c r="BA45" s="225"/>
      <c r="BB45" s="225"/>
      <c r="BC45" s="225"/>
      <c r="BD45" s="225"/>
      <c r="BE45" s="225"/>
      <c r="BF45" s="225">
        <f t="shared" si="5"/>
        <v>0</v>
      </c>
      <c r="BG45" s="225"/>
      <c r="BH45" s="225"/>
      <c r="BI45" s="225"/>
      <c r="BJ45" s="225"/>
      <c r="BK45" s="225"/>
      <c r="BL45" s="225"/>
      <c r="BM45" s="225"/>
      <c r="BN45" s="225"/>
      <c r="BO45" s="225"/>
      <c r="BP45" s="225"/>
      <c r="BQ45" s="225"/>
      <c r="BR45" s="225"/>
      <c r="BS45" s="225"/>
      <c r="BT45" s="225"/>
      <c r="BU45" s="225"/>
      <c r="BV45" s="225"/>
      <c r="BW45" s="225"/>
      <c r="BX45" s="225"/>
      <c r="BY45" s="225"/>
    </row>
    <row r="46" ht="16.5" customHeight="1" spans="1:77">
      <c r="A46" s="202"/>
      <c r="B46" s="147"/>
      <c r="C46" s="147"/>
      <c r="D46" s="147"/>
      <c r="E46" s="147"/>
      <c r="F46" s="147"/>
      <c r="G46" s="147"/>
      <c r="H46" s="147"/>
      <c r="I46" s="147"/>
      <c r="J46" s="147"/>
      <c r="K46" s="147"/>
      <c r="L46" s="147"/>
      <c r="M46" s="147"/>
      <c r="N46" s="147"/>
      <c r="O46" s="147"/>
      <c r="P46" s="147"/>
      <c r="Q46" s="147"/>
      <c r="R46" s="147"/>
      <c r="S46" s="218"/>
      <c r="T46" s="218"/>
      <c r="U46" s="202" t="s">
        <v>205</v>
      </c>
      <c r="V46" s="147"/>
      <c r="W46" s="147"/>
      <c r="X46" s="202"/>
      <c r="Y46" s="224"/>
      <c r="Z46" s="224"/>
      <c r="AA46" s="224"/>
      <c r="AB46" s="224"/>
      <c r="AC46" s="224"/>
      <c r="AD46" s="224"/>
      <c r="AE46" s="224"/>
      <c r="AF46" s="224"/>
      <c r="AG46" s="224"/>
      <c r="AH46" s="224"/>
      <c r="AI46" s="224"/>
      <c r="AJ46" s="224"/>
      <c r="AK46" s="224"/>
      <c r="AL46" s="224"/>
      <c r="AM46" s="224"/>
      <c r="AN46" s="224"/>
      <c r="AO46" s="224"/>
      <c r="AP46" s="224"/>
      <c r="AQ46" s="224"/>
      <c r="AR46" s="224"/>
      <c r="AS46" s="224"/>
      <c r="AT46" s="224"/>
      <c r="AU46" s="202"/>
      <c r="AV46" s="225"/>
      <c r="AW46" s="225"/>
      <c r="AX46" s="225"/>
      <c r="AY46" s="225"/>
      <c r="AZ46" s="225"/>
      <c r="BA46" s="225"/>
      <c r="BB46" s="225"/>
      <c r="BC46" s="225"/>
      <c r="BD46" s="225"/>
      <c r="BE46" s="225"/>
      <c r="BF46" s="225">
        <f t="shared" si="5"/>
        <v>0</v>
      </c>
      <c r="BG46" s="225"/>
      <c r="BH46" s="225"/>
      <c r="BI46" s="225"/>
      <c r="BJ46" s="225"/>
      <c r="BK46" s="225"/>
      <c r="BL46" s="225"/>
      <c r="BM46" s="225"/>
      <c r="BN46" s="225"/>
      <c r="BO46" s="225"/>
      <c r="BP46" s="225"/>
      <c r="BQ46" s="225"/>
      <c r="BR46" s="225"/>
      <c r="BS46" s="225"/>
      <c r="BT46" s="225"/>
      <c r="BU46" s="225"/>
      <c r="BV46" s="225"/>
      <c r="BW46" s="225"/>
      <c r="BX46" s="225"/>
      <c r="BY46" s="225"/>
    </row>
    <row r="47" ht="16.5" customHeight="1" spans="1:77">
      <c r="A47" s="202"/>
      <c r="B47" s="150"/>
      <c r="C47" s="150"/>
      <c r="D47" s="150"/>
      <c r="E47" s="150"/>
      <c r="F47" s="150"/>
      <c r="G47" s="150"/>
      <c r="H47" s="150"/>
      <c r="I47" s="150"/>
      <c r="J47" s="150"/>
      <c r="K47" s="150"/>
      <c r="L47" s="150"/>
      <c r="M47" s="150"/>
      <c r="N47" s="150"/>
      <c r="O47" s="150"/>
      <c r="P47" s="150"/>
      <c r="Q47" s="150"/>
      <c r="R47" s="150"/>
      <c r="S47" s="219"/>
      <c r="T47" s="219"/>
      <c r="U47" s="202" t="s">
        <v>205</v>
      </c>
      <c r="V47" s="150"/>
      <c r="W47" s="150"/>
      <c r="X47" s="202"/>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02"/>
      <c r="AV47" s="225"/>
      <c r="AW47" s="225"/>
      <c r="AX47" s="225"/>
      <c r="AY47" s="225"/>
      <c r="AZ47" s="225"/>
      <c r="BA47" s="225"/>
      <c r="BB47" s="225"/>
      <c r="BC47" s="225"/>
      <c r="BD47" s="225"/>
      <c r="BE47" s="225"/>
      <c r="BF47" s="225">
        <f t="shared" si="5"/>
        <v>0</v>
      </c>
      <c r="BG47" s="225"/>
      <c r="BH47" s="225"/>
      <c r="BI47" s="225"/>
      <c r="BJ47" s="225"/>
      <c r="BK47" s="225"/>
      <c r="BL47" s="225"/>
      <c r="BM47" s="225"/>
      <c r="BN47" s="225"/>
      <c r="BO47" s="225"/>
      <c r="BP47" s="225"/>
      <c r="BQ47" s="225"/>
      <c r="BR47" s="225"/>
      <c r="BS47" s="225"/>
      <c r="BT47" s="225"/>
      <c r="BU47" s="225"/>
      <c r="BV47" s="225"/>
      <c r="BW47" s="225"/>
      <c r="BX47" s="225"/>
      <c r="BY47" s="225"/>
    </row>
    <row r="48" ht="16.5" customHeight="1" spans="1:77">
      <c r="A48" s="202"/>
      <c r="B48" s="147"/>
      <c r="C48" s="147"/>
      <c r="D48" s="147"/>
      <c r="E48" s="147"/>
      <c r="F48" s="147"/>
      <c r="G48" s="147"/>
      <c r="H48" s="147"/>
      <c r="I48" s="147"/>
      <c r="J48" s="147"/>
      <c r="K48" s="147"/>
      <c r="L48" s="147"/>
      <c r="M48" s="147"/>
      <c r="N48" s="147"/>
      <c r="O48" s="147"/>
      <c r="P48" s="147"/>
      <c r="Q48" s="147"/>
      <c r="R48" s="147"/>
      <c r="S48" s="218"/>
      <c r="T48" s="218"/>
      <c r="U48" s="202" t="s">
        <v>205</v>
      </c>
      <c r="V48" s="147"/>
      <c r="W48" s="147"/>
      <c r="X48" s="202"/>
      <c r="Y48" s="224"/>
      <c r="Z48" s="224"/>
      <c r="AA48" s="224"/>
      <c r="AB48" s="224"/>
      <c r="AC48" s="224"/>
      <c r="AD48" s="224"/>
      <c r="AE48" s="224"/>
      <c r="AF48" s="224"/>
      <c r="AG48" s="224"/>
      <c r="AH48" s="224"/>
      <c r="AI48" s="224"/>
      <c r="AJ48" s="224"/>
      <c r="AK48" s="224"/>
      <c r="AL48" s="224"/>
      <c r="AM48" s="224"/>
      <c r="AN48" s="224"/>
      <c r="AO48" s="224"/>
      <c r="AP48" s="224"/>
      <c r="AQ48" s="224"/>
      <c r="AR48" s="224"/>
      <c r="AS48" s="224"/>
      <c r="AT48" s="224"/>
      <c r="AU48" s="202"/>
      <c r="AV48" s="225"/>
      <c r="AW48" s="225"/>
      <c r="AX48" s="225"/>
      <c r="AY48" s="225"/>
      <c r="AZ48" s="225"/>
      <c r="BA48" s="225"/>
      <c r="BB48" s="225"/>
      <c r="BC48" s="225"/>
      <c r="BD48" s="225"/>
      <c r="BE48" s="225"/>
      <c r="BF48" s="225">
        <f t="shared" si="5"/>
        <v>0</v>
      </c>
      <c r="BG48" s="225"/>
      <c r="BH48" s="225"/>
      <c r="BI48" s="225"/>
      <c r="BJ48" s="225"/>
      <c r="BK48" s="225"/>
      <c r="BL48" s="225"/>
      <c r="BM48" s="225"/>
      <c r="BN48" s="225"/>
      <c r="BO48" s="225"/>
      <c r="BP48" s="225"/>
      <c r="BQ48" s="225"/>
      <c r="BR48" s="225"/>
      <c r="BS48" s="225"/>
      <c r="BT48" s="225"/>
      <c r="BU48" s="225"/>
      <c r="BV48" s="225"/>
      <c r="BW48" s="225"/>
      <c r="BX48" s="225"/>
      <c r="BY48" s="225"/>
    </row>
    <row r="49" ht="16.5" customHeight="1" spans="1:77">
      <c r="A49" s="202"/>
      <c r="B49" s="150"/>
      <c r="C49" s="150"/>
      <c r="D49" s="150"/>
      <c r="E49" s="150"/>
      <c r="F49" s="150"/>
      <c r="G49" s="150"/>
      <c r="H49" s="150"/>
      <c r="I49" s="150"/>
      <c r="J49" s="150"/>
      <c r="K49" s="150"/>
      <c r="L49" s="150"/>
      <c r="M49" s="150"/>
      <c r="N49" s="150"/>
      <c r="O49" s="150"/>
      <c r="P49" s="150"/>
      <c r="Q49" s="150"/>
      <c r="R49" s="150"/>
      <c r="S49" s="219"/>
      <c r="T49" s="219"/>
      <c r="U49" s="202" t="s">
        <v>205</v>
      </c>
      <c r="V49" s="150"/>
      <c r="W49" s="150"/>
      <c r="X49" s="202"/>
      <c r="Y49" s="224"/>
      <c r="Z49" s="224"/>
      <c r="AA49" s="224"/>
      <c r="AB49" s="224"/>
      <c r="AC49" s="224"/>
      <c r="AD49" s="224"/>
      <c r="AE49" s="224"/>
      <c r="AF49" s="224"/>
      <c r="AG49" s="224"/>
      <c r="AH49" s="224"/>
      <c r="AI49" s="224"/>
      <c r="AJ49" s="224"/>
      <c r="AK49" s="224"/>
      <c r="AL49" s="224"/>
      <c r="AM49" s="224"/>
      <c r="AN49" s="224"/>
      <c r="AO49" s="224"/>
      <c r="AP49" s="224"/>
      <c r="AQ49" s="224"/>
      <c r="AR49" s="224"/>
      <c r="AS49" s="224"/>
      <c r="AT49" s="224"/>
      <c r="AU49" s="202"/>
      <c r="AV49" s="225"/>
      <c r="AW49" s="225"/>
      <c r="AX49" s="225"/>
      <c r="AY49" s="225"/>
      <c r="AZ49" s="225"/>
      <c r="BA49" s="225"/>
      <c r="BB49" s="225"/>
      <c r="BC49" s="225"/>
      <c r="BD49" s="225"/>
      <c r="BE49" s="225"/>
      <c r="BF49" s="225">
        <f t="shared" si="5"/>
        <v>0</v>
      </c>
      <c r="BG49" s="225"/>
      <c r="BH49" s="225"/>
      <c r="BI49" s="225"/>
      <c r="BJ49" s="225"/>
      <c r="BK49" s="225"/>
      <c r="BL49" s="225"/>
      <c r="BM49" s="225"/>
      <c r="BN49" s="225"/>
      <c r="BO49" s="225"/>
      <c r="BP49" s="225"/>
      <c r="BQ49" s="225"/>
      <c r="BR49" s="225"/>
      <c r="BS49" s="225"/>
      <c r="BT49" s="225"/>
      <c r="BU49" s="225"/>
      <c r="BV49" s="225"/>
      <c r="BW49" s="225"/>
      <c r="BX49" s="225"/>
      <c r="BY49" s="225"/>
    </row>
    <row r="50" ht="16.5" customHeight="1" spans="1:77">
      <c r="A50" s="202"/>
      <c r="B50" s="202"/>
      <c r="C50" s="202"/>
      <c r="D50" s="202"/>
      <c r="E50" s="202"/>
      <c r="F50" s="202"/>
      <c r="G50" s="202"/>
      <c r="H50" s="202"/>
      <c r="I50" s="202"/>
      <c r="J50" s="202"/>
      <c r="K50" s="202"/>
      <c r="L50" s="202"/>
      <c r="M50" s="202"/>
      <c r="N50" s="202"/>
      <c r="O50" s="202"/>
      <c r="P50" s="202"/>
      <c r="Q50" s="202"/>
      <c r="R50" s="202"/>
      <c r="S50" s="202"/>
      <c r="T50" s="202"/>
      <c r="U50" s="202"/>
      <c r="V50" s="202"/>
      <c r="W50" s="202"/>
      <c r="X50" s="202"/>
      <c r="Y50" s="202"/>
      <c r="Z50" s="202"/>
      <c r="AA50" s="202"/>
      <c r="AV50" s="225"/>
      <c r="AW50" s="225"/>
      <c r="AX50" s="225"/>
      <c r="AY50" s="225"/>
      <c r="AZ50" s="225"/>
      <c r="BA50" s="225"/>
      <c r="BB50" s="225"/>
      <c r="BC50" s="225"/>
      <c r="BD50" s="225"/>
      <c r="BE50" s="225"/>
      <c r="BF50" s="225"/>
      <c r="BG50" s="225"/>
      <c r="BH50" s="225"/>
      <c r="BI50" s="225"/>
      <c r="BJ50" s="225"/>
      <c r="BK50" s="225"/>
      <c r="BL50" s="225"/>
      <c r="BM50" s="225"/>
      <c r="BN50" s="225"/>
      <c r="BO50" s="225"/>
      <c r="BP50" s="225"/>
      <c r="BQ50" s="225"/>
      <c r="BR50" s="225"/>
      <c r="BS50" s="225"/>
      <c r="BT50" s="225"/>
      <c r="BU50" s="225"/>
      <c r="BV50" s="225"/>
      <c r="BW50" s="225"/>
      <c r="BX50" s="225"/>
      <c r="BY50" s="225"/>
    </row>
    <row r="51" ht="16.5" customHeight="1" spans="1:77">
      <c r="A51" s="202"/>
      <c r="B51" s="209" t="s">
        <v>210</v>
      </c>
      <c r="C51" s="209"/>
      <c r="D51" s="209"/>
      <c r="E51" s="209"/>
      <c r="F51" s="209"/>
      <c r="G51" s="209"/>
      <c r="H51" s="209"/>
      <c r="I51" s="209"/>
      <c r="J51" s="210"/>
      <c r="K51" s="202"/>
      <c r="L51" s="202"/>
      <c r="N51" s="202"/>
      <c r="O51" s="202"/>
      <c r="P51" s="209" t="s">
        <v>211</v>
      </c>
      <c r="Q51" s="209"/>
      <c r="R51" s="209"/>
      <c r="S51" s="209"/>
      <c r="T51" s="209"/>
      <c r="U51" s="222">
        <f>SUM(BF29:BF38,BF40:BF49,BF54:BF63)</f>
        <v>0</v>
      </c>
      <c r="V51" s="222"/>
      <c r="W51" s="222"/>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c r="BT51" s="225"/>
      <c r="BU51" s="225"/>
      <c r="BV51" s="225"/>
      <c r="BW51" s="225"/>
      <c r="BX51" s="225"/>
      <c r="BY51" s="225"/>
    </row>
    <row r="52" ht="16.5" customHeight="1" spans="48:77">
      <c r="AV52" s="225"/>
      <c r="AW52" s="225"/>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225"/>
      <c r="BT52" s="225"/>
      <c r="BU52" s="225"/>
      <c r="BV52" s="225"/>
      <c r="BW52" s="225"/>
      <c r="BX52" s="225"/>
      <c r="BY52" s="225"/>
    </row>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sheetData>
  <mergeCells count="264">
    <mergeCell ref="A1:AU1"/>
    <mergeCell ref="B3:U3"/>
    <mergeCell ref="V3:W3"/>
    <mergeCell ref="Y3:AR3"/>
    <mergeCell ref="AS3:AT3"/>
    <mergeCell ref="B4:H4"/>
    <mergeCell ref="I4:R4"/>
    <mergeCell ref="S4:T4"/>
    <mergeCell ref="V4:W4"/>
    <mergeCell ref="Y4:AE4"/>
    <mergeCell ref="AF4:AO4"/>
    <mergeCell ref="AP4:AQ4"/>
    <mergeCell ref="AS4:AT4"/>
    <mergeCell ref="B5:H5"/>
    <mergeCell ref="I5:R5"/>
    <mergeCell ref="S5:T5"/>
    <mergeCell ref="V5:W5"/>
    <mergeCell ref="Y5:AE5"/>
    <mergeCell ref="AF5:AO5"/>
    <mergeCell ref="AP5:AQ5"/>
    <mergeCell ref="AS5:AT5"/>
    <mergeCell ref="B6:H6"/>
    <mergeCell ref="I6:R6"/>
    <mergeCell ref="S6:T6"/>
    <mergeCell ref="V6:W6"/>
    <mergeCell ref="Y6:AE6"/>
    <mergeCell ref="AF6:AO6"/>
    <mergeCell ref="AP6:AQ6"/>
    <mergeCell ref="AS6:AT6"/>
    <mergeCell ref="B7:H7"/>
    <mergeCell ref="I7:R7"/>
    <mergeCell ref="S7:T7"/>
    <mergeCell ref="V7:W7"/>
    <mergeCell ref="Y7:AE7"/>
    <mergeCell ref="AF7:AO7"/>
    <mergeCell ref="AP7:AQ7"/>
    <mergeCell ref="AS7:AT7"/>
    <mergeCell ref="B8:H8"/>
    <mergeCell ref="I8:R8"/>
    <mergeCell ref="S8:T8"/>
    <mergeCell ref="V8:W8"/>
    <mergeCell ref="Y8:AE8"/>
    <mergeCell ref="AF8:AO8"/>
    <mergeCell ref="AP8:AQ8"/>
    <mergeCell ref="AS8:AT8"/>
    <mergeCell ref="B9:H9"/>
    <mergeCell ref="I9:R9"/>
    <mergeCell ref="S9:T9"/>
    <mergeCell ref="V9:W9"/>
    <mergeCell ref="Y9:AE9"/>
    <mergeCell ref="AF9:AO9"/>
    <mergeCell ref="AP9:AQ9"/>
    <mergeCell ref="AS9:AT9"/>
    <mergeCell ref="B10:H10"/>
    <mergeCell ref="I10:R10"/>
    <mergeCell ref="S10:T10"/>
    <mergeCell ref="V10:W10"/>
    <mergeCell ref="Y10:AE10"/>
    <mergeCell ref="AF10:AO10"/>
    <mergeCell ref="AP10:AQ10"/>
    <mergeCell ref="AS10:AT10"/>
    <mergeCell ref="B11:H11"/>
    <mergeCell ref="I11:R11"/>
    <mergeCell ref="S11:T11"/>
    <mergeCell ref="V11:W11"/>
    <mergeCell ref="Y11:AE11"/>
    <mergeCell ref="AF11:AO11"/>
    <mergeCell ref="AP11:AQ11"/>
    <mergeCell ref="AS11:AT11"/>
    <mergeCell ref="B12:H12"/>
    <mergeCell ref="I12:R12"/>
    <mergeCell ref="S12:T12"/>
    <mergeCell ref="V12:W12"/>
    <mergeCell ref="Y12:AE12"/>
    <mergeCell ref="AF12:AO12"/>
    <mergeCell ref="AP12:AQ12"/>
    <mergeCell ref="AS12:AT12"/>
    <mergeCell ref="B13:H13"/>
    <mergeCell ref="I13:R13"/>
    <mergeCell ref="S13:T13"/>
    <mergeCell ref="V13:W13"/>
    <mergeCell ref="Y13:AE13"/>
    <mergeCell ref="AF13:AO13"/>
    <mergeCell ref="AP13:AQ13"/>
    <mergeCell ref="AS13:AT13"/>
    <mergeCell ref="B14:H14"/>
    <mergeCell ref="I14:R14"/>
    <mergeCell ref="S14:T14"/>
    <mergeCell ref="V14:W14"/>
    <mergeCell ref="Y14:AE14"/>
    <mergeCell ref="AF14:AO14"/>
    <mergeCell ref="AP14:AQ14"/>
    <mergeCell ref="AS14:AT14"/>
    <mergeCell ref="B16:H16"/>
    <mergeCell ref="I16:R16"/>
    <mergeCell ref="S16:T16"/>
    <mergeCell ref="V16:W16"/>
    <mergeCell ref="Y16:AE16"/>
    <mergeCell ref="AF16:AO16"/>
    <mergeCell ref="AP16:AQ16"/>
    <mergeCell ref="AS16:AT16"/>
    <mergeCell ref="B17:H17"/>
    <mergeCell ref="I17:R17"/>
    <mergeCell ref="S17:T17"/>
    <mergeCell ref="V17:W17"/>
    <mergeCell ref="Y17:AE17"/>
    <mergeCell ref="AF17:AO17"/>
    <mergeCell ref="AP17:AQ17"/>
    <mergeCell ref="AS17:AT17"/>
    <mergeCell ref="B18:H18"/>
    <mergeCell ref="I18:R18"/>
    <mergeCell ref="S18:T18"/>
    <mergeCell ref="V18:W18"/>
    <mergeCell ref="Y18:AE18"/>
    <mergeCell ref="AF18:AO18"/>
    <mergeCell ref="AP18:AQ18"/>
    <mergeCell ref="AS18:AT18"/>
    <mergeCell ref="B19:H19"/>
    <mergeCell ref="I19:R19"/>
    <mergeCell ref="S19:T19"/>
    <mergeCell ref="V19:W19"/>
    <mergeCell ref="Y19:AE19"/>
    <mergeCell ref="AF19:AO19"/>
    <mergeCell ref="AP19:AQ19"/>
    <mergeCell ref="AS19:AT19"/>
    <mergeCell ref="B20:H20"/>
    <mergeCell ref="I20:R20"/>
    <mergeCell ref="S20:T20"/>
    <mergeCell ref="V20:W20"/>
    <mergeCell ref="Y20:AE20"/>
    <mergeCell ref="AF20:AO20"/>
    <mergeCell ref="AP20:AQ20"/>
    <mergeCell ref="AS20:AT20"/>
    <mergeCell ref="B21:H21"/>
    <mergeCell ref="I21:R21"/>
    <mergeCell ref="S21:T21"/>
    <mergeCell ref="V21:W21"/>
    <mergeCell ref="Y21:AE21"/>
    <mergeCell ref="AF21:AO21"/>
    <mergeCell ref="AP21:AQ21"/>
    <mergeCell ref="AS21:AT21"/>
    <mergeCell ref="B22:H22"/>
    <mergeCell ref="I22:R22"/>
    <mergeCell ref="S22:T22"/>
    <mergeCell ref="V22:W22"/>
    <mergeCell ref="Y22:AE22"/>
    <mergeCell ref="AF22:AO22"/>
    <mergeCell ref="AP22:AQ22"/>
    <mergeCell ref="AS22:AT22"/>
    <mergeCell ref="B23:H23"/>
    <mergeCell ref="I23:R23"/>
    <mergeCell ref="S23:T23"/>
    <mergeCell ref="V23:W23"/>
    <mergeCell ref="Y23:AE23"/>
    <mergeCell ref="AF23:AO23"/>
    <mergeCell ref="AP23:AQ23"/>
    <mergeCell ref="AS23:AT23"/>
    <mergeCell ref="B24:H24"/>
    <mergeCell ref="I24:R24"/>
    <mergeCell ref="S24:T24"/>
    <mergeCell ref="V24:W24"/>
    <mergeCell ref="Y24:AE24"/>
    <mergeCell ref="AF24:AO24"/>
    <mergeCell ref="AP24:AQ24"/>
    <mergeCell ref="AS24:AT24"/>
    <mergeCell ref="B25:H25"/>
    <mergeCell ref="I25:R25"/>
    <mergeCell ref="S25:T25"/>
    <mergeCell ref="V25:W25"/>
    <mergeCell ref="Y25:AE25"/>
    <mergeCell ref="AF25:AO25"/>
    <mergeCell ref="AP25:AQ25"/>
    <mergeCell ref="AS25:AT25"/>
    <mergeCell ref="B27:U27"/>
    <mergeCell ref="V27:W27"/>
    <mergeCell ref="Y27:AT27"/>
    <mergeCell ref="B28:H28"/>
    <mergeCell ref="I28:R28"/>
    <mergeCell ref="S28:T28"/>
    <mergeCell ref="V28:W28"/>
    <mergeCell ref="B29:H29"/>
    <mergeCell ref="I29:R29"/>
    <mergeCell ref="S29:T29"/>
    <mergeCell ref="V29:W29"/>
    <mergeCell ref="B30:H30"/>
    <mergeCell ref="I30:R30"/>
    <mergeCell ref="S30:T30"/>
    <mergeCell ref="V30:W30"/>
    <mergeCell ref="B31:H31"/>
    <mergeCell ref="I31:R31"/>
    <mergeCell ref="S31:T31"/>
    <mergeCell ref="V31:W31"/>
    <mergeCell ref="B32:H32"/>
    <mergeCell ref="I32:R32"/>
    <mergeCell ref="S32:T32"/>
    <mergeCell ref="V32:W32"/>
    <mergeCell ref="B33:H33"/>
    <mergeCell ref="I33:R33"/>
    <mergeCell ref="S33:T33"/>
    <mergeCell ref="V33:W33"/>
    <mergeCell ref="B34:H34"/>
    <mergeCell ref="I34:R34"/>
    <mergeCell ref="S34:T34"/>
    <mergeCell ref="V34:W34"/>
    <mergeCell ref="B35:H35"/>
    <mergeCell ref="I35:R35"/>
    <mergeCell ref="S35:T35"/>
    <mergeCell ref="V35:W35"/>
    <mergeCell ref="B36:H36"/>
    <mergeCell ref="I36:R36"/>
    <mergeCell ref="S36:T36"/>
    <mergeCell ref="V36:W36"/>
    <mergeCell ref="B37:H37"/>
    <mergeCell ref="I37:R37"/>
    <mergeCell ref="S37:T37"/>
    <mergeCell ref="V37:W37"/>
    <mergeCell ref="B38:H38"/>
    <mergeCell ref="I38:R38"/>
    <mergeCell ref="S38:T38"/>
    <mergeCell ref="V38:W38"/>
    <mergeCell ref="B40:H40"/>
    <mergeCell ref="I40:R40"/>
    <mergeCell ref="S40:T40"/>
    <mergeCell ref="V40:W40"/>
    <mergeCell ref="B41:H41"/>
    <mergeCell ref="I41:R41"/>
    <mergeCell ref="S41:T41"/>
    <mergeCell ref="V41:W41"/>
    <mergeCell ref="B42:H42"/>
    <mergeCell ref="I42:R42"/>
    <mergeCell ref="S42:T42"/>
    <mergeCell ref="V42:W42"/>
    <mergeCell ref="B43:H43"/>
    <mergeCell ref="I43:R43"/>
    <mergeCell ref="S43:T43"/>
    <mergeCell ref="V43:W43"/>
    <mergeCell ref="B44:H44"/>
    <mergeCell ref="I44:R44"/>
    <mergeCell ref="S44:T44"/>
    <mergeCell ref="V44:W44"/>
    <mergeCell ref="B45:H45"/>
    <mergeCell ref="I45:R45"/>
    <mergeCell ref="S45:T45"/>
    <mergeCell ref="V45:W45"/>
    <mergeCell ref="B46:H46"/>
    <mergeCell ref="I46:R46"/>
    <mergeCell ref="S46:T46"/>
    <mergeCell ref="V46:W46"/>
    <mergeCell ref="B47:H47"/>
    <mergeCell ref="I47:R47"/>
    <mergeCell ref="S47:T47"/>
    <mergeCell ref="V47:W47"/>
    <mergeCell ref="B48:H48"/>
    <mergeCell ref="I48:R48"/>
    <mergeCell ref="S48:T48"/>
    <mergeCell ref="V48:W48"/>
    <mergeCell ref="B49:H49"/>
    <mergeCell ref="I49:R49"/>
    <mergeCell ref="S49:T49"/>
    <mergeCell ref="V49:W49"/>
    <mergeCell ref="B51:I51"/>
    <mergeCell ref="P51:T51"/>
    <mergeCell ref="U51:W51"/>
    <mergeCell ref="Y28:AT49"/>
  </mergeCells>
  <pageMargins left="0.699305555555556" right="0.699305555555556" top="0.75" bottom="0.75"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CN112"/>
  <sheetViews>
    <sheetView topLeftCell="A3" workbookViewId="0">
      <selection activeCell="AD15" sqref="AD15:AJ15"/>
    </sheetView>
  </sheetViews>
  <sheetFormatPr defaultColWidth="8.99090909090909" defaultRowHeight="14"/>
  <cols>
    <col min="1" max="1" width="2.38181818181818" style="132" customWidth="1"/>
    <col min="2" max="2" width="3.75454545454545" style="132" customWidth="1"/>
    <col min="3" max="6" width="2.38181818181818" style="132" customWidth="1"/>
    <col min="7" max="7" width="1.5" style="132" customWidth="1"/>
    <col min="8" max="8" width="1.61818181818182" style="132" customWidth="1"/>
    <col min="9" max="9" width="3.11818181818182" style="132" customWidth="1"/>
    <col min="10" max="10" width="4.75454545454545" style="132" customWidth="1"/>
    <col min="11" max="11" width="2.38181818181818" style="132" customWidth="1"/>
    <col min="12" max="12" width="3.87272727272727" style="132" customWidth="1"/>
    <col min="13" max="13" width="3.11818181818182" style="132" customWidth="1"/>
    <col min="14" max="14" width="4.49090909090909" style="132" customWidth="1"/>
    <col min="15" max="16" width="2.38181818181818" style="132" customWidth="1"/>
    <col min="17" max="17" width="7.11818181818182" style="132" customWidth="1"/>
    <col min="18" max="18" width="3.5" style="132" customWidth="1"/>
    <col min="19" max="19" width="2.38181818181818" style="132" customWidth="1"/>
    <col min="20" max="20" width="2.88181818181818" style="132" customWidth="1"/>
    <col min="21" max="23" width="2.38181818181818" style="132" customWidth="1"/>
    <col min="24" max="24" width="7.73636363636364" style="132" customWidth="1"/>
    <col min="25" max="26" width="2.38181818181818" style="132" customWidth="1"/>
    <col min="27" max="29" width="3.11818181818182" style="132" customWidth="1"/>
    <col min="30" max="30" width="2.61818181818182" style="132" customWidth="1"/>
    <col min="31" max="31" width="5.87272727272727" style="132" customWidth="1"/>
    <col min="32" max="32" width="4.49090909090909" style="132" customWidth="1"/>
    <col min="33" max="33" width="7.36363636363636" style="132" customWidth="1"/>
    <col min="34" max="34" width="2.38181818181818" style="132" customWidth="1"/>
    <col min="35" max="35" width="5.5" style="132" customWidth="1"/>
    <col min="36" max="36" width="5.73636363636364" style="132" customWidth="1"/>
    <col min="37" max="37" width="2.38181818181818" style="132" customWidth="1"/>
    <col min="38" max="38" width="6.5" style="132" customWidth="1"/>
    <col min="39" max="39" width="3.11818181818182" style="132" customWidth="1"/>
    <col min="40" max="40" width="3" style="132" customWidth="1"/>
    <col min="41" max="42" width="5.73636363636364" style="132" customWidth="1"/>
    <col min="43" max="43" width="4.11818181818182" style="132" customWidth="1"/>
    <col min="44" max="44" width="4.87272727272727" style="132" customWidth="1"/>
    <col min="45" max="45" width="11.1090909090909" style="132" customWidth="1"/>
    <col min="46" max="46" width="5.73636363636364" style="132" customWidth="1"/>
    <col min="47" max="55" width="2.38181818181818" style="132" customWidth="1"/>
    <col min="56" max="56" width="2.75454545454545" style="132" customWidth="1"/>
    <col min="57" max="57" width="2.88181818181818" style="132" customWidth="1"/>
    <col min="58" max="104" width="2.38181818181818" style="132" customWidth="1"/>
    <col min="105" max="16384" width="8.99090909090909" style="132"/>
  </cols>
  <sheetData>
    <row r="1" ht="16.5" customHeight="1" spans="1:47">
      <c r="A1" s="133" t="s">
        <v>212</v>
      </c>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row>
    <row r="2" ht="16.5" customHeight="1" spans="1:92">
      <c r="A2" s="134"/>
      <c r="B2" s="134"/>
      <c r="C2" s="134"/>
      <c r="D2" s="135" t="s">
        <v>84</v>
      </c>
      <c r="E2" s="135"/>
      <c r="F2" s="135"/>
      <c r="G2" s="135"/>
      <c r="H2" s="136" t="s">
        <v>89</v>
      </c>
      <c r="I2" s="136"/>
      <c r="J2" s="145"/>
      <c r="K2" s="135" t="s">
        <v>213</v>
      </c>
      <c r="L2" s="135"/>
      <c r="M2" s="135"/>
      <c r="N2" s="135"/>
      <c r="O2" s="136">
        <f>SUM(8+主要情况!AC3+IF(H2="力量",主要情况!G8,IF(H2="敏捷",主要情况!G10,IF(H2="体质",主要情况!G12,IF(H2="智力",主要情况!G14,IF(H2="感知",主要情况!G16,IF(H2="魅力",主要情况!G18,0)))))))+BB17</f>
        <v>14</v>
      </c>
      <c r="P2" s="136"/>
      <c r="Q2" s="145"/>
      <c r="R2" s="135" t="s">
        <v>214</v>
      </c>
      <c r="S2" s="135"/>
      <c r="T2" s="135"/>
      <c r="U2" s="135"/>
      <c r="V2" s="136">
        <f>(O2-BB17)-8+BB18</f>
        <v>6</v>
      </c>
      <c r="W2" s="136"/>
      <c r="X2" s="145"/>
      <c r="Y2" s="135" t="s">
        <v>215</v>
      </c>
      <c r="Z2" s="135"/>
      <c r="AA2" s="135"/>
      <c r="AB2" s="135"/>
      <c r="AC2" s="154">
        <f>图表!D61</f>
        <v>3</v>
      </c>
      <c r="AD2" s="154"/>
      <c r="AE2" s="155"/>
      <c r="AF2" s="156" t="s">
        <v>216</v>
      </c>
      <c r="AG2" s="156"/>
      <c r="AH2" s="156"/>
      <c r="AI2" s="154">
        <f>图表!E61</f>
        <v>6</v>
      </c>
      <c r="AJ2" s="145"/>
      <c r="AK2" s="135" t="s">
        <v>217</v>
      </c>
      <c r="AL2" s="135"/>
      <c r="AM2" s="135"/>
      <c r="AN2" s="135"/>
      <c r="AO2" s="135"/>
      <c r="AP2" s="163" t="str">
        <f>图表!F28</f>
        <v>∞</v>
      </c>
      <c r="AQ2" s="145"/>
      <c r="AR2" s="145"/>
      <c r="AS2" s="145"/>
      <c r="AT2" s="145"/>
      <c r="AU2" s="164"/>
      <c r="AV2" s="155"/>
      <c r="AW2" s="177"/>
      <c r="AX2" s="177"/>
      <c r="AY2" s="177"/>
      <c r="AZ2" s="177"/>
      <c r="BA2" s="177"/>
      <c r="BB2" s="177"/>
      <c r="BC2" s="178"/>
      <c r="BD2" s="177"/>
      <c r="BE2" s="177"/>
      <c r="BF2" s="177"/>
      <c r="BG2" s="177"/>
      <c r="BH2" s="177"/>
      <c r="BI2" s="177"/>
      <c r="BJ2" s="178"/>
      <c r="BK2" s="195"/>
      <c r="BL2" s="195"/>
      <c r="BM2" s="195"/>
      <c r="BN2" s="195"/>
      <c r="BO2" s="195"/>
      <c r="BP2" s="195"/>
      <c r="BQ2" s="197"/>
      <c r="BR2" s="195"/>
      <c r="BS2" s="195"/>
      <c r="BT2" s="195"/>
      <c r="BU2" s="195"/>
      <c r="BV2" s="195"/>
      <c r="BW2" s="195"/>
      <c r="BX2" s="197"/>
      <c r="BY2" s="195"/>
      <c r="BZ2" s="195"/>
      <c r="CA2" s="195"/>
      <c r="CB2" s="195"/>
      <c r="CC2" s="195"/>
      <c r="CD2" s="195"/>
      <c r="CE2" s="197"/>
      <c r="CF2" s="195"/>
      <c r="CG2" s="195"/>
      <c r="CH2" s="195"/>
      <c r="CI2" s="195"/>
      <c r="CJ2" s="195"/>
      <c r="CK2" s="195"/>
      <c r="CL2" s="197"/>
      <c r="CM2" s="145"/>
      <c r="CN2" s="145"/>
    </row>
    <row r="3" ht="16.5" customHeight="1" spans="1:90">
      <c r="A3" s="137" t="s">
        <v>218</v>
      </c>
      <c r="B3" s="137"/>
      <c r="C3" s="137"/>
      <c r="D3" s="138" t="s">
        <v>42</v>
      </c>
      <c r="E3" s="137" t="s">
        <v>219</v>
      </c>
      <c r="F3" s="137"/>
      <c r="G3" s="137"/>
      <c r="H3" s="139" t="s">
        <v>220</v>
      </c>
      <c r="I3" s="139"/>
      <c r="J3" s="137" t="s">
        <v>221</v>
      </c>
      <c r="K3" s="137"/>
      <c r="L3" s="137"/>
      <c r="M3" s="137"/>
      <c r="N3" s="137"/>
      <c r="O3" s="146"/>
      <c r="P3" s="137" t="s">
        <v>222</v>
      </c>
      <c r="Q3" s="137"/>
      <c r="R3" s="137" t="s">
        <v>223</v>
      </c>
      <c r="S3" s="137"/>
      <c r="T3" s="137"/>
      <c r="U3" s="137" t="s">
        <v>224</v>
      </c>
      <c r="V3" s="137"/>
      <c r="W3" s="137"/>
      <c r="X3" s="137"/>
      <c r="Y3" s="137"/>
      <c r="Z3" s="146"/>
      <c r="AA3" s="138" t="s">
        <v>225</v>
      </c>
      <c r="AB3" s="138" t="s">
        <v>226</v>
      </c>
      <c r="AC3" s="138" t="s">
        <v>227</v>
      </c>
      <c r="AD3" s="137" t="s">
        <v>228</v>
      </c>
      <c r="AE3" s="137"/>
      <c r="AF3" s="137"/>
      <c r="AG3" s="137"/>
      <c r="AH3" s="137"/>
      <c r="AI3" s="137"/>
      <c r="AJ3" s="137"/>
      <c r="AK3" s="146"/>
      <c r="AL3" s="137" t="s">
        <v>229</v>
      </c>
      <c r="AM3" s="137"/>
      <c r="AN3" s="137"/>
      <c r="AO3" s="137"/>
      <c r="AP3" s="137"/>
      <c r="AQ3" s="137"/>
      <c r="AR3" s="137"/>
      <c r="AS3" s="137"/>
      <c r="AT3" s="137"/>
      <c r="AU3" s="152"/>
      <c r="AV3" s="139" t="s">
        <v>156</v>
      </c>
      <c r="AW3" s="139"/>
      <c r="AX3" s="139" t="s">
        <v>157</v>
      </c>
      <c r="AY3" s="139"/>
      <c r="AZ3" s="139"/>
      <c r="BA3" s="139"/>
      <c r="BB3" s="139"/>
      <c r="BC3" s="139" t="s">
        <v>230</v>
      </c>
      <c r="BD3" s="139"/>
      <c r="BE3" s="139"/>
      <c r="BF3" s="139"/>
      <c r="BG3" s="174"/>
      <c r="BH3" s="174"/>
      <c r="BI3" s="174"/>
      <c r="BJ3" s="174"/>
      <c r="BK3" s="170"/>
      <c r="BL3" s="170"/>
      <c r="BM3" s="170"/>
      <c r="BN3" s="170"/>
      <c r="BO3" s="170"/>
      <c r="BP3" s="170"/>
      <c r="BQ3" s="170"/>
      <c r="BR3" s="198"/>
      <c r="BS3" s="170"/>
      <c r="BT3" s="170"/>
      <c r="BU3" s="170"/>
      <c r="BV3" s="170"/>
      <c r="BW3" s="170"/>
      <c r="BX3" s="170"/>
      <c r="BY3" s="170"/>
      <c r="BZ3" s="170"/>
      <c r="CA3" s="170"/>
      <c r="CB3" s="170"/>
      <c r="CC3" s="198"/>
      <c r="CD3" s="170"/>
      <c r="CE3" s="170"/>
      <c r="CF3" s="170"/>
      <c r="CG3" s="170"/>
      <c r="CH3" s="170"/>
      <c r="CI3" s="170"/>
      <c r="CJ3" s="170"/>
      <c r="CK3" s="170"/>
      <c r="CL3" s="170"/>
    </row>
    <row r="4" ht="16.5" customHeight="1" spans="1:90">
      <c r="A4" s="140"/>
      <c r="B4" s="140" t="s">
        <v>231</v>
      </c>
      <c r="C4" s="141" t="s">
        <v>232</v>
      </c>
      <c r="D4" s="142">
        <f>法术大全!C561</f>
        <v>0</v>
      </c>
      <c r="E4" s="142" t="str">
        <f>法术大全!D561</f>
        <v>塑能</v>
      </c>
      <c r="F4" s="142"/>
      <c r="G4" s="142"/>
      <c r="H4" s="142" t="str">
        <f>法术大全!E561</f>
        <v>x</v>
      </c>
      <c r="I4" s="142"/>
      <c r="J4" s="147" t="s">
        <v>233</v>
      </c>
      <c r="K4" s="147"/>
      <c r="L4" s="147"/>
      <c r="M4" s="147"/>
      <c r="N4" s="147"/>
      <c r="O4" s="148" t="s">
        <v>106</v>
      </c>
      <c r="P4" s="149" t="str">
        <f>法术大全!F561</f>
        <v>1动作</v>
      </c>
      <c r="Q4" s="149"/>
      <c r="R4" s="149" t="str">
        <f>法术大全!G561</f>
        <v>120尺</v>
      </c>
      <c r="S4" s="149"/>
      <c r="T4" s="149"/>
      <c r="U4" s="149" t="str">
        <f>法术大全!L561</f>
        <v>立即</v>
      </c>
      <c r="V4" s="149"/>
      <c r="W4" s="149"/>
      <c r="X4" s="149"/>
      <c r="Y4" s="149"/>
      <c r="Z4" s="148" t="s">
        <v>106</v>
      </c>
      <c r="AA4" s="157" t="str">
        <f>法术大全!H561</f>
        <v>V</v>
      </c>
      <c r="AB4" s="157" t="str">
        <f>法术大全!I561</f>
        <v>S</v>
      </c>
      <c r="AC4" s="157" t="str">
        <f>法术大全!J561</f>
        <v>×</v>
      </c>
      <c r="AD4" s="142" t="str">
        <f>法术大全!K561</f>
        <v>×</v>
      </c>
      <c r="AE4" s="142"/>
      <c r="AF4" s="142"/>
      <c r="AG4" s="142"/>
      <c r="AH4" s="142"/>
      <c r="AI4" s="142"/>
      <c r="AJ4" s="142"/>
      <c r="AK4" s="148" t="s">
        <v>106</v>
      </c>
      <c r="AL4" s="160"/>
      <c r="AM4" s="160"/>
      <c r="AN4" s="160"/>
      <c r="AO4" s="160"/>
      <c r="AP4" s="160"/>
      <c r="AQ4" s="160"/>
      <c r="AR4" s="160"/>
      <c r="AS4" s="160"/>
      <c r="AT4" s="160"/>
      <c r="AU4" s="165"/>
      <c r="AV4" s="166">
        <v>0</v>
      </c>
      <c r="AW4" s="166"/>
      <c r="AX4" s="179" t="s">
        <v>234</v>
      </c>
      <c r="AY4" s="179"/>
      <c r="AZ4" s="180" t="s">
        <v>68</v>
      </c>
      <c r="BA4" s="181" t="s">
        <v>234</v>
      </c>
      <c r="BB4" s="181"/>
      <c r="BC4" s="182">
        <v>0</v>
      </c>
      <c r="BD4" s="182"/>
      <c r="BE4" s="182"/>
      <c r="BF4" s="182"/>
      <c r="BG4" s="165"/>
      <c r="BH4" s="165"/>
      <c r="BI4" s="165"/>
      <c r="BJ4" s="165"/>
      <c r="BK4" s="170"/>
      <c r="BL4" s="170"/>
      <c r="BM4" s="170"/>
      <c r="BN4" s="170"/>
      <c r="BO4" s="170"/>
      <c r="BP4" s="170"/>
      <c r="BQ4" s="170"/>
      <c r="BR4" s="198"/>
      <c r="BS4" s="170"/>
      <c r="BT4" s="170"/>
      <c r="BU4" s="170"/>
      <c r="BV4" s="170"/>
      <c r="BW4" s="170"/>
      <c r="BX4" s="170"/>
      <c r="BY4" s="170"/>
      <c r="BZ4" s="170"/>
      <c r="CA4" s="170"/>
      <c r="CB4" s="170"/>
      <c r="CC4" s="198"/>
      <c r="CD4" s="170"/>
      <c r="CE4" s="170"/>
      <c r="CF4" s="170"/>
      <c r="CG4" s="170"/>
      <c r="CH4" s="170"/>
      <c r="CI4" s="170"/>
      <c r="CJ4" s="170"/>
      <c r="CK4" s="170"/>
      <c r="CL4" s="170"/>
    </row>
    <row r="5" ht="16.5" customHeight="1" spans="1:90">
      <c r="A5" s="140"/>
      <c r="B5" s="140" t="s">
        <v>231</v>
      </c>
      <c r="C5" s="141" t="s">
        <v>232</v>
      </c>
      <c r="D5" s="143">
        <f>法术大全!C562</f>
        <v>0</v>
      </c>
      <c r="E5" s="143" t="str">
        <f>法术大全!D562</f>
        <v>幻术</v>
      </c>
      <c r="F5" s="143"/>
      <c r="G5" s="143"/>
      <c r="H5" s="143" t="str">
        <f>法术大全!E562</f>
        <v>x</v>
      </c>
      <c r="I5" s="143"/>
      <c r="J5" s="150" t="s">
        <v>235</v>
      </c>
      <c r="K5" s="150"/>
      <c r="L5" s="150"/>
      <c r="M5" s="150"/>
      <c r="N5" s="150"/>
      <c r="O5" s="148" t="s">
        <v>106</v>
      </c>
      <c r="P5" s="151" t="str">
        <f>法术大全!F562</f>
        <v>1动作</v>
      </c>
      <c r="Q5" s="151"/>
      <c r="R5" s="151" t="str">
        <f>法术大全!G562</f>
        <v>30尺</v>
      </c>
      <c r="S5" s="151"/>
      <c r="T5" s="151"/>
      <c r="U5" s="151" t="str">
        <f>法术大全!L562</f>
        <v>1分钟</v>
      </c>
      <c r="V5" s="151"/>
      <c r="W5" s="151"/>
      <c r="X5" s="151"/>
      <c r="Y5" s="151"/>
      <c r="Z5" s="148" t="s">
        <v>106</v>
      </c>
      <c r="AA5" s="158" t="str">
        <f>法术大全!H562</f>
        <v>×</v>
      </c>
      <c r="AB5" s="158" t="str">
        <f>法术大全!I562</f>
        <v>S</v>
      </c>
      <c r="AC5" s="158" t="str">
        <f>法术大全!J562</f>
        <v>M</v>
      </c>
      <c r="AD5" s="143" t="str">
        <f>法术大全!K562</f>
        <v>一小块羊毛</v>
      </c>
      <c r="AE5" s="143"/>
      <c r="AF5" s="143"/>
      <c r="AG5" s="143"/>
      <c r="AH5" s="143"/>
      <c r="AI5" s="143"/>
      <c r="AJ5" s="143"/>
      <c r="AK5" s="148" t="s">
        <v>106</v>
      </c>
      <c r="AL5" s="161"/>
      <c r="AM5" s="161"/>
      <c r="AN5" s="161"/>
      <c r="AO5" s="161"/>
      <c r="AP5" s="161"/>
      <c r="AQ5" s="161"/>
      <c r="AR5" s="161"/>
      <c r="AS5" s="161"/>
      <c r="AT5" s="161"/>
      <c r="AU5" s="165"/>
      <c r="AV5" s="167">
        <v>1</v>
      </c>
      <c r="AW5" s="167"/>
      <c r="AX5" s="183">
        <v>0</v>
      </c>
      <c r="AY5" s="183"/>
      <c r="AZ5" s="184" t="s">
        <v>68</v>
      </c>
      <c r="BA5" s="185">
        <v>0</v>
      </c>
      <c r="BB5" s="185"/>
      <c r="BC5" s="186">
        <v>2</v>
      </c>
      <c r="BD5" s="186"/>
      <c r="BE5" s="186"/>
      <c r="BF5" s="186"/>
      <c r="BG5" s="165"/>
      <c r="BH5" s="165"/>
      <c r="BI5" s="165"/>
      <c r="BJ5" s="165"/>
      <c r="BK5" s="170"/>
      <c r="BL5" s="170"/>
      <c r="BM5" s="170"/>
      <c r="BN5" s="170"/>
      <c r="BO5" s="170"/>
      <c r="BP5" s="170"/>
      <c r="BQ5" s="170"/>
      <c r="BR5" s="198"/>
      <c r="BS5" s="170"/>
      <c r="BT5" s="170"/>
      <c r="BU5" s="170"/>
      <c r="BV5" s="170"/>
      <c r="BW5" s="170"/>
      <c r="BX5" s="170"/>
      <c r="BY5" s="170"/>
      <c r="BZ5" s="170"/>
      <c r="CA5" s="170"/>
      <c r="CB5" s="170"/>
      <c r="CC5" s="198"/>
      <c r="CD5" s="170"/>
      <c r="CE5" s="170"/>
      <c r="CF5" s="170"/>
      <c r="CG5" s="170"/>
      <c r="CH5" s="170"/>
      <c r="CI5" s="170"/>
      <c r="CJ5" s="170"/>
      <c r="CK5" s="170"/>
      <c r="CL5" s="170"/>
    </row>
    <row r="6" ht="16.5" customHeight="1" spans="1:90">
      <c r="A6" s="140"/>
      <c r="B6" s="140" t="s">
        <v>231</v>
      </c>
      <c r="C6" s="141" t="s">
        <v>232</v>
      </c>
      <c r="D6" s="142">
        <f>法术大全!C563</f>
        <v>0</v>
      </c>
      <c r="E6" s="142" t="str">
        <f>法术大全!D563</f>
        <v>咒法</v>
      </c>
      <c r="F6" s="142"/>
      <c r="G6" s="142"/>
      <c r="H6" s="142" t="str">
        <f>法术大全!E563</f>
        <v>x</v>
      </c>
      <c r="I6" s="142"/>
      <c r="J6" s="147" t="s">
        <v>236</v>
      </c>
      <c r="K6" s="147"/>
      <c r="L6" s="147"/>
      <c r="M6" s="147"/>
      <c r="N6" s="147"/>
      <c r="O6" s="148" t="s">
        <v>106</v>
      </c>
      <c r="P6" s="149" t="str">
        <f>法术大全!F563</f>
        <v>1动作</v>
      </c>
      <c r="Q6" s="149"/>
      <c r="R6" s="149" t="str">
        <f>法术大全!G563</f>
        <v>30尺</v>
      </c>
      <c r="S6" s="149"/>
      <c r="T6" s="149"/>
      <c r="U6" s="149" t="str">
        <f>法术大全!L563</f>
        <v>1分钟</v>
      </c>
      <c r="V6" s="149"/>
      <c r="W6" s="149"/>
      <c r="X6" s="149"/>
      <c r="Y6" s="149"/>
      <c r="Z6" s="148" t="s">
        <v>106</v>
      </c>
      <c r="AA6" s="157" t="str">
        <f>法术大全!H563</f>
        <v>V</v>
      </c>
      <c r="AB6" s="157" t="str">
        <f>法术大全!I563</f>
        <v>S</v>
      </c>
      <c r="AC6" s="157" t="str">
        <f>法术大全!J563</f>
        <v>×</v>
      </c>
      <c r="AD6" s="142" t="str">
        <f>法术大全!K563</f>
        <v>×</v>
      </c>
      <c r="AE6" s="142"/>
      <c r="AF6" s="142"/>
      <c r="AG6" s="142"/>
      <c r="AH6" s="142"/>
      <c r="AI6" s="142"/>
      <c r="AJ6" s="142"/>
      <c r="AK6" s="148" t="s">
        <v>106</v>
      </c>
      <c r="AL6" s="162"/>
      <c r="AM6" s="162"/>
      <c r="AN6" s="162"/>
      <c r="AO6" s="162"/>
      <c r="AP6" s="162"/>
      <c r="AQ6" s="162"/>
      <c r="AR6" s="162"/>
      <c r="AS6" s="162"/>
      <c r="AT6" s="162"/>
      <c r="AU6" s="165"/>
      <c r="AV6" s="167">
        <v>2</v>
      </c>
      <c r="AW6" s="167"/>
      <c r="AX6" s="187">
        <v>0</v>
      </c>
      <c r="AY6" s="187"/>
      <c r="AZ6" s="180" t="s">
        <v>68</v>
      </c>
      <c r="BA6" s="188">
        <v>0</v>
      </c>
      <c r="BB6" s="188"/>
      <c r="BC6" s="182">
        <v>3</v>
      </c>
      <c r="BD6" s="182"/>
      <c r="BE6" s="182"/>
      <c r="BF6" s="182"/>
      <c r="BG6" s="165"/>
      <c r="BH6" s="165"/>
      <c r="BI6" s="165"/>
      <c r="BJ6" s="165"/>
      <c r="BK6" s="170"/>
      <c r="BL6" s="170"/>
      <c r="BM6" s="170"/>
      <c r="BN6" s="170"/>
      <c r="BO6" s="170"/>
      <c r="BP6" s="170"/>
      <c r="BQ6" s="170"/>
      <c r="BR6" s="198"/>
      <c r="BS6" s="170"/>
      <c r="BT6" s="170"/>
      <c r="BU6" s="170"/>
      <c r="BV6" s="170"/>
      <c r="BW6" s="170"/>
      <c r="BX6" s="170"/>
      <c r="BY6" s="170"/>
      <c r="BZ6" s="170"/>
      <c r="CA6" s="170"/>
      <c r="CB6" s="170"/>
      <c r="CC6" s="198"/>
      <c r="CD6" s="170"/>
      <c r="CE6" s="170"/>
      <c r="CF6" s="170"/>
      <c r="CG6" s="170"/>
      <c r="CH6" s="170"/>
      <c r="CI6" s="170"/>
      <c r="CJ6" s="170"/>
      <c r="CK6" s="170"/>
      <c r="CL6" s="170"/>
    </row>
    <row r="7" ht="16.5" customHeight="1" spans="1:90">
      <c r="A7" s="140"/>
      <c r="B7" s="140" t="s">
        <v>231</v>
      </c>
      <c r="C7" s="141" t="s">
        <v>232</v>
      </c>
      <c r="D7" s="143">
        <f>法术大全!C564</f>
        <v>2</v>
      </c>
      <c r="E7" s="143" t="str">
        <f>法术大全!D564</f>
        <v>咒法</v>
      </c>
      <c r="F7" s="143"/>
      <c r="G7" s="143"/>
      <c r="H7" s="143" t="str">
        <f>法术大全!E564</f>
        <v>x</v>
      </c>
      <c r="I7" s="143"/>
      <c r="J7" s="150" t="s">
        <v>237</v>
      </c>
      <c r="K7" s="150"/>
      <c r="L7" s="150"/>
      <c r="M7" s="150"/>
      <c r="N7" s="150"/>
      <c r="O7" s="148" t="s">
        <v>106</v>
      </c>
      <c r="P7" s="151" t="str">
        <f>法术大全!F564</f>
        <v>1附赠动作</v>
      </c>
      <c r="Q7" s="151"/>
      <c r="R7" s="151" t="str">
        <f>法术大全!G564</f>
        <v>自身</v>
      </c>
      <c r="S7" s="151"/>
      <c r="T7" s="151"/>
      <c r="U7" s="151" t="str">
        <f>法术大全!L564</f>
        <v>立即</v>
      </c>
      <c r="V7" s="151"/>
      <c r="W7" s="151"/>
      <c r="X7" s="151"/>
      <c r="Y7" s="151"/>
      <c r="Z7" s="148" t="s">
        <v>106</v>
      </c>
      <c r="AA7" s="158" t="str">
        <f>法术大全!H564</f>
        <v>V</v>
      </c>
      <c r="AB7" s="158" t="str">
        <f>法术大全!I564</f>
        <v>×</v>
      </c>
      <c r="AC7" s="158" t="str">
        <f>法术大全!J564</f>
        <v>×</v>
      </c>
      <c r="AD7" s="143" t="str">
        <f>法术大全!K564</f>
        <v>×</v>
      </c>
      <c r="AE7" s="143"/>
      <c r="AF7" s="143"/>
      <c r="AG7" s="143"/>
      <c r="AH7" s="143"/>
      <c r="AI7" s="143"/>
      <c r="AJ7" s="143"/>
      <c r="AK7" s="148" t="s">
        <v>106</v>
      </c>
      <c r="AL7" s="161"/>
      <c r="AM7" s="161"/>
      <c r="AN7" s="161"/>
      <c r="AO7" s="161"/>
      <c r="AP7" s="161"/>
      <c r="AQ7" s="161"/>
      <c r="AR7" s="161"/>
      <c r="AS7" s="161"/>
      <c r="AT7" s="161"/>
      <c r="AU7" s="165"/>
      <c r="AV7" s="167">
        <v>3</v>
      </c>
      <c r="AW7" s="167"/>
      <c r="AX7" s="183">
        <v>0</v>
      </c>
      <c r="AY7" s="183"/>
      <c r="AZ7" s="184" t="s">
        <v>68</v>
      </c>
      <c r="BA7" s="189">
        <v>0</v>
      </c>
      <c r="BB7" s="189"/>
      <c r="BC7" s="186">
        <v>5</v>
      </c>
      <c r="BD7" s="186"/>
      <c r="BE7" s="186"/>
      <c r="BF7" s="186"/>
      <c r="BG7" s="165"/>
      <c r="BH7" s="165"/>
      <c r="BI7" s="165"/>
      <c r="BJ7" s="165"/>
      <c r="BK7" s="170"/>
      <c r="BL7" s="170"/>
      <c r="BM7" s="170"/>
      <c r="BN7" s="170"/>
      <c r="BO7" s="170"/>
      <c r="BP7" s="170"/>
      <c r="BQ7" s="170"/>
      <c r="BR7" s="198"/>
      <c r="BS7" s="170"/>
      <c r="BT7" s="170"/>
      <c r="BU7" s="170"/>
      <c r="BV7" s="170"/>
      <c r="BW7" s="170"/>
      <c r="BX7" s="170"/>
      <c r="BY7" s="170"/>
      <c r="BZ7" s="170"/>
      <c r="CA7" s="170"/>
      <c r="CB7" s="170"/>
      <c r="CC7" s="198"/>
      <c r="CD7" s="170"/>
      <c r="CE7" s="170"/>
      <c r="CF7" s="170"/>
      <c r="CG7" s="170"/>
      <c r="CH7" s="170"/>
      <c r="CI7" s="170"/>
      <c r="CJ7" s="170"/>
      <c r="CK7" s="170"/>
      <c r="CL7" s="170"/>
    </row>
    <row r="8" ht="16.5" customHeight="1" spans="1:90">
      <c r="A8" s="140"/>
      <c r="B8" s="140" t="s">
        <v>231</v>
      </c>
      <c r="C8" s="141" t="s">
        <v>232</v>
      </c>
      <c r="D8" s="142">
        <f>法术大全!C565</f>
        <v>2</v>
      </c>
      <c r="E8" s="142" t="str">
        <f>法术大全!D565</f>
        <v>惑控</v>
      </c>
      <c r="F8" s="142"/>
      <c r="G8" s="142"/>
      <c r="H8" s="142" t="str">
        <f>法术大全!E565</f>
        <v>x</v>
      </c>
      <c r="I8" s="142"/>
      <c r="J8" s="147" t="s">
        <v>238</v>
      </c>
      <c r="K8" s="147"/>
      <c r="L8" s="147"/>
      <c r="M8" s="147"/>
      <c r="N8" s="147"/>
      <c r="O8" s="148" t="s">
        <v>106</v>
      </c>
      <c r="P8" s="149" t="str">
        <f>法术大全!F565</f>
        <v>1动作</v>
      </c>
      <c r="Q8" s="149"/>
      <c r="R8" s="149" t="str">
        <f>法术大全!G565</f>
        <v>30尺</v>
      </c>
      <c r="S8" s="149"/>
      <c r="T8" s="149"/>
      <c r="U8" s="149" t="str">
        <f>法术大全!L565</f>
        <v>专注,至多8小时</v>
      </c>
      <c r="V8" s="149"/>
      <c r="W8" s="149"/>
      <c r="X8" s="149"/>
      <c r="Y8" s="149"/>
      <c r="Z8" s="148" t="s">
        <v>106</v>
      </c>
      <c r="AA8" s="157" t="str">
        <f>法术大全!H565</f>
        <v>V</v>
      </c>
      <c r="AB8" s="157" t="str">
        <f>法术大全!I565</f>
        <v>×</v>
      </c>
      <c r="AC8" s="157" t="str">
        <f>法术大全!J565</f>
        <v>M</v>
      </c>
      <c r="AD8" s="142" t="str">
        <f>法术大全!K565</f>
        <v>一条蛇舌，加上一小块蜂巢或一滴甜油</v>
      </c>
      <c r="AE8" s="142"/>
      <c r="AF8" s="142"/>
      <c r="AG8" s="142"/>
      <c r="AH8" s="142"/>
      <c r="AI8" s="142"/>
      <c r="AJ8" s="142"/>
      <c r="AK8" s="148" t="s">
        <v>106</v>
      </c>
      <c r="AL8" s="162"/>
      <c r="AM8" s="162"/>
      <c r="AN8" s="162"/>
      <c r="AO8" s="162"/>
      <c r="AP8" s="162"/>
      <c r="AQ8" s="162"/>
      <c r="AR8" s="162"/>
      <c r="AS8" s="162"/>
      <c r="AT8" s="162"/>
      <c r="AU8" s="165"/>
      <c r="AV8" s="167">
        <v>4</v>
      </c>
      <c r="AW8" s="167"/>
      <c r="AX8" s="187">
        <v>0</v>
      </c>
      <c r="AY8" s="187"/>
      <c r="AZ8" s="180" t="s">
        <v>68</v>
      </c>
      <c r="BA8" s="188">
        <v>0</v>
      </c>
      <c r="BB8" s="188"/>
      <c r="BC8" s="182">
        <v>6</v>
      </c>
      <c r="BD8" s="182"/>
      <c r="BE8" s="182"/>
      <c r="BF8" s="182"/>
      <c r="BG8" s="165"/>
      <c r="BH8" s="165"/>
      <c r="BI8" s="165"/>
      <c r="BJ8" s="165"/>
      <c r="BK8" s="170"/>
      <c r="BL8" s="170"/>
      <c r="BM8" s="170"/>
      <c r="BN8" s="170"/>
      <c r="BO8" s="170"/>
      <c r="BP8" s="170"/>
      <c r="BQ8" s="170"/>
      <c r="BR8" s="198"/>
      <c r="BS8" s="170"/>
      <c r="BT8" s="170"/>
      <c r="BU8" s="170"/>
      <c r="BV8" s="170"/>
      <c r="BW8" s="170"/>
      <c r="BX8" s="170"/>
      <c r="BY8" s="170"/>
      <c r="BZ8" s="170"/>
      <c r="CA8" s="170"/>
      <c r="CB8" s="170"/>
      <c r="CC8" s="198"/>
      <c r="CD8" s="170"/>
      <c r="CE8" s="170"/>
      <c r="CF8" s="170"/>
      <c r="CG8" s="170"/>
      <c r="CH8" s="170"/>
      <c r="CI8" s="170"/>
      <c r="CJ8" s="170"/>
      <c r="CK8" s="170"/>
      <c r="CL8" s="170"/>
    </row>
    <row r="9" ht="16.5" customHeight="1" spans="1:90">
      <c r="A9" s="140"/>
      <c r="B9" s="140" t="s">
        <v>231</v>
      </c>
      <c r="C9" s="141" t="s">
        <v>232</v>
      </c>
      <c r="D9" s="143">
        <f>法术大全!C566</f>
        <v>2</v>
      </c>
      <c r="E9" s="143" t="str">
        <f>法术大全!D566</f>
        <v>幻术</v>
      </c>
      <c r="F9" s="143"/>
      <c r="G9" s="143"/>
      <c r="H9" s="143" t="str">
        <f>法术大全!E566</f>
        <v>x</v>
      </c>
      <c r="I9" s="143"/>
      <c r="J9" s="150" t="s">
        <v>239</v>
      </c>
      <c r="K9" s="150"/>
      <c r="L9" s="150"/>
      <c r="M9" s="150"/>
      <c r="N9" s="150"/>
      <c r="O9" s="148" t="s">
        <v>106</v>
      </c>
      <c r="P9" s="151" t="str">
        <f>法术大全!F566</f>
        <v>1动作</v>
      </c>
      <c r="Q9" s="151"/>
      <c r="R9" s="151" t="str">
        <f>法术大全!G566</f>
        <v>触及</v>
      </c>
      <c r="S9" s="151"/>
      <c r="T9" s="151"/>
      <c r="U9" s="151" t="str">
        <f>法术大全!L566</f>
        <v>专注,至多1小时</v>
      </c>
      <c r="V9" s="151"/>
      <c r="W9" s="151"/>
      <c r="X9" s="151"/>
      <c r="Y9" s="151"/>
      <c r="Z9" s="148" t="s">
        <v>106</v>
      </c>
      <c r="AA9" s="158" t="str">
        <f>法术大全!H566</f>
        <v>V</v>
      </c>
      <c r="AB9" s="158" t="str">
        <f>法术大全!I566</f>
        <v>S</v>
      </c>
      <c r="AC9" s="158" t="str">
        <f>法术大全!J566</f>
        <v>M</v>
      </c>
      <c r="AD9" s="143" t="str">
        <f>法术大全!K566</f>
        <v>一根包裹在阿拉伯胶中的睫毛</v>
      </c>
      <c r="AE9" s="143"/>
      <c r="AF9" s="143"/>
      <c r="AG9" s="143"/>
      <c r="AH9" s="143"/>
      <c r="AI9" s="143"/>
      <c r="AJ9" s="143"/>
      <c r="AK9" s="148" t="s">
        <v>106</v>
      </c>
      <c r="AL9" s="161"/>
      <c r="AM9" s="161"/>
      <c r="AN9" s="161"/>
      <c r="AO9" s="161"/>
      <c r="AP9" s="161"/>
      <c r="AQ9" s="161"/>
      <c r="AR9" s="161"/>
      <c r="AS9" s="161"/>
      <c r="AT9" s="161"/>
      <c r="AU9" s="165"/>
      <c r="AV9" s="167">
        <v>5</v>
      </c>
      <c r="AW9" s="167"/>
      <c r="AX9" s="183">
        <v>0</v>
      </c>
      <c r="AY9" s="183"/>
      <c r="AZ9" s="184" t="s">
        <v>68</v>
      </c>
      <c r="BA9" s="185">
        <v>0</v>
      </c>
      <c r="BB9" s="185"/>
      <c r="BC9" s="186">
        <v>7</v>
      </c>
      <c r="BD9" s="186"/>
      <c r="BE9" s="186"/>
      <c r="BF9" s="186"/>
      <c r="BG9" s="165"/>
      <c r="BH9" s="165"/>
      <c r="BI9" s="165"/>
      <c r="BJ9" s="165"/>
      <c r="BK9" s="170"/>
      <c r="BL9" s="170"/>
      <c r="BM9" s="170"/>
      <c r="BN9" s="170"/>
      <c r="BO9" s="170"/>
      <c r="BP9" s="170"/>
      <c r="BQ9" s="170"/>
      <c r="BR9" s="198"/>
      <c r="BS9" s="170"/>
      <c r="BT9" s="170"/>
      <c r="BU9" s="170"/>
      <c r="BV9" s="170"/>
      <c r="BW9" s="170"/>
      <c r="BX9" s="170"/>
      <c r="BY9" s="170"/>
      <c r="BZ9" s="170"/>
      <c r="CA9" s="170"/>
      <c r="CB9" s="170"/>
      <c r="CC9" s="198"/>
      <c r="CD9" s="170"/>
      <c r="CE9" s="170"/>
      <c r="CF9" s="170"/>
      <c r="CG9" s="170"/>
      <c r="CH9" s="170"/>
      <c r="CI9" s="170"/>
      <c r="CJ9" s="170"/>
      <c r="CK9" s="170"/>
      <c r="CL9" s="170"/>
    </row>
    <row r="10" ht="16.5" customHeight="1" spans="1:90">
      <c r="A10" s="140"/>
      <c r="B10" s="140" t="s">
        <v>231</v>
      </c>
      <c r="C10" s="144" t="s">
        <v>232</v>
      </c>
      <c r="D10" s="142">
        <f>法术大全!C567</f>
        <v>2</v>
      </c>
      <c r="E10" s="142" t="str">
        <f>法术大全!D567</f>
        <v>惑控</v>
      </c>
      <c r="F10" s="142"/>
      <c r="G10" s="142"/>
      <c r="H10" s="142" t="str">
        <f>法术大全!E567</f>
        <v>x</v>
      </c>
      <c r="I10" s="142"/>
      <c r="J10" s="147" t="s">
        <v>240</v>
      </c>
      <c r="K10" s="147"/>
      <c r="L10" s="147"/>
      <c r="M10" s="147"/>
      <c r="N10" s="147"/>
      <c r="O10" s="148" t="s">
        <v>106</v>
      </c>
      <c r="P10" s="149" t="str">
        <f>法术大全!F567</f>
        <v>1动作</v>
      </c>
      <c r="Q10" s="149"/>
      <c r="R10" s="149" t="str">
        <f>法术大全!G567</f>
        <v>60尺</v>
      </c>
      <c r="S10" s="149"/>
      <c r="T10" s="149"/>
      <c r="U10" s="149" t="str">
        <f>法术大全!L567</f>
        <v>专注,至多1分钟</v>
      </c>
      <c r="V10" s="149"/>
      <c r="W10" s="149"/>
      <c r="X10" s="149"/>
      <c r="Y10" s="149"/>
      <c r="Z10" s="148" t="s">
        <v>106</v>
      </c>
      <c r="AA10" s="157" t="str">
        <f>法术大全!H567</f>
        <v>V</v>
      </c>
      <c r="AB10" s="157" t="str">
        <f>法术大全!I567</f>
        <v>S</v>
      </c>
      <c r="AC10" s="157" t="str">
        <f>法术大全!J567</f>
        <v>M</v>
      </c>
      <c r="AD10" s="142" t="str">
        <f>法术大全!K567</f>
        <v>一片直的小铁片</v>
      </c>
      <c r="AE10" s="142"/>
      <c r="AF10" s="142"/>
      <c r="AG10" s="142"/>
      <c r="AH10" s="142"/>
      <c r="AI10" s="142"/>
      <c r="AJ10" s="142"/>
      <c r="AK10" s="148" t="s">
        <v>106</v>
      </c>
      <c r="AL10" s="162"/>
      <c r="AM10" s="162"/>
      <c r="AN10" s="162"/>
      <c r="AO10" s="162"/>
      <c r="AP10" s="162"/>
      <c r="AQ10" s="162"/>
      <c r="AR10" s="162"/>
      <c r="AS10" s="162"/>
      <c r="AT10" s="162"/>
      <c r="AU10" s="165"/>
      <c r="AV10" s="167">
        <v>6</v>
      </c>
      <c r="AW10" s="167"/>
      <c r="AX10" s="187">
        <v>0</v>
      </c>
      <c r="AY10" s="187"/>
      <c r="AZ10" s="180" t="s">
        <v>68</v>
      </c>
      <c r="BA10" s="188">
        <v>0</v>
      </c>
      <c r="BB10" s="188"/>
      <c r="BC10" s="182">
        <v>9</v>
      </c>
      <c r="BD10" s="182"/>
      <c r="BE10" s="182"/>
      <c r="BF10" s="182"/>
      <c r="BG10" s="165"/>
      <c r="BH10" s="165"/>
      <c r="BI10" s="165"/>
      <c r="BJ10" s="165"/>
      <c r="BK10" s="170"/>
      <c r="BL10" s="170"/>
      <c r="BM10" s="170"/>
      <c r="BN10" s="170"/>
      <c r="BO10" s="170"/>
      <c r="BP10" s="170"/>
      <c r="BQ10" s="170"/>
      <c r="BR10" s="198"/>
      <c r="BS10" s="170"/>
      <c r="BT10" s="170"/>
      <c r="BU10" s="170"/>
      <c r="BV10" s="170"/>
      <c r="BW10" s="170"/>
      <c r="BX10" s="170"/>
      <c r="BY10" s="170"/>
      <c r="BZ10" s="170"/>
      <c r="CA10" s="170"/>
      <c r="CB10" s="170"/>
      <c r="CC10" s="198"/>
      <c r="CD10" s="170"/>
      <c r="CE10" s="170"/>
      <c r="CF10" s="170"/>
      <c r="CG10" s="170"/>
      <c r="CH10" s="170"/>
      <c r="CI10" s="170"/>
      <c r="CJ10" s="170"/>
      <c r="CK10" s="170"/>
      <c r="CL10" s="170"/>
    </row>
    <row r="11" ht="16.5" customHeight="1" spans="1:90">
      <c r="A11" s="140"/>
      <c r="B11" s="140" t="s">
        <v>231</v>
      </c>
      <c r="C11" s="141" t="s">
        <v>232</v>
      </c>
      <c r="D11" s="143">
        <f>法术大全!C568</f>
        <v>1</v>
      </c>
      <c r="E11" s="143" t="str">
        <f>法术大全!D568</f>
        <v>咒法</v>
      </c>
      <c r="F11" s="143"/>
      <c r="G11" s="143"/>
      <c r="H11" s="143" t="str">
        <f>法术大全!E568</f>
        <v>√</v>
      </c>
      <c r="I11" s="143"/>
      <c r="J11" s="150" t="s">
        <v>241</v>
      </c>
      <c r="K11" s="150"/>
      <c r="L11" s="150"/>
      <c r="M11" s="150"/>
      <c r="N11" s="150"/>
      <c r="O11" s="148" t="s">
        <v>106</v>
      </c>
      <c r="P11" s="151" t="str">
        <f>法术大全!F568</f>
        <v>1动作</v>
      </c>
      <c r="Q11" s="151"/>
      <c r="R11" s="151" t="str">
        <f>法术大全!G568</f>
        <v>60尺</v>
      </c>
      <c r="S11" s="151"/>
      <c r="T11" s="151"/>
      <c r="U11" s="151" t="str">
        <f>法术大全!L568</f>
        <v>1小时</v>
      </c>
      <c r="V11" s="151"/>
      <c r="W11" s="151"/>
      <c r="X11" s="151"/>
      <c r="Y11" s="151"/>
      <c r="Z11" s="148" t="s">
        <v>106</v>
      </c>
      <c r="AA11" s="158" t="str">
        <f>法术大全!H568</f>
        <v>V</v>
      </c>
      <c r="AB11" s="158" t="str">
        <f>法术大全!I568</f>
        <v>S</v>
      </c>
      <c r="AC11" s="158" t="str">
        <f>法术大全!J568</f>
        <v>M</v>
      </c>
      <c r="AD11" s="143" t="str">
        <f>法术大全!K568</f>
        <v>一根线和一块木头</v>
      </c>
      <c r="AE11" s="143"/>
      <c r="AF11" s="143"/>
      <c r="AG11" s="143"/>
      <c r="AH11" s="143"/>
      <c r="AI11" s="143"/>
      <c r="AJ11" s="143"/>
      <c r="AK11" s="148" t="s">
        <v>106</v>
      </c>
      <c r="AL11" s="161"/>
      <c r="AM11" s="161"/>
      <c r="AN11" s="161"/>
      <c r="AO11" s="161"/>
      <c r="AP11" s="161"/>
      <c r="AQ11" s="161"/>
      <c r="AR11" s="161"/>
      <c r="AS11" s="161"/>
      <c r="AT11" s="161"/>
      <c r="AU11" s="165"/>
      <c r="AV11" s="167">
        <v>7</v>
      </c>
      <c r="AW11" s="167"/>
      <c r="AX11" s="183">
        <v>0</v>
      </c>
      <c r="AY11" s="183"/>
      <c r="AZ11" s="184" t="s">
        <v>68</v>
      </c>
      <c r="BA11" s="185">
        <v>0</v>
      </c>
      <c r="BB11" s="185"/>
      <c r="BC11" s="186">
        <v>10</v>
      </c>
      <c r="BD11" s="186"/>
      <c r="BE11" s="186"/>
      <c r="BF11" s="186"/>
      <c r="BG11" s="165"/>
      <c r="BH11" s="165"/>
      <c r="BI11" s="165"/>
      <c r="BJ11" s="165"/>
      <c r="BK11" s="170"/>
      <c r="BL11" s="170"/>
      <c r="BM11" s="170"/>
      <c r="BN11" s="170"/>
      <c r="BO11" s="170"/>
      <c r="BP11" s="170"/>
      <c r="BQ11" s="170"/>
      <c r="BR11" s="198"/>
      <c r="BS11" s="170"/>
      <c r="BT11" s="170"/>
      <c r="BU11" s="170"/>
      <c r="BV11" s="170"/>
      <c r="BW11" s="170"/>
      <c r="BX11" s="170"/>
      <c r="BY11" s="170"/>
      <c r="BZ11" s="170"/>
      <c r="CA11" s="170"/>
      <c r="CB11" s="170"/>
      <c r="CC11" s="198"/>
      <c r="CD11" s="170"/>
      <c r="CE11" s="170"/>
      <c r="CF11" s="170"/>
      <c r="CG11" s="170"/>
      <c r="CH11" s="170"/>
      <c r="CI11" s="170"/>
      <c r="CJ11" s="170"/>
      <c r="CK11" s="170"/>
      <c r="CL11" s="170"/>
    </row>
    <row r="12" ht="16.5" customHeight="1" spans="1:90">
      <c r="A12" s="140"/>
      <c r="B12" s="140" t="s">
        <v>231</v>
      </c>
      <c r="C12" s="141" t="s">
        <v>232</v>
      </c>
      <c r="D12" s="142">
        <f>法术大全!C569</f>
        <v>0</v>
      </c>
      <c r="E12" s="142" t="str">
        <f>法术大全!D569</f>
        <v>变化</v>
      </c>
      <c r="F12" s="142"/>
      <c r="G12" s="142"/>
      <c r="H12" s="142" t="str">
        <f>法术大全!E569</f>
        <v>x</v>
      </c>
      <c r="I12" s="142"/>
      <c r="J12" s="147" t="s">
        <v>242</v>
      </c>
      <c r="K12" s="147"/>
      <c r="L12" s="147"/>
      <c r="M12" s="147"/>
      <c r="N12" s="147"/>
      <c r="O12" s="148" t="s">
        <v>106</v>
      </c>
      <c r="P12" s="149" t="str">
        <f>法术大全!F569</f>
        <v>1分钟</v>
      </c>
      <c r="Q12" s="149"/>
      <c r="R12" s="149" t="str">
        <f>法术大全!G569</f>
        <v>触及</v>
      </c>
      <c r="S12" s="149"/>
      <c r="T12" s="149"/>
      <c r="U12" s="149" t="str">
        <f>法术大全!L569</f>
        <v>立即</v>
      </c>
      <c r="V12" s="149"/>
      <c r="W12" s="149"/>
      <c r="X12" s="149"/>
      <c r="Y12" s="149"/>
      <c r="Z12" s="148" t="s">
        <v>106</v>
      </c>
      <c r="AA12" s="157" t="str">
        <f>法术大全!H569</f>
        <v>V</v>
      </c>
      <c r="AB12" s="157" t="str">
        <f>法术大全!I569</f>
        <v>S</v>
      </c>
      <c r="AC12" s="157" t="str">
        <f>法术大全!J569</f>
        <v>M</v>
      </c>
      <c r="AD12" s="142" t="str">
        <f>法术大全!K569</f>
        <v>两块天然磁石</v>
      </c>
      <c r="AE12" s="142"/>
      <c r="AF12" s="142"/>
      <c r="AG12" s="142"/>
      <c r="AH12" s="142"/>
      <c r="AI12" s="142"/>
      <c r="AJ12" s="142"/>
      <c r="AK12" s="148" t="s">
        <v>106</v>
      </c>
      <c r="AL12" s="162"/>
      <c r="AM12" s="162"/>
      <c r="AN12" s="162"/>
      <c r="AO12" s="162"/>
      <c r="AP12" s="162"/>
      <c r="AQ12" s="162"/>
      <c r="AR12" s="162"/>
      <c r="AS12" s="162"/>
      <c r="AT12" s="162"/>
      <c r="AU12" s="165"/>
      <c r="AV12" s="167">
        <v>8</v>
      </c>
      <c r="AW12" s="167"/>
      <c r="AX12" s="187">
        <v>0</v>
      </c>
      <c r="AY12" s="187"/>
      <c r="AZ12" s="180" t="s">
        <v>68</v>
      </c>
      <c r="BA12" s="188">
        <v>0</v>
      </c>
      <c r="BB12" s="188"/>
      <c r="BC12" s="182">
        <v>11</v>
      </c>
      <c r="BD12" s="182"/>
      <c r="BE12" s="182"/>
      <c r="BF12" s="182"/>
      <c r="BG12" s="165"/>
      <c r="BH12" s="165"/>
      <c r="BI12" s="165"/>
      <c r="BJ12" s="165"/>
      <c r="BK12" s="170"/>
      <c r="BL12" s="170"/>
      <c r="BM12" s="170"/>
      <c r="BN12" s="170"/>
      <c r="BO12" s="170"/>
      <c r="BP12" s="170"/>
      <c r="BQ12" s="170"/>
      <c r="BR12" s="198"/>
      <c r="BS12" s="170"/>
      <c r="BT12" s="170"/>
      <c r="BU12" s="170"/>
      <c r="BV12" s="170"/>
      <c r="BW12" s="170"/>
      <c r="BX12" s="170"/>
      <c r="BY12" s="170"/>
      <c r="BZ12" s="170"/>
      <c r="CA12" s="170"/>
      <c r="CB12" s="170"/>
      <c r="CC12" s="198"/>
      <c r="CD12" s="170"/>
      <c r="CE12" s="170"/>
      <c r="CF12" s="170"/>
      <c r="CG12" s="170"/>
      <c r="CH12" s="170"/>
      <c r="CI12" s="170"/>
      <c r="CJ12" s="170"/>
      <c r="CK12" s="170"/>
      <c r="CL12" s="170"/>
    </row>
    <row r="13" ht="16.5" customHeight="1" spans="1:90">
      <c r="A13" s="140"/>
      <c r="B13" s="140" t="s">
        <v>231</v>
      </c>
      <c r="C13" s="141" t="s">
        <v>232</v>
      </c>
      <c r="D13" s="143">
        <v>3</v>
      </c>
      <c r="E13" s="143" t="e">
        <f>法术大全!D570</f>
        <v>#N/A</v>
      </c>
      <c r="F13" s="143"/>
      <c r="G13" s="143"/>
      <c r="H13" s="143" t="e">
        <f>法术大全!E570</f>
        <v>#N/A</v>
      </c>
      <c r="I13" s="143"/>
      <c r="J13" s="150" t="s">
        <v>243</v>
      </c>
      <c r="K13" s="150"/>
      <c r="L13" s="150"/>
      <c r="M13" s="150"/>
      <c r="N13" s="150"/>
      <c r="O13" s="148" t="s">
        <v>106</v>
      </c>
      <c r="P13" s="151" t="e">
        <f>法术大全!F570</f>
        <v>#N/A</v>
      </c>
      <c r="Q13" s="151"/>
      <c r="R13" s="151" t="e">
        <f>法术大全!G570</f>
        <v>#N/A</v>
      </c>
      <c r="S13" s="151"/>
      <c r="T13" s="151"/>
      <c r="U13" s="151" t="e">
        <f>法术大全!L570</f>
        <v>#N/A</v>
      </c>
      <c r="V13" s="151"/>
      <c r="W13" s="151"/>
      <c r="X13" s="151"/>
      <c r="Y13" s="151"/>
      <c r="Z13" s="148" t="s">
        <v>106</v>
      </c>
      <c r="AA13" s="158" t="e">
        <f>法术大全!H570</f>
        <v>#N/A</v>
      </c>
      <c r="AB13" s="158" t="e">
        <f>法术大全!I570</f>
        <v>#N/A</v>
      </c>
      <c r="AC13" s="158" t="e">
        <f>法术大全!J570</f>
        <v>#N/A</v>
      </c>
      <c r="AD13" s="143" t="e">
        <f>法术大全!K570</f>
        <v>#N/A</v>
      </c>
      <c r="AE13" s="143"/>
      <c r="AF13" s="143"/>
      <c r="AG13" s="143"/>
      <c r="AH13" s="143"/>
      <c r="AI13" s="143"/>
      <c r="AJ13" s="143"/>
      <c r="AK13" s="148" t="s">
        <v>106</v>
      </c>
      <c r="AL13" s="161"/>
      <c r="AM13" s="161"/>
      <c r="AN13" s="161"/>
      <c r="AO13" s="161"/>
      <c r="AP13" s="161"/>
      <c r="AQ13" s="161"/>
      <c r="AR13" s="161"/>
      <c r="AS13" s="161"/>
      <c r="AT13" s="161"/>
      <c r="AU13" s="165"/>
      <c r="AV13" s="167">
        <v>9</v>
      </c>
      <c r="AW13" s="167"/>
      <c r="AX13" s="183">
        <v>0</v>
      </c>
      <c r="AY13" s="183"/>
      <c r="AZ13" s="184" t="s">
        <v>68</v>
      </c>
      <c r="BA13" s="185">
        <v>0</v>
      </c>
      <c r="BB13" s="185"/>
      <c r="BC13" s="186">
        <v>13</v>
      </c>
      <c r="BD13" s="186"/>
      <c r="BE13" s="186"/>
      <c r="BF13" s="186"/>
      <c r="BG13" s="165"/>
      <c r="BH13" s="165"/>
      <c r="BI13" s="165"/>
      <c r="BJ13" s="165"/>
      <c r="BK13" s="168"/>
      <c r="BL13" s="168"/>
      <c r="BM13" s="168"/>
      <c r="BN13" s="168"/>
      <c r="BO13" s="168"/>
      <c r="BP13" s="168"/>
      <c r="BQ13" s="168"/>
      <c r="BR13" s="199"/>
      <c r="BS13" s="168"/>
      <c r="BT13" s="168"/>
      <c r="BU13" s="168"/>
      <c r="BV13" s="168"/>
      <c r="BW13" s="168"/>
      <c r="BX13" s="168"/>
      <c r="BY13" s="168"/>
      <c r="BZ13" s="168"/>
      <c r="CA13" s="168"/>
      <c r="CB13" s="168"/>
      <c r="CC13" s="199"/>
      <c r="CD13" s="168"/>
      <c r="CE13" s="168"/>
      <c r="CF13" s="168"/>
      <c r="CG13" s="168"/>
      <c r="CH13" s="168"/>
      <c r="CI13" s="168"/>
      <c r="CJ13" s="168"/>
      <c r="CK13" s="168"/>
      <c r="CL13" s="168"/>
    </row>
    <row r="14" ht="16.5" customHeight="1" spans="1:91">
      <c r="A14" s="137" t="s">
        <v>244</v>
      </c>
      <c r="B14" s="137"/>
      <c r="C14" s="137"/>
      <c r="D14" s="138" t="s">
        <v>42</v>
      </c>
      <c r="E14" s="137" t="s">
        <v>219</v>
      </c>
      <c r="F14" s="137"/>
      <c r="G14" s="137"/>
      <c r="H14" s="139" t="s">
        <v>220</v>
      </c>
      <c r="I14" s="139"/>
      <c r="J14" s="137" t="s">
        <v>221</v>
      </c>
      <c r="K14" s="137"/>
      <c r="L14" s="137"/>
      <c r="M14" s="137"/>
      <c r="N14" s="137"/>
      <c r="O14" s="152"/>
      <c r="P14" s="153" t="s">
        <v>222</v>
      </c>
      <c r="Q14" s="153"/>
      <c r="R14" s="153" t="s">
        <v>223</v>
      </c>
      <c r="S14" s="153"/>
      <c r="T14" s="153"/>
      <c r="U14" s="153" t="s">
        <v>224</v>
      </c>
      <c r="V14" s="153"/>
      <c r="W14" s="153"/>
      <c r="X14" s="153"/>
      <c r="Y14" s="153"/>
      <c r="Z14" s="152"/>
      <c r="AA14" s="159" t="s">
        <v>225</v>
      </c>
      <c r="AB14" s="159" t="s">
        <v>226</v>
      </c>
      <c r="AC14" s="159" t="s">
        <v>227</v>
      </c>
      <c r="AD14" s="139" t="s">
        <v>228</v>
      </c>
      <c r="AE14" s="139"/>
      <c r="AF14" s="139"/>
      <c r="AG14" s="139"/>
      <c r="AH14" s="139"/>
      <c r="AI14" s="139"/>
      <c r="AJ14" s="139"/>
      <c r="AK14" s="152"/>
      <c r="AL14" s="137" t="s">
        <v>229</v>
      </c>
      <c r="AM14" s="137"/>
      <c r="AN14" s="137"/>
      <c r="AO14" s="137"/>
      <c r="AP14" s="137"/>
      <c r="AQ14" s="137"/>
      <c r="AR14" s="137"/>
      <c r="AS14" s="137"/>
      <c r="AT14" s="137"/>
      <c r="AU14" s="168"/>
      <c r="AV14" s="169" t="s">
        <v>245</v>
      </c>
      <c r="AW14" s="169"/>
      <c r="AX14" s="169"/>
      <c r="AY14" s="169"/>
      <c r="AZ14" s="169"/>
      <c r="BA14" s="169"/>
      <c r="BB14" s="169"/>
      <c r="BC14" s="190"/>
      <c r="BD14" s="190"/>
      <c r="BE14" s="196">
        <f>SUM((BA5*2),(BA6*3),(BA7*5),(BA8*6),(BA9*7),(BA10*9),(BA11*10),(BA12*11),(BA13*13))</f>
        <v>0</v>
      </c>
      <c r="BF14" s="196"/>
      <c r="BG14" s="168"/>
      <c r="BH14" s="168"/>
      <c r="BI14" s="168"/>
      <c r="BJ14" s="168"/>
      <c r="BK14" s="168"/>
      <c r="BL14" s="168"/>
      <c r="BM14" s="168"/>
      <c r="BN14" s="168"/>
      <c r="BO14" s="168"/>
      <c r="BP14" s="168"/>
      <c r="BQ14" s="168"/>
      <c r="BR14" s="168"/>
      <c r="BS14" s="199"/>
      <c r="BT14" s="168"/>
      <c r="BU14" s="168"/>
      <c r="BV14" s="168"/>
      <c r="BW14" s="168"/>
      <c r="BX14" s="168"/>
      <c r="BY14" s="168"/>
      <c r="BZ14" s="168"/>
      <c r="CA14" s="168"/>
      <c r="CB14" s="168"/>
      <c r="CC14" s="168"/>
      <c r="CD14" s="199"/>
      <c r="CE14" s="168"/>
      <c r="CF14" s="168"/>
      <c r="CG14" s="168"/>
      <c r="CH14" s="168"/>
      <c r="CI14" s="168"/>
      <c r="CJ14" s="168"/>
      <c r="CK14" s="168"/>
      <c r="CL14" s="168"/>
      <c r="CM14" s="168"/>
    </row>
    <row r="15" ht="16.5" customHeight="1" spans="1:91">
      <c r="A15" s="140"/>
      <c r="B15" s="140" t="s">
        <v>231</v>
      </c>
      <c r="C15" s="141" t="s">
        <v>232</v>
      </c>
      <c r="D15" s="142" t="str">
        <f>法术大全!C572</f>
        <v>-</v>
      </c>
      <c r="E15" s="142" t="str">
        <f>法术大全!D572</f>
        <v>-</v>
      </c>
      <c r="F15" s="142"/>
      <c r="G15" s="142"/>
      <c r="H15" s="142" t="str">
        <f>法术大全!E572</f>
        <v>-</v>
      </c>
      <c r="I15" s="142"/>
      <c r="J15" s="147"/>
      <c r="K15" s="147"/>
      <c r="L15" s="147"/>
      <c r="M15" s="147"/>
      <c r="N15" s="147"/>
      <c r="O15" s="148" t="s">
        <v>106</v>
      </c>
      <c r="P15" s="149" t="str">
        <f>法术大全!F572</f>
        <v>-</v>
      </c>
      <c r="Q15" s="149"/>
      <c r="R15" s="149" t="str">
        <f>法术大全!G572</f>
        <v>-</v>
      </c>
      <c r="S15" s="149"/>
      <c r="T15" s="149"/>
      <c r="U15" s="149" t="str">
        <f>法术大全!L572</f>
        <v>-</v>
      </c>
      <c r="V15" s="149"/>
      <c r="W15" s="149"/>
      <c r="X15" s="149"/>
      <c r="Y15" s="149"/>
      <c r="Z15" s="148" t="s">
        <v>106</v>
      </c>
      <c r="AA15" s="157" t="str">
        <f>法术大全!H572</f>
        <v>-</v>
      </c>
      <c r="AB15" s="157" t="str">
        <f>法术大全!I572</f>
        <v>-</v>
      </c>
      <c r="AC15" s="157" t="str">
        <f>法术大全!J572</f>
        <v>-</v>
      </c>
      <c r="AD15" s="142" t="str">
        <f>法术大全!K572</f>
        <v>-</v>
      </c>
      <c r="AE15" s="142"/>
      <c r="AF15" s="142"/>
      <c r="AG15" s="142"/>
      <c r="AH15" s="142"/>
      <c r="AI15" s="142"/>
      <c r="AJ15" s="142"/>
      <c r="AK15" s="148" t="s">
        <v>106</v>
      </c>
      <c r="AL15" s="162"/>
      <c r="AM15" s="162"/>
      <c r="AN15" s="162"/>
      <c r="AO15" s="162"/>
      <c r="AP15" s="162"/>
      <c r="AQ15" s="162"/>
      <c r="AR15" s="162"/>
      <c r="AS15" s="162"/>
      <c r="AT15" s="162"/>
      <c r="AU15" s="170"/>
      <c r="BR15" s="165"/>
      <c r="BS15" s="200"/>
      <c r="BT15" s="165"/>
      <c r="BU15" s="170"/>
      <c r="BV15" s="170"/>
      <c r="BW15" s="170"/>
      <c r="BX15" s="170"/>
      <c r="BY15" s="170"/>
      <c r="BZ15" s="170"/>
      <c r="CA15" s="170"/>
      <c r="CB15" s="170"/>
      <c r="CC15" s="170"/>
      <c r="CD15" s="198"/>
      <c r="CE15" s="170"/>
      <c r="CF15" s="170"/>
      <c r="CG15" s="170"/>
      <c r="CH15" s="170"/>
      <c r="CI15" s="170"/>
      <c r="CJ15" s="170"/>
      <c r="CK15" s="170"/>
      <c r="CL15" s="170"/>
      <c r="CM15" s="170"/>
    </row>
    <row r="16" ht="16.5" customHeight="1" spans="1:91">
      <c r="A16" s="140"/>
      <c r="B16" s="140" t="s">
        <v>231</v>
      </c>
      <c r="C16" s="141" t="s">
        <v>232</v>
      </c>
      <c r="D16" s="143" t="str">
        <f>法术大全!C573</f>
        <v>-</v>
      </c>
      <c r="E16" s="143" t="str">
        <f>法术大全!D573</f>
        <v>-</v>
      </c>
      <c r="F16" s="143"/>
      <c r="G16" s="143"/>
      <c r="H16" s="143" t="str">
        <f>法术大全!E573</f>
        <v>-</v>
      </c>
      <c r="I16" s="143"/>
      <c r="J16" s="150"/>
      <c r="K16" s="150"/>
      <c r="L16" s="150"/>
      <c r="M16" s="150"/>
      <c r="N16" s="150"/>
      <c r="O16" s="148" t="s">
        <v>106</v>
      </c>
      <c r="P16" s="151" t="str">
        <f>法术大全!F573</f>
        <v>-</v>
      </c>
      <c r="Q16" s="151"/>
      <c r="R16" s="151" t="str">
        <f>法术大全!G573</f>
        <v>-</v>
      </c>
      <c r="S16" s="151"/>
      <c r="T16" s="151"/>
      <c r="U16" s="151" t="str">
        <f>法术大全!L573</f>
        <v>-</v>
      </c>
      <c r="V16" s="151"/>
      <c r="W16" s="151"/>
      <c r="X16" s="151"/>
      <c r="Y16" s="151"/>
      <c r="Z16" s="148" t="s">
        <v>106</v>
      </c>
      <c r="AA16" s="158" t="str">
        <f>法术大全!H573</f>
        <v>-</v>
      </c>
      <c r="AB16" s="158" t="str">
        <f>法术大全!I573</f>
        <v>-</v>
      </c>
      <c r="AC16" s="158" t="str">
        <f>法术大全!J573</f>
        <v>-</v>
      </c>
      <c r="AD16" s="143" t="str">
        <f>法术大全!K573</f>
        <v>-</v>
      </c>
      <c r="AE16" s="143"/>
      <c r="AF16" s="143"/>
      <c r="AG16" s="143"/>
      <c r="AH16" s="143"/>
      <c r="AI16" s="143"/>
      <c r="AJ16" s="143"/>
      <c r="AK16" s="148" t="s">
        <v>106</v>
      </c>
      <c r="AL16" s="161"/>
      <c r="AM16" s="161"/>
      <c r="AN16" s="161"/>
      <c r="AO16" s="161"/>
      <c r="AP16" s="161"/>
      <c r="AQ16" s="161"/>
      <c r="AR16" s="161"/>
      <c r="AS16" s="161"/>
      <c r="AT16" s="161"/>
      <c r="AU16" s="170"/>
      <c r="AV16" s="171" t="s">
        <v>246</v>
      </c>
      <c r="AW16" s="171"/>
      <c r="AX16" s="171"/>
      <c r="AY16" s="171"/>
      <c r="AZ16" s="171"/>
      <c r="BA16" s="171"/>
      <c r="BB16" s="171"/>
      <c r="BC16" s="171"/>
      <c r="BD16" s="171"/>
      <c r="BE16" s="171"/>
      <c r="BF16" s="171"/>
      <c r="BR16" s="165"/>
      <c r="BS16" s="200"/>
      <c r="BT16" s="165"/>
      <c r="BU16" s="170"/>
      <c r="BV16" s="170"/>
      <c r="BW16" s="170"/>
      <c r="BX16" s="170"/>
      <c r="BY16" s="170"/>
      <c r="BZ16" s="170"/>
      <c r="CA16" s="170"/>
      <c r="CB16" s="170"/>
      <c r="CC16" s="170"/>
      <c r="CD16" s="198"/>
      <c r="CE16" s="170"/>
      <c r="CF16" s="170"/>
      <c r="CG16" s="170"/>
      <c r="CH16" s="170"/>
      <c r="CI16" s="170"/>
      <c r="CJ16" s="170"/>
      <c r="CK16" s="170"/>
      <c r="CL16" s="170"/>
      <c r="CM16" s="170"/>
    </row>
    <row r="17" ht="16.5" customHeight="1" spans="1:91">
      <c r="A17" s="140"/>
      <c r="B17" s="140" t="s">
        <v>231</v>
      </c>
      <c r="C17" s="141" t="s">
        <v>232</v>
      </c>
      <c r="D17" s="142" t="str">
        <f>法术大全!C574</f>
        <v>-</v>
      </c>
      <c r="E17" s="142" t="str">
        <f>法术大全!D574</f>
        <v>-</v>
      </c>
      <c r="F17" s="142"/>
      <c r="G17" s="142"/>
      <c r="H17" s="142" t="str">
        <f>法术大全!E574</f>
        <v>-</v>
      </c>
      <c r="I17" s="142"/>
      <c r="J17" s="147"/>
      <c r="K17" s="147"/>
      <c r="L17" s="147"/>
      <c r="M17" s="147"/>
      <c r="N17" s="147"/>
      <c r="O17" s="148" t="s">
        <v>106</v>
      </c>
      <c r="P17" s="149" t="str">
        <f>法术大全!F574</f>
        <v>-</v>
      </c>
      <c r="Q17" s="149"/>
      <c r="R17" s="149" t="str">
        <f>法术大全!G574</f>
        <v>-</v>
      </c>
      <c r="S17" s="149"/>
      <c r="T17" s="149"/>
      <c r="U17" s="149" t="str">
        <f>法术大全!L574</f>
        <v>-</v>
      </c>
      <c r="V17" s="149"/>
      <c r="W17" s="149"/>
      <c r="X17" s="149"/>
      <c r="Y17" s="149"/>
      <c r="Z17" s="148" t="s">
        <v>106</v>
      </c>
      <c r="AA17" s="157" t="str">
        <f>法术大全!H574</f>
        <v>-</v>
      </c>
      <c r="AB17" s="157" t="str">
        <f>法术大全!I574</f>
        <v>-</v>
      </c>
      <c r="AC17" s="157" t="str">
        <f>法术大全!J574</f>
        <v>-</v>
      </c>
      <c r="AD17" s="142" t="str">
        <f>法术大全!K574</f>
        <v>-</v>
      </c>
      <c r="AE17" s="142"/>
      <c r="AF17" s="142"/>
      <c r="AG17" s="142"/>
      <c r="AH17" s="142"/>
      <c r="AI17" s="142"/>
      <c r="AJ17" s="142"/>
      <c r="AK17" s="148" t="s">
        <v>106</v>
      </c>
      <c r="AL17" s="162"/>
      <c r="AM17" s="162"/>
      <c r="AN17" s="162"/>
      <c r="AO17" s="162"/>
      <c r="AP17" s="162"/>
      <c r="AQ17" s="162"/>
      <c r="AR17" s="162"/>
      <c r="AS17" s="162"/>
      <c r="AT17" s="162"/>
      <c r="AU17" s="170"/>
      <c r="AV17" s="172" t="s">
        <v>247</v>
      </c>
      <c r="AW17" s="172"/>
      <c r="AX17" s="172"/>
      <c r="AY17" s="172"/>
      <c r="AZ17" s="172"/>
      <c r="BA17" s="172"/>
      <c r="BB17" s="191"/>
      <c r="BC17" s="191"/>
      <c r="BD17" s="191"/>
      <c r="BE17" s="191"/>
      <c r="BF17" s="191"/>
      <c r="BR17" s="165"/>
      <c r="BS17" s="200"/>
      <c r="BT17" s="165"/>
      <c r="BU17" s="170"/>
      <c r="BV17" s="170"/>
      <c r="BW17" s="170"/>
      <c r="BX17" s="170"/>
      <c r="BY17" s="170"/>
      <c r="BZ17" s="170"/>
      <c r="CA17" s="170"/>
      <c r="CB17" s="170"/>
      <c r="CC17" s="170"/>
      <c r="CD17" s="198"/>
      <c r="CE17" s="170"/>
      <c r="CF17" s="170"/>
      <c r="CG17" s="170"/>
      <c r="CH17" s="170"/>
      <c r="CI17" s="170"/>
      <c r="CJ17" s="170"/>
      <c r="CK17" s="170"/>
      <c r="CL17" s="170"/>
      <c r="CM17" s="170"/>
    </row>
    <row r="18" ht="16.5" customHeight="1" spans="1:91">
      <c r="A18" s="140"/>
      <c r="B18" s="140" t="s">
        <v>231</v>
      </c>
      <c r="C18" s="141" t="s">
        <v>232</v>
      </c>
      <c r="D18" s="143" t="str">
        <f>法术大全!C575</f>
        <v>-</v>
      </c>
      <c r="E18" s="143" t="str">
        <f>法术大全!D575</f>
        <v>-</v>
      </c>
      <c r="F18" s="143"/>
      <c r="G18" s="143"/>
      <c r="H18" s="143" t="str">
        <f>法术大全!E575</f>
        <v>-</v>
      </c>
      <c r="I18" s="143"/>
      <c r="J18" s="150"/>
      <c r="K18" s="150"/>
      <c r="L18" s="150"/>
      <c r="M18" s="150"/>
      <c r="N18" s="150"/>
      <c r="O18" s="148" t="s">
        <v>106</v>
      </c>
      <c r="P18" s="151" t="str">
        <f>法术大全!F575</f>
        <v>-</v>
      </c>
      <c r="Q18" s="151"/>
      <c r="R18" s="151" t="str">
        <f>法术大全!G575</f>
        <v>-</v>
      </c>
      <c r="S18" s="151"/>
      <c r="T18" s="151"/>
      <c r="U18" s="151" t="str">
        <f>法术大全!L575</f>
        <v>-</v>
      </c>
      <c r="V18" s="151"/>
      <c r="W18" s="151"/>
      <c r="X18" s="151"/>
      <c r="Y18" s="151"/>
      <c r="Z18" s="148" t="s">
        <v>106</v>
      </c>
      <c r="AA18" s="158" t="str">
        <f>法术大全!H575</f>
        <v>-</v>
      </c>
      <c r="AB18" s="158" t="str">
        <f>法术大全!I575</f>
        <v>-</v>
      </c>
      <c r="AC18" s="158" t="str">
        <f>法术大全!J575</f>
        <v>-</v>
      </c>
      <c r="AD18" s="143" t="str">
        <f>法术大全!K575</f>
        <v>-</v>
      </c>
      <c r="AE18" s="143"/>
      <c r="AF18" s="143"/>
      <c r="AG18" s="143"/>
      <c r="AH18" s="143"/>
      <c r="AI18" s="143"/>
      <c r="AJ18" s="143"/>
      <c r="AK18" s="148" t="s">
        <v>106</v>
      </c>
      <c r="AL18" s="161"/>
      <c r="AM18" s="161"/>
      <c r="AN18" s="161"/>
      <c r="AO18" s="161"/>
      <c r="AP18" s="161"/>
      <c r="AQ18" s="161"/>
      <c r="AR18" s="161"/>
      <c r="AS18" s="161"/>
      <c r="AT18" s="161"/>
      <c r="AU18" s="170"/>
      <c r="AV18" s="173" t="s">
        <v>248</v>
      </c>
      <c r="AW18" s="173"/>
      <c r="AX18" s="173"/>
      <c r="AY18" s="173"/>
      <c r="AZ18" s="173"/>
      <c r="BA18" s="173"/>
      <c r="BB18" s="192"/>
      <c r="BC18" s="192"/>
      <c r="BD18" s="192"/>
      <c r="BE18" s="192"/>
      <c r="BF18" s="192"/>
      <c r="BR18" s="165"/>
      <c r="BS18" s="200"/>
      <c r="BT18" s="165"/>
      <c r="BU18" s="170"/>
      <c r="BV18" s="170"/>
      <c r="BW18" s="170"/>
      <c r="BX18" s="170"/>
      <c r="BY18" s="170"/>
      <c r="BZ18" s="170"/>
      <c r="CA18" s="170"/>
      <c r="CB18" s="170"/>
      <c r="CC18" s="170"/>
      <c r="CD18" s="198"/>
      <c r="CE18" s="170"/>
      <c r="CF18" s="170"/>
      <c r="CG18" s="170"/>
      <c r="CH18" s="170"/>
      <c r="CI18" s="170"/>
      <c r="CJ18" s="170"/>
      <c r="CK18" s="170"/>
      <c r="CL18" s="170"/>
      <c r="CM18" s="170"/>
    </row>
    <row r="19" ht="16.5" customHeight="1" spans="1:91">
      <c r="A19" s="140"/>
      <c r="B19" s="140" t="s">
        <v>231</v>
      </c>
      <c r="C19" s="141" t="s">
        <v>232</v>
      </c>
      <c r="D19" s="142" t="str">
        <f>法术大全!C576</f>
        <v>-</v>
      </c>
      <c r="E19" s="142" t="str">
        <f>法术大全!D576</f>
        <v>-</v>
      </c>
      <c r="F19" s="142"/>
      <c r="G19" s="142"/>
      <c r="H19" s="142" t="str">
        <f>法术大全!E576</f>
        <v>-</v>
      </c>
      <c r="I19" s="142"/>
      <c r="J19" s="147"/>
      <c r="K19" s="147"/>
      <c r="L19" s="147"/>
      <c r="M19" s="147"/>
      <c r="N19" s="147"/>
      <c r="O19" s="148" t="s">
        <v>106</v>
      </c>
      <c r="P19" s="149" t="str">
        <f>法术大全!F576</f>
        <v>-</v>
      </c>
      <c r="Q19" s="149"/>
      <c r="R19" s="149" t="str">
        <f>法术大全!G576</f>
        <v>-</v>
      </c>
      <c r="S19" s="149"/>
      <c r="T19" s="149"/>
      <c r="U19" s="149" t="str">
        <f>法术大全!L576</f>
        <v>-</v>
      </c>
      <c r="V19" s="149"/>
      <c r="W19" s="149"/>
      <c r="X19" s="149"/>
      <c r="Y19" s="149"/>
      <c r="Z19" s="148" t="s">
        <v>106</v>
      </c>
      <c r="AA19" s="157" t="str">
        <f>法术大全!H576</f>
        <v>-</v>
      </c>
      <c r="AB19" s="157" t="str">
        <f>法术大全!I576</f>
        <v>-</v>
      </c>
      <c r="AC19" s="157" t="str">
        <f>法术大全!J576</f>
        <v>-</v>
      </c>
      <c r="AD19" s="142" t="str">
        <f>法术大全!K576</f>
        <v>-</v>
      </c>
      <c r="AE19" s="142"/>
      <c r="AF19" s="142"/>
      <c r="AG19" s="142"/>
      <c r="AH19" s="142"/>
      <c r="AI19" s="142"/>
      <c r="AJ19" s="142"/>
      <c r="AK19" s="148" t="s">
        <v>106</v>
      </c>
      <c r="AL19" s="162"/>
      <c r="AM19" s="162"/>
      <c r="AN19" s="162"/>
      <c r="AO19" s="162"/>
      <c r="AP19" s="162"/>
      <c r="AQ19" s="162"/>
      <c r="AR19" s="162"/>
      <c r="AS19" s="162"/>
      <c r="AT19" s="162"/>
      <c r="AU19" s="170"/>
      <c r="BF19" s="165"/>
      <c r="BR19" s="165"/>
      <c r="BS19" s="200"/>
      <c r="BT19" s="165"/>
      <c r="BU19" s="170"/>
      <c r="BV19" s="170"/>
      <c r="BW19" s="170"/>
      <c r="BX19" s="170"/>
      <c r="BY19" s="170"/>
      <c r="BZ19" s="170"/>
      <c r="CA19" s="170"/>
      <c r="CB19" s="170"/>
      <c r="CC19" s="170"/>
      <c r="CD19" s="198"/>
      <c r="CE19" s="170"/>
      <c r="CF19" s="170"/>
      <c r="CG19" s="170"/>
      <c r="CH19" s="170"/>
      <c r="CI19" s="170"/>
      <c r="CJ19" s="170"/>
      <c r="CK19" s="170"/>
      <c r="CL19" s="170"/>
      <c r="CM19" s="170"/>
    </row>
    <row r="20" ht="16.5" customHeight="1" spans="1:91">
      <c r="A20" s="140"/>
      <c r="B20" s="140" t="s">
        <v>231</v>
      </c>
      <c r="C20" s="141" t="s">
        <v>232</v>
      </c>
      <c r="D20" s="143" t="str">
        <f>法术大全!C577</f>
        <v>-</v>
      </c>
      <c r="E20" s="143" t="str">
        <f>法术大全!D577</f>
        <v>-</v>
      </c>
      <c r="F20" s="143"/>
      <c r="G20" s="143"/>
      <c r="H20" s="143" t="str">
        <f>法术大全!E577</f>
        <v>-</v>
      </c>
      <c r="I20" s="143"/>
      <c r="J20" s="150"/>
      <c r="K20" s="150"/>
      <c r="L20" s="150"/>
      <c r="M20" s="150"/>
      <c r="N20" s="150"/>
      <c r="O20" s="148" t="s">
        <v>106</v>
      </c>
      <c r="P20" s="151" t="str">
        <f>法术大全!F577</f>
        <v>-</v>
      </c>
      <c r="Q20" s="151"/>
      <c r="R20" s="151" t="str">
        <f>法术大全!G577</f>
        <v>-</v>
      </c>
      <c r="S20" s="151"/>
      <c r="T20" s="151"/>
      <c r="U20" s="151" t="str">
        <f>法术大全!L577</f>
        <v>-</v>
      </c>
      <c r="V20" s="151"/>
      <c r="W20" s="151"/>
      <c r="X20" s="151"/>
      <c r="Y20" s="151"/>
      <c r="Z20" s="148" t="s">
        <v>106</v>
      </c>
      <c r="AA20" s="158" t="str">
        <f>法术大全!H577</f>
        <v>-</v>
      </c>
      <c r="AB20" s="158" t="str">
        <f>法术大全!I577</f>
        <v>-</v>
      </c>
      <c r="AC20" s="158" t="str">
        <f>法术大全!J577</f>
        <v>-</v>
      </c>
      <c r="AD20" s="143" t="str">
        <f>法术大全!K577</f>
        <v>-</v>
      </c>
      <c r="AE20" s="143"/>
      <c r="AF20" s="143"/>
      <c r="AG20" s="143"/>
      <c r="AH20" s="143"/>
      <c r="AI20" s="143"/>
      <c r="AJ20" s="143"/>
      <c r="AK20" s="148" t="s">
        <v>106</v>
      </c>
      <c r="AL20" s="161"/>
      <c r="AM20" s="161"/>
      <c r="AN20" s="161"/>
      <c r="AO20" s="161"/>
      <c r="AP20" s="161"/>
      <c r="AQ20" s="161"/>
      <c r="AR20" s="161"/>
      <c r="AS20" s="161"/>
      <c r="AT20" s="161"/>
      <c r="AU20" s="170"/>
      <c r="AV20" s="139" t="s">
        <v>41</v>
      </c>
      <c r="AW20" s="139"/>
      <c r="AX20" s="139" t="s">
        <v>249</v>
      </c>
      <c r="AY20" s="139"/>
      <c r="AZ20" s="139"/>
      <c r="BA20" s="139"/>
      <c r="BB20" s="139" t="s">
        <v>250</v>
      </c>
      <c r="BC20" s="139"/>
      <c r="BD20" s="139"/>
      <c r="BE20" s="139"/>
      <c r="BW20" s="170"/>
      <c r="BX20" s="170"/>
      <c r="BY20" s="170"/>
      <c r="BZ20" s="170"/>
      <c r="CA20" s="170"/>
      <c r="CB20" s="170"/>
      <c r="CC20" s="170"/>
      <c r="CD20" s="198"/>
      <c r="CE20" s="170"/>
      <c r="CF20" s="170"/>
      <c r="CG20" s="170"/>
      <c r="CH20" s="170"/>
      <c r="CI20" s="170"/>
      <c r="CJ20" s="170"/>
      <c r="CK20" s="170"/>
      <c r="CL20" s="170"/>
      <c r="CM20" s="170"/>
    </row>
    <row r="21" ht="16.5" customHeight="1" spans="1:91">
      <c r="A21" s="140"/>
      <c r="B21" s="140" t="s">
        <v>231</v>
      </c>
      <c r="C21" s="141" t="s">
        <v>232</v>
      </c>
      <c r="D21" s="142" t="str">
        <f>法术大全!C578</f>
        <v>-</v>
      </c>
      <c r="E21" s="142" t="str">
        <f>法术大全!D578</f>
        <v>-</v>
      </c>
      <c r="F21" s="142"/>
      <c r="G21" s="142"/>
      <c r="H21" s="142" t="str">
        <f>法术大全!E578</f>
        <v>-</v>
      </c>
      <c r="I21" s="142"/>
      <c r="J21" s="147"/>
      <c r="K21" s="147"/>
      <c r="L21" s="147"/>
      <c r="M21" s="147"/>
      <c r="N21" s="147"/>
      <c r="O21" s="148" t="s">
        <v>106</v>
      </c>
      <c r="P21" s="149" t="str">
        <f>法术大全!F578</f>
        <v>-</v>
      </c>
      <c r="Q21" s="149"/>
      <c r="R21" s="149" t="str">
        <f>法术大全!G578</f>
        <v>-</v>
      </c>
      <c r="S21" s="149"/>
      <c r="T21" s="149"/>
      <c r="U21" s="149" t="str">
        <f>法术大全!L578</f>
        <v>-</v>
      </c>
      <c r="V21" s="149"/>
      <c r="W21" s="149"/>
      <c r="X21" s="149"/>
      <c r="Y21" s="149"/>
      <c r="Z21" s="148" t="s">
        <v>106</v>
      </c>
      <c r="AA21" s="157" t="str">
        <f>法术大全!H578</f>
        <v>-</v>
      </c>
      <c r="AB21" s="157" t="str">
        <f>法术大全!I578</f>
        <v>-</v>
      </c>
      <c r="AC21" s="157" t="str">
        <f>法术大全!J578</f>
        <v>-</v>
      </c>
      <c r="AD21" s="142" t="str">
        <f>法术大全!K578</f>
        <v>-</v>
      </c>
      <c r="AE21" s="142"/>
      <c r="AF21" s="142"/>
      <c r="AG21" s="142"/>
      <c r="AH21" s="142"/>
      <c r="AI21" s="142"/>
      <c r="AJ21" s="142"/>
      <c r="AK21" s="148" t="s">
        <v>106</v>
      </c>
      <c r="AL21" s="162"/>
      <c r="AM21" s="162"/>
      <c r="AN21" s="162"/>
      <c r="AO21" s="162"/>
      <c r="AP21" s="162"/>
      <c r="AQ21" s="162"/>
      <c r="AR21" s="162"/>
      <c r="AS21" s="162"/>
      <c r="AT21" s="162"/>
      <c r="AU21" s="170"/>
      <c r="AV21" s="166">
        <v>0</v>
      </c>
      <c r="AW21" s="166"/>
      <c r="AX21" s="193">
        <v>0</v>
      </c>
      <c r="AY21" s="193"/>
      <c r="AZ21" s="193"/>
      <c r="BA21" s="193"/>
      <c r="BB21" s="193">
        <v>0</v>
      </c>
      <c r="BC21" s="193"/>
      <c r="BD21" s="193"/>
      <c r="BE21" s="193"/>
      <c r="BW21" s="170"/>
      <c r="BX21" s="170"/>
      <c r="BY21" s="170"/>
      <c r="BZ21" s="170"/>
      <c r="CA21" s="170"/>
      <c r="CB21" s="170"/>
      <c r="CC21" s="170"/>
      <c r="CD21" s="198"/>
      <c r="CE21" s="170"/>
      <c r="CF21" s="170"/>
      <c r="CG21" s="170"/>
      <c r="CH21" s="170"/>
      <c r="CI21" s="170"/>
      <c r="CJ21" s="170"/>
      <c r="CK21" s="170"/>
      <c r="CL21" s="170"/>
      <c r="CM21" s="170"/>
    </row>
    <row r="22" ht="16.5" customHeight="1" spans="1:91">
      <c r="A22" s="140"/>
      <c r="B22" s="140" t="s">
        <v>231</v>
      </c>
      <c r="C22" s="141" t="s">
        <v>232</v>
      </c>
      <c r="D22" s="143" t="str">
        <f>法术大全!C579</f>
        <v>-</v>
      </c>
      <c r="E22" s="143" t="str">
        <f>法术大全!D579</f>
        <v>-</v>
      </c>
      <c r="F22" s="143"/>
      <c r="G22" s="143"/>
      <c r="H22" s="143" t="str">
        <f>法术大全!E579</f>
        <v>-</v>
      </c>
      <c r="I22" s="143"/>
      <c r="J22" s="150"/>
      <c r="K22" s="150"/>
      <c r="L22" s="150"/>
      <c r="M22" s="150"/>
      <c r="N22" s="150"/>
      <c r="O22" s="148" t="s">
        <v>106</v>
      </c>
      <c r="P22" s="151" t="str">
        <f>法术大全!F579</f>
        <v>-</v>
      </c>
      <c r="Q22" s="151"/>
      <c r="R22" s="151" t="str">
        <f>法术大全!G579</f>
        <v>-</v>
      </c>
      <c r="S22" s="151"/>
      <c r="T22" s="151"/>
      <c r="U22" s="151" t="str">
        <f>法术大全!L579</f>
        <v>-</v>
      </c>
      <c r="V22" s="151"/>
      <c r="W22" s="151"/>
      <c r="X22" s="151"/>
      <c r="Y22" s="151"/>
      <c r="Z22" s="148" t="s">
        <v>106</v>
      </c>
      <c r="AA22" s="158" t="str">
        <f>法术大全!H579</f>
        <v>-</v>
      </c>
      <c r="AB22" s="158" t="str">
        <f>法术大全!I579</f>
        <v>-</v>
      </c>
      <c r="AC22" s="158" t="str">
        <f>法术大全!J579</f>
        <v>-</v>
      </c>
      <c r="AD22" s="143" t="str">
        <f>法术大全!K579</f>
        <v>-</v>
      </c>
      <c r="AE22" s="143"/>
      <c r="AF22" s="143"/>
      <c r="AG22" s="143"/>
      <c r="AH22" s="143"/>
      <c r="AI22" s="143"/>
      <c r="AJ22" s="143"/>
      <c r="AK22" s="148" t="s">
        <v>106</v>
      </c>
      <c r="AL22" s="161"/>
      <c r="AM22" s="161"/>
      <c r="AN22" s="161"/>
      <c r="AO22" s="161"/>
      <c r="AP22" s="161"/>
      <c r="AQ22" s="161"/>
      <c r="AR22" s="161"/>
      <c r="AS22" s="161"/>
      <c r="AT22" s="161"/>
      <c r="AU22" s="170"/>
      <c r="AV22" s="167">
        <v>1</v>
      </c>
      <c r="AW22" s="167"/>
      <c r="AX22" s="194">
        <v>4</v>
      </c>
      <c r="AY22" s="194"/>
      <c r="AZ22" s="194"/>
      <c r="BA22" s="194"/>
      <c r="BB22" s="194">
        <v>1</v>
      </c>
      <c r="BC22" s="194"/>
      <c r="BD22" s="194"/>
      <c r="BE22" s="194"/>
      <c r="BW22" s="170"/>
      <c r="BX22" s="170"/>
      <c r="BY22" s="170"/>
      <c r="BZ22" s="170"/>
      <c r="CA22" s="170"/>
      <c r="CB22" s="170"/>
      <c r="CC22" s="170"/>
      <c r="CD22" s="198"/>
      <c r="CE22" s="170"/>
      <c r="CF22" s="170"/>
      <c r="CG22" s="170"/>
      <c r="CH22" s="170"/>
      <c r="CI22" s="170"/>
      <c r="CJ22" s="170"/>
      <c r="CK22" s="170"/>
      <c r="CL22" s="170"/>
      <c r="CM22" s="170"/>
    </row>
    <row r="23" ht="16.5" customHeight="1" spans="1:91">
      <c r="A23" s="140"/>
      <c r="B23" s="140" t="s">
        <v>231</v>
      </c>
      <c r="C23" s="141" t="s">
        <v>232</v>
      </c>
      <c r="D23" s="142" t="str">
        <f>法术大全!C580</f>
        <v>-</v>
      </c>
      <c r="E23" s="142" t="str">
        <f>法术大全!D580</f>
        <v>-</v>
      </c>
      <c r="F23" s="142"/>
      <c r="G23" s="142"/>
      <c r="H23" s="142" t="str">
        <f>法术大全!E580</f>
        <v>-</v>
      </c>
      <c r="I23" s="142"/>
      <c r="J23" s="147"/>
      <c r="K23" s="147"/>
      <c r="L23" s="147"/>
      <c r="M23" s="147"/>
      <c r="N23" s="147"/>
      <c r="O23" s="148" t="s">
        <v>106</v>
      </c>
      <c r="P23" s="149" t="str">
        <f>法术大全!F580</f>
        <v>-</v>
      </c>
      <c r="Q23" s="149"/>
      <c r="R23" s="149" t="str">
        <f>法术大全!G580</f>
        <v>-</v>
      </c>
      <c r="S23" s="149"/>
      <c r="T23" s="149"/>
      <c r="U23" s="149" t="str">
        <f>法术大全!L580</f>
        <v>-</v>
      </c>
      <c r="V23" s="149"/>
      <c r="W23" s="149"/>
      <c r="X23" s="149"/>
      <c r="Y23" s="149"/>
      <c r="Z23" s="148" t="s">
        <v>106</v>
      </c>
      <c r="AA23" s="157" t="str">
        <f>法术大全!H580</f>
        <v>-</v>
      </c>
      <c r="AB23" s="157" t="str">
        <f>法术大全!I580</f>
        <v>-</v>
      </c>
      <c r="AC23" s="157" t="str">
        <f>法术大全!J580</f>
        <v>-</v>
      </c>
      <c r="AD23" s="142" t="str">
        <f>法术大全!K580</f>
        <v>-</v>
      </c>
      <c r="AE23" s="142"/>
      <c r="AF23" s="142"/>
      <c r="AG23" s="142"/>
      <c r="AH23" s="142"/>
      <c r="AI23" s="142"/>
      <c r="AJ23" s="142"/>
      <c r="AK23" s="148" t="s">
        <v>106</v>
      </c>
      <c r="AL23" s="162"/>
      <c r="AM23" s="162"/>
      <c r="AN23" s="162"/>
      <c r="AO23" s="162"/>
      <c r="AP23" s="162"/>
      <c r="AQ23" s="162"/>
      <c r="AR23" s="162"/>
      <c r="AS23" s="162"/>
      <c r="AT23" s="162"/>
      <c r="AU23" s="170"/>
      <c r="AV23" s="167">
        <v>2</v>
      </c>
      <c r="AW23" s="167"/>
      <c r="AX23" s="182">
        <v>6</v>
      </c>
      <c r="AY23" s="182"/>
      <c r="AZ23" s="182"/>
      <c r="BA23" s="182"/>
      <c r="BB23" s="182">
        <v>1</v>
      </c>
      <c r="BC23" s="182"/>
      <c r="BD23" s="182"/>
      <c r="BE23" s="182"/>
      <c r="BW23" s="170"/>
      <c r="BX23" s="170"/>
      <c r="BY23" s="170"/>
      <c r="BZ23" s="170"/>
      <c r="CA23" s="170"/>
      <c r="CB23" s="170"/>
      <c r="CC23" s="170"/>
      <c r="CD23" s="198"/>
      <c r="CE23" s="170"/>
      <c r="CF23" s="170"/>
      <c r="CG23" s="170"/>
      <c r="CH23" s="170"/>
      <c r="CI23" s="170"/>
      <c r="CJ23" s="170"/>
      <c r="CK23" s="170"/>
      <c r="CL23" s="170"/>
      <c r="CM23" s="170"/>
    </row>
    <row r="24" ht="16.5" customHeight="1" spans="1:91">
      <c r="A24" s="140"/>
      <c r="B24" s="140" t="s">
        <v>231</v>
      </c>
      <c r="C24" s="141" t="s">
        <v>232</v>
      </c>
      <c r="D24" s="143" t="str">
        <f>法术大全!C581</f>
        <v>-</v>
      </c>
      <c r="E24" s="143" t="str">
        <f>法术大全!D581</f>
        <v>-</v>
      </c>
      <c r="F24" s="143"/>
      <c r="G24" s="143"/>
      <c r="H24" s="143" t="str">
        <f>法术大全!E581</f>
        <v>-</v>
      </c>
      <c r="I24" s="143"/>
      <c r="J24" s="150"/>
      <c r="K24" s="150"/>
      <c r="L24" s="150"/>
      <c r="M24" s="150"/>
      <c r="N24" s="150"/>
      <c r="O24" s="148" t="s">
        <v>106</v>
      </c>
      <c r="P24" s="151" t="str">
        <f>法术大全!F581</f>
        <v>-</v>
      </c>
      <c r="Q24" s="151"/>
      <c r="R24" s="151" t="str">
        <f>法术大全!G581</f>
        <v>-</v>
      </c>
      <c r="S24" s="151"/>
      <c r="T24" s="151"/>
      <c r="U24" s="151" t="str">
        <f>法术大全!L581</f>
        <v>-</v>
      </c>
      <c r="V24" s="151"/>
      <c r="W24" s="151"/>
      <c r="X24" s="151"/>
      <c r="Y24" s="151"/>
      <c r="Z24" s="148" t="s">
        <v>106</v>
      </c>
      <c r="AA24" s="158" t="str">
        <f>法术大全!H581</f>
        <v>-</v>
      </c>
      <c r="AB24" s="158" t="str">
        <f>法术大全!I581</f>
        <v>-</v>
      </c>
      <c r="AC24" s="158" t="str">
        <f>法术大全!J581</f>
        <v>-</v>
      </c>
      <c r="AD24" s="143" t="str">
        <f>法术大全!K581</f>
        <v>-</v>
      </c>
      <c r="AE24" s="143"/>
      <c r="AF24" s="143"/>
      <c r="AG24" s="143"/>
      <c r="AH24" s="143"/>
      <c r="AI24" s="143"/>
      <c r="AJ24" s="143"/>
      <c r="AK24" s="148" t="s">
        <v>106</v>
      </c>
      <c r="AL24" s="161"/>
      <c r="AM24" s="161"/>
      <c r="AN24" s="161"/>
      <c r="AO24" s="161"/>
      <c r="AP24" s="161"/>
      <c r="AQ24" s="161"/>
      <c r="AR24" s="161"/>
      <c r="AS24" s="161"/>
      <c r="AT24" s="161"/>
      <c r="AU24" s="170"/>
      <c r="AV24" s="167">
        <v>3</v>
      </c>
      <c r="AW24" s="167"/>
      <c r="AX24" s="186">
        <v>14</v>
      </c>
      <c r="AY24" s="186"/>
      <c r="AZ24" s="186"/>
      <c r="BA24" s="186"/>
      <c r="BB24" s="186">
        <v>2</v>
      </c>
      <c r="BC24" s="186"/>
      <c r="BD24" s="186"/>
      <c r="BE24" s="186"/>
      <c r="BW24" s="170"/>
      <c r="BX24" s="170"/>
      <c r="BY24" s="170"/>
      <c r="BZ24" s="170"/>
      <c r="CA24" s="170"/>
      <c r="CB24" s="170"/>
      <c r="CC24" s="170"/>
      <c r="CD24" s="198"/>
      <c r="CE24" s="170"/>
      <c r="CF24" s="170"/>
      <c r="CG24" s="170"/>
      <c r="CH24" s="170"/>
      <c r="CI24" s="170"/>
      <c r="CJ24" s="170"/>
      <c r="CK24" s="170"/>
      <c r="CL24" s="170"/>
      <c r="CM24" s="170"/>
    </row>
    <row r="25" ht="16.5" customHeight="1" spans="1:91">
      <c r="A25" s="137" t="s">
        <v>251</v>
      </c>
      <c r="B25" s="137"/>
      <c r="C25" s="137"/>
      <c r="D25" s="138" t="s">
        <v>42</v>
      </c>
      <c r="E25" s="137" t="s">
        <v>219</v>
      </c>
      <c r="F25" s="137"/>
      <c r="G25" s="137"/>
      <c r="H25" s="139" t="s">
        <v>220</v>
      </c>
      <c r="I25" s="139"/>
      <c r="J25" s="137" t="s">
        <v>221</v>
      </c>
      <c r="K25" s="137"/>
      <c r="L25" s="137"/>
      <c r="M25" s="137"/>
      <c r="N25" s="137"/>
      <c r="O25" s="152"/>
      <c r="P25" s="153" t="s">
        <v>222</v>
      </c>
      <c r="Q25" s="153"/>
      <c r="R25" s="153" t="s">
        <v>223</v>
      </c>
      <c r="S25" s="153"/>
      <c r="T25" s="153"/>
      <c r="U25" s="153" t="s">
        <v>224</v>
      </c>
      <c r="V25" s="153"/>
      <c r="W25" s="153"/>
      <c r="X25" s="153"/>
      <c r="Y25" s="153"/>
      <c r="Z25" s="152"/>
      <c r="AA25" s="159" t="s">
        <v>225</v>
      </c>
      <c r="AB25" s="159" t="s">
        <v>226</v>
      </c>
      <c r="AC25" s="159" t="s">
        <v>227</v>
      </c>
      <c r="AD25" s="139" t="s">
        <v>228</v>
      </c>
      <c r="AE25" s="139"/>
      <c r="AF25" s="139"/>
      <c r="AG25" s="139"/>
      <c r="AH25" s="139"/>
      <c r="AI25" s="139"/>
      <c r="AJ25" s="139"/>
      <c r="AK25" s="152"/>
      <c r="AL25" s="137" t="s">
        <v>229</v>
      </c>
      <c r="AM25" s="137"/>
      <c r="AN25" s="137"/>
      <c r="AO25" s="137"/>
      <c r="AP25" s="137"/>
      <c r="AQ25" s="137"/>
      <c r="AR25" s="137"/>
      <c r="AS25" s="137"/>
      <c r="AT25" s="137"/>
      <c r="AU25" s="168"/>
      <c r="AV25" s="167">
        <v>4</v>
      </c>
      <c r="AW25" s="167"/>
      <c r="AX25" s="182">
        <v>17</v>
      </c>
      <c r="AY25" s="182"/>
      <c r="AZ25" s="182"/>
      <c r="BA25" s="182"/>
      <c r="BB25" s="182">
        <v>2</v>
      </c>
      <c r="BC25" s="182"/>
      <c r="BD25" s="182"/>
      <c r="BE25" s="182"/>
      <c r="BW25" s="168"/>
      <c r="BX25" s="168"/>
      <c r="BY25" s="168"/>
      <c r="BZ25" s="168"/>
      <c r="CA25" s="168"/>
      <c r="CB25" s="168"/>
      <c r="CC25" s="168"/>
      <c r="CD25" s="199"/>
      <c r="CE25" s="168"/>
      <c r="CF25" s="168"/>
      <c r="CG25" s="168"/>
      <c r="CH25" s="168"/>
      <c r="CI25" s="168"/>
      <c r="CJ25" s="168"/>
      <c r="CK25" s="168"/>
      <c r="CL25" s="168"/>
      <c r="CM25" s="168"/>
    </row>
    <row r="26" ht="16.5" customHeight="1" spans="1:91">
      <c r="A26" s="140"/>
      <c r="B26" s="140" t="s">
        <v>231</v>
      </c>
      <c r="C26" s="141" t="s">
        <v>232</v>
      </c>
      <c r="D26" s="142" t="str">
        <f>法术大全!C583</f>
        <v>-</v>
      </c>
      <c r="E26" s="142" t="str">
        <f>法术大全!D583</f>
        <v>-</v>
      </c>
      <c r="F26" s="142"/>
      <c r="G26" s="142"/>
      <c r="H26" s="142" t="str">
        <f>法术大全!E583</f>
        <v>-</v>
      </c>
      <c r="I26" s="142"/>
      <c r="J26" s="147"/>
      <c r="K26" s="147"/>
      <c r="L26" s="147"/>
      <c r="M26" s="147"/>
      <c r="N26" s="147"/>
      <c r="O26" s="148" t="s">
        <v>106</v>
      </c>
      <c r="P26" s="149" t="str">
        <f>法术大全!F583</f>
        <v>-</v>
      </c>
      <c r="Q26" s="149"/>
      <c r="R26" s="149" t="str">
        <f>法术大全!G583</f>
        <v>-</v>
      </c>
      <c r="S26" s="149"/>
      <c r="T26" s="149"/>
      <c r="U26" s="149" t="str">
        <f>法术大全!L583</f>
        <v>-</v>
      </c>
      <c r="V26" s="149"/>
      <c r="W26" s="149"/>
      <c r="X26" s="149"/>
      <c r="Y26" s="149"/>
      <c r="Z26" s="148" t="s">
        <v>106</v>
      </c>
      <c r="AA26" s="157" t="str">
        <f>法术大全!H583</f>
        <v>-</v>
      </c>
      <c r="AB26" s="157" t="str">
        <f>法术大全!I583</f>
        <v>-</v>
      </c>
      <c r="AC26" s="157" t="str">
        <f>法术大全!J583</f>
        <v>-</v>
      </c>
      <c r="AD26" s="142" t="str">
        <f>法术大全!K583</f>
        <v>-</v>
      </c>
      <c r="AE26" s="142"/>
      <c r="AF26" s="142"/>
      <c r="AG26" s="142"/>
      <c r="AH26" s="142"/>
      <c r="AI26" s="142"/>
      <c r="AJ26" s="142"/>
      <c r="AK26" s="148" t="s">
        <v>106</v>
      </c>
      <c r="AL26" s="162"/>
      <c r="AM26" s="162"/>
      <c r="AN26" s="162"/>
      <c r="AO26" s="162"/>
      <c r="AP26" s="162"/>
      <c r="AQ26" s="162"/>
      <c r="AR26" s="162"/>
      <c r="AS26" s="162"/>
      <c r="AT26" s="162"/>
      <c r="AU26" s="170"/>
      <c r="AV26" s="167">
        <v>5</v>
      </c>
      <c r="AW26" s="167"/>
      <c r="AX26" s="186">
        <v>27</v>
      </c>
      <c r="AY26" s="186"/>
      <c r="AZ26" s="186"/>
      <c r="BA26" s="186"/>
      <c r="BB26" s="186">
        <v>3</v>
      </c>
      <c r="BC26" s="186"/>
      <c r="BD26" s="186"/>
      <c r="BE26" s="186"/>
      <c r="BW26" s="170"/>
      <c r="BX26" s="170"/>
      <c r="BY26" s="170"/>
      <c r="BZ26" s="170"/>
      <c r="CA26" s="170"/>
      <c r="CB26" s="170"/>
      <c r="CC26" s="170"/>
      <c r="CD26" s="198"/>
      <c r="CE26" s="170"/>
      <c r="CF26" s="170"/>
      <c r="CG26" s="170"/>
      <c r="CH26" s="170"/>
      <c r="CI26" s="170"/>
      <c r="CJ26" s="170"/>
      <c r="CK26" s="170"/>
      <c r="CL26" s="170"/>
      <c r="CM26" s="170"/>
    </row>
    <row r="27" ht="16.5" customHeight="1" spans="1:91">
      <c r="A27" s="140"/>
      <c r="B27" s="140" t="s">
        <v>231</v>
      </c>
      <c r="C27" s="141" t="s">
        <v>232</v>
      </c>
      <c r="D27" s="143" t="str">
        <f>法术大全!C584</f>
        <v>-</v>
      </c>
      <c r="E27" s="143" t="str">
        <f>法术大全!D584</f>
        <v>-</v>
      </c>
      <c r="F27" s="143"/>
      <c r="G27" s="143"/>
      <c r="H27" s="143" t="str">
        <f>法术大全!E584</f>
        <v>-</v>
      </c>
      <c r="I27" s="143"/>
      <c r="J27" s="150"/>
      <c r="K27" s="150"/>
      <c r="L27" s="150"/>
      <c r="M27" s="150"/>
      <c r="N27" s="150"/>
      <c r="O27" s="148" t="s">
        <v>106</v>
      </c>
      <c r="P27" s="151" t="str">
        <f>法术大全!F584</f>
        <v>-</v>
      </c>
      <c r="Q27" s="151"/>
      <c r="R27" s="151" t="str">
        <f>法术大全!G584</f>
        <v>-</v>
      </c>
      <c r="S27" s="151"/>
      <c r="T27" s="151"/>
      <c r="U27" s="151" t="str">
        <f>法术大全!L584</f>
        <v>-</v>
      </c>
      <c r="V27" s="151"/>
      <c r="W27" s="151"/>
      <c r="X27" s="151"/>
      <c r="Y27" s="151"/>
      <c r="Z27" s="148" t="s">
        <v>106</v>
      </c>
      <c r="AA27" s="158" t="str">
        <f>法术大全!H584</f>
        <v>-</v>
      </c>
      <c r="AB27" s="158" t="str">
        <f>法术大全!I584</f>
        <v>-</v>
      </c>
      <c r="AC27" s="158" t="str">
        <f>法术大全!J584</f>
        <v>-</v>
      </c>
      <c r="AD27" s="143" t="str">
        <f>法术大全!K584</f>
        <v>-</v>
      </c>
      <c r="AE27" s="143"/>
      <c r="AF27" s="143"/>
      <c r="AG27" s="143"/>
      <c r="AH27" s="143"/>
      <c r="AI27" s="143"/>
      <c r="AJ27" s="143"/>
      <c r="AK27" s="148" t="s">
        <v>106</v>
      </c>
      <c r="AL27" s="161"/>
      <c r="AM27" s="161"/>
      <c r="AN27" s="161"/>
      <c r="AO27" s="161"/>
      <c r="AP27" s="161"/>
      <c r="AQ27" s="161"/>
      <c r="AR27" s="161"/>
      <c r="AS27" s="161"/>
      <c r="AT27" s="161"/>
      <c r="AU27" s="170"/>
      <c r="AV27" s="167">
        <v>6</v>
      </c>
      <c r="AW27" s="167"/>
      <c r="AX27" s="182">
        <v>32</v>
      </c>
      <c r="AY27" s="182"/>
      <c r="AZ27" s="182"/>
      <c r="BA27" s="182"/>
      <c r="BB27" s="182">
        <v>3</v>
      </c>
      <c r="BC27" s="182"/>
      <c r="BD27" s="182"/>
      <c r="BE27" s="182"/>
      <c r="BW27" s="170"/>
      <c r="BX27" s="170"/>
      <c r="BY27" s="170"/>
      <c r="BZ27" s="170"/>
      <c r="CA27" s="170"/>
      <c r="CB27" s="170"/>
      <c r="CC27" s="170"/>
      <c r="CD27" s="198"/>
      <c r="CE27" s="170"/>
      <c r="CF27" s="170"/>
      <c r="CG27" s="170"/>
      <c r="CH27" s="170"/>
      <c r="CI27" s="170"/>
      <c r="CJ27" s="170"/>
      <c r="CK27" s="170"/>
      <c r="CL27" s="170"/>
      <c r="CM27" s="170"/>
    </row>
    <row r="28" ht="16.5" customHeight="1" spans="1:91">
      <c r="A28" s="140"/>
      <c r="B28" s="140" t="s">
        <v>231</v>
      </c>
      <c r="C28" s="141" t="s">
        <v>232</v>
      </c>
      <c r="D28" s="142" t="str">
        <f>法术大全!C585</f>
        <v>-</v>
      </c>
      <c r="E28" s="142" t="str">
        <f>法术大全!D585</f>
        <v>-</v>
      </c>
      <c r="F28" s="142"/>
      <c r="G28" s="142"/>
      <c r="H28" s="142" t="str">
        <f>法术大全!E585</f>
        <v>-</v>
      </c>
      <c r="I28" s="142"/>
      <c r="J28" s="147"/>
      <c r="K28" s="147"/>
      <c r="L28" s="147"/>
      <c r="M28" s="147"/>
      <c r="N28" s="147"/>
      <c r="O28" s="148" t="s">
        <v>106</v>
      </c>
      <c r="P28" s="149" t="str">
        <f>法术大全!F585</f>
        <v>-</v>
      </c>
      <c r="Q28" s="149"/>
      <c r="R28" s="149" t="str">
        <f>法术大全!G585</f>
        <v>-</v>
      </c>
      <c r="S28" s="149"/>
      <c r="T28" s="149"/>
      <c r="U28" s="149" t="str">
        <f>法术大全!L585</f>
        <v>-</v>
      </c>
      <c r="V28" s="149"/>
      <c r="W28" s="149"/>
      <c r="X28" s="149"/>
      <c r="Y28" s="149"/>
      <c r="Z28" s="148" t="s">
        <v>106</v>
      </c>
      <c r="AA28" s="157" t="str">
        <f>法术大全!H585</f>
        <v>-</v>
      </c>
      <c r="AB28" s="157" t="str">
        <f>法术大全!I585</f>
        <v>-</v>
      </c>
      <c r="AC28" s="157" t="str">
        <f>法术大全!J585</f>
        <v>-</v>
      </c>
      <c r="AD28" s="142" t="str">
        <f>法术大全!K585</f>
        <v>-</v>
      </c>
      <c r="AE28" s="142"/>
      <c r="AF28" s="142"/>
      <c r="AG28" s="142"/>
      <c r="AH28" s="142"/>
      <c r="AI28" s="142"/>
      <c r="AJ28" s="142"/>
      <c r="AK28" s="148" t="s">
        <v>106</v>
      </c>
      <c r="AL28" s="162"/>
      <c r="AM28" s="162"/>
      <c r="AN28" s="162"/>
      <c r="AO28" s="162"/>
      <c r="AP28" s="162"/>
      <c r="AQ28" s="162"/>
      <c r="AR28" s="162"/>
      <c r="AS28" s="162"/>
      <c r="AT28" s="162"/>
      <c r="AU28" s="170"/>
      <c r="AV28" s="167">
        <v>7</v>
      </c>
      <c r="AW28" s="167"/>
      <c r="AX28" s="186">
        <v>38</v>
      </c>
      <c r="AY28" s="186"/>
      <c r="AZ28" s="186"/>
      <c r="BA28" s="186"/>
      <c r="BB28" s="186">
        <v>4</v>
      </c>
      <c r="BC28" s="186"/>
      <c r="BD28" s="186"/>
      <c r="BE28" s="186"/>
      <c r="BW28" s="170"/>
      <c r="BX28" s="170"/>
      <c r="BY28" s="170"/>
      <c r="BZ28" s="170"/>
      <c r="CA28" s="170"/>
      <c r="CB28" s="170"/>
      <c r="CC28" s="170"/>
      <c r="CD28" s="198"/>
      <c r="CE28" s="170"/>
      <c r="CF28" s="170"/>
      <c r="CG28" s="170"/>
      <c r="CH28" s="170"/>
      <c r="CI28" s="170"/>
      <c r="CJ28" s="170"/>
      <c r="CK28" s="170"/>
      <c r="CL28" s="170"/>
      <c r="CM28" s="170"/>
    </row>
    <row r="29" ht="16.5" customHeight="1" spans="1:91">
      <c r="A29" s="140"/>
      <c r="B29" s="140" t="s">
        <v>231</v>
      </c>
      <c r="C29" s="141" t="s">
        <v>232</v>
      </c>
      <c r="D29" s="143" t="str">
        <f>法术大全!C586</f>
        <v>-</v>
      </c>
      <c r="E29" s="143" t="str">
        <f>法术大全!D586</f>
        <v>-</v>
      </c>
      <c r="F29" s="143"/>
      <c r="G29" s="143"/>
      <c r="H29" s="143" t="str">
        <f>法术大全!E586</f>
        <v>-</v>
      </c>
      <c r="I29" s="143"/>
      <c r="J29" s="150"/>
      <c r="K29" s="150"/>
      <c r="L29" s="150"/>
      <c r="M29" s="150"/>
      <c r="N29" s="150"/>
      <c r="O29" s="148" t="s">
        <v>106</v>
      </c>
      <c r="P29" s="151" t="str">
        <f>法术大全!F586</f>
        <v>-</v>
      </c>
      <c r="Q29" s="151"/>
      <c r="R29" s="151" t="str">
        <f>法术大全!G586</f>
        <v>-</v>
      </c>
      <c r="S29" s="151"/>
      <c r="T29" s="151"/>
      <c r="U29" s="151" t="str">
        <f>法术大全!L586</f>
        <v>-</v>
      </c>
      <c r="V29" s="151"/>
      <c r="W29" s="151"/>
      <c r="X29" s="151"/>
      <c r="Y29" s="151"/>
      <c r="Z29" s="148" t="s">
        <v>106</v>
      </c>
      <c r="AA29" s="158" t="str">
        <f>法术大全!H586</f>
        <v>-</v>
      </c>
      <c r="AB29" s="158" t="str">
        <f>法术大全!I586</f>
        <v>-</v>
      </c>
      <c r="AC29" s="158" t="str">
        <f>法术大全!J586</f>
        <v>-</v>
      </c>
      <c r="AD29" s="143" t="str">
        <f>法术大全!K586</f>
        <v>-</v>
      </c>
      <c r="AE29" s="143"/>
      <c r="AF29" s="143"/>
      <c r="AG29" s="143"/>
      <c r="AH29" s="143"/>
      <c r="AI29" s="143"/>
      <c r="AJ29" s="143"/>
      <c r="AK29" s="148" t="s">
        <v>106</v>
      </c>
      <c r="AL29" s="161"/>
      <c r="AM29" s="161"/>
      <c r="AN29" s="161"/>
      <c r="AO29" s="161"/>
      <c r="AP29" s="161"/>
      <c r="AQ29" s="161"/>
      <c r="AR29" s="161"/>
      <c r="AS29" s="161"/>
      <c r="AT29" s="161"/>
      <c r="AU29" s="170"/>
      <c r="AV29" s="167">
        <v>8</v>
      </c>
      <c r="AW29" s="167"/>
      <c r="AX29" s="182">
        <v>44</v>
      </c>
      <c r="AY29" s="182"/>
      <c r="AZ29" s="182"/>
      <c r="BA29" s="182"/>
      <c r="BB29" s="182">
        <v>4</v>
      </c>
      <c r="BC29" s="182"/>
      <c r="BD29" s="182"/>
      <c r="BE29" s="182"/>
      <c r="BW29" s="170"/>
      <c r="BX29" s="170"/>
      <c r="BY29" s="170"/>
      <c r="BZ29" s="170"/>
      <c r="CA29" s="170"/>
      <c r="CB29" s="170"/>
      <c r="CC29" s="170"/>
      <c r="CD29" s="198"/>
      <c r="CE29" s="170"/>
      <c r="CF29" s="170"/>
      <c r="CG29" s="170"/>
      <c r="CH29" s="170"/>
      <c r="CI29" s="170"/>
      <c r="CJ29" s="170"/>
      <c r="CK29" s="170"/>
      <c r="CL29" s="170"/>
      <c r="CM29" s="170"/>
    </row>
    <row r="30" ht="16.5" customHeight="1" spans="1:91">
      <c r="A30" s="140"/>
      <c r="B30" s="140" t="s">
        <v>231</v>
      </c>
      <c r="C30" s="141" t="s">
        <v>232</v>
      </c>
      <c r="D30" s="142" t="str">
        <f>法术大全!C587</f>
        <v>-</v>
      </c>
      <c r="E30" s="142" t="str">
        <f>法术大全!D587</f>
        <v>-</v>
      </c>
      <c r="F30" s="142"/>
      <c r="G30" s="142"/>
      <c r="H30" s="142" t="str">
        <f>法术大全!E587</f>
        <v>-</v>
      </c>
      <c r="I30" s="142"/>
      <c r="J30" s="147"/>
      <c r="K30" s="147"/>
      <c r="L30" s="147"/>
      <c r="M30" s="147"/>
      <c r="N30" s="147"/>
      <c r="O30" s="148" t="s">
        <v>106</v>
      </c>
      <c r="P30" s="149" t="str">
        <f>法术大全!F587</f>
        <v>-</v>
      </c>
      <c r="Q30" s="149"/>
      <c r="R30" s="149" t="str">
        <f>法术大全!G587</f>
        <v>-</v>
      </c>
      <c r="S30" s="149"/>
      <c r="T30" s="149"/>
      <c r="U30" s="149" t="str">
        <f>法术大全!L587</f>
        <v>-</v>
      </c>
      <c r="V30" s="149"/>
      <c r="W30" s="149"/>
      <c r="X30" s="149"/>
      <c r="Y30" s="149"/>
      <c r="Z30" s="148" t="s">
        <v>106</v>
      </c>
      <c r="AA30" s="157" t="str">
        <f>法术大全!H587</f>
        <v>-</v>
      </c>
      <c r="AB30" s="157" t="str">
        <f>法术大全!I587</f>
        <v>-</v>
      </c>
      <c r="AC30" s="157" t="str">
        <f>法术大全!J587</f>
        <v>-</v>
      </c>
      <c r="AD30" s="142" t="str">
        <f>法术大全!K587</f>
        <v>-</v>
      </c>
      <c r="AE30" s="142"/>
      <c r="AF30" s="142"/>
      <c r="AG30" s="142"/>
      <c r="AH30" s="142"/>
      <c r="AI30" s="142"/>
      <c r="AJ30" s="142"/>
      <c r="AK30" s="148" t="s">
        <v>106</v>
      </c>
      <c r="AL30" s="162"/>
      <c r="AM30" s="162"/>
      <c r="AN30" s="162"/>
      <c r="AO30" s="162"/>
      <c r="AP30" s="162"/>
      <c r="AQ30" s="162"/>
      <c r="AR30" s="162"/>
      <c r="AS30" s="162"/>
      <c r="AT30" s="162"/>
      <c r="AU30" s="170"/>
      <c r="AV30" s="167">
        <v>9</v>
      </c>
      <c r="AW30" s="167"/>
      <c r="AX30" s="186">
        <v>57</v>
      </c>
      <c r="AY30" s="186"/>
      <c r="AZ30" s="186"/>
      <c r="BA30" s="186"/>
      <c r="BB30" s="186">
        <v>5</v>
      </c>
      <c r="BC30" s="186"/>
      <c r="BD30" s="186"/>
      <c r="BE30" s="186"/>
      <c r="BW30" s="170"/>
      <c r="BX30" s="170"/>
      <c r="BY30" s="170"/>
      <c r="BZ30" s="170"/>
      <c r="CA30" s="170"/>
      <c r="CB30" s="170"/>
      <c r="CC30" s="170"/>
      <c r="CD30" s="198"/>
      <c r="CE30" s="170"/>
      <c r="CF30" s="170"/>
      <c r="CG30" s="170"/>
      <c r="CH30" s="170"/>
      <c r="CI30" s="170"/>
      <c r="CJ30" s="170"/>
      <c r="CK30" s="170"/>
      <c r="CL30" s="170"/>
      <c r="CM30" s="170"/>
    </row>
    <row r="31" ht="16.5" customHeight="1" spans="1:91">
      <c r="A31" s="140"/>
      <c r="B31" s="140" t="s">
        <v>231</v>
      </c>
      <c r="C31" s="141" t="s">
        <v>232</v>
      </c>
      <c r="D31" s="143" t="str">
        <f>法术大全!C588</f>
        <v>-</v>
      </c>
      <c r="E31" s="143" t="str">
        <f>法术大全!D588</f>
        <v>-</v>
      </c>
      <c r="F31" s="143"/>
      <c r="G31" s="143"/>
      <c r="H31" s="143" t="str">
        <f>法术大全!E588</f>
        <v>-</v>
      </c>
      <c r="I31" s="143"/>
      <c r="J31" s="150"/>
      <c r="K31" s="150"/>
      <c r="L31" s="150"/>
      <c r="M31" s="150"/>
      <c r="N31" s="150"/>
      <c r="O31" s="148" t="s">
        <v>106</v>
      </c>
      <c r="P31" s="151" t="str">
        <f>法术大全!F588</f>
        <v>-</v>
      </c>
      <c r="Q31" s="151"/>
      <c r="R31" s="151" t="str">
        <f>法术大全!G588</f>
        <v>-</v>
      </c>
      <c r="S31" s="151"/>
      <c r="T31" s="151"/>
      <c r="U31" s="151" t="str">
        <f>法术大全!L588</f>
        <v>-</v>
      </c>
      <c r="V31" s="151"/>
      <c r="W31" s="151"/>
      <c r="X31" s="151"/>
      <c r="Y31" s="151"/>
      <c r="Z31" s="148" t="s">
        <v>106</v>
      </c>
      <c r="AA31" s="158" t="str">
        <f>法术大全!H588</f>
        <v>-</v>
      </c>
      <c r="AB31" s="158" t="str">
        <f>法术大全!I588</f>
        <v>-</v>
      </c>
      <c r="AC31" s="158" t="str">
        <f>法术大全!J588</f>
        <v>-</v>
      </c>
      <c r="AD31" s="143" t="str">
        <f>法术大全!K588</f>
        <v>-</v>
      </c>
      <c r="AE31" s="143"/>
      <c r="AF31" s="143"/>
      <c r="AG31" s="143"/>
      <c r="AH31" s="143"/>
      <c r="AI31" s="143"/>
      <c r="AJ31" s="143"/>
      <c r="AK31" s="148" t="s">
        <v>106</v>
      </c>
      <c r="AL31" s="161"/>
      <c r="AM31" s="161"/>
      <c r="AN31" s="161"/>
      <c r="AO31" s="161"/>
      <c r="AP31" s="161"/>
      <c r="AQ31" s="161"/>
      <c r="AR31" s="161"/>
      <c r="AS31" s="161"/>
      <c r="AT31" s="161"/>
      <c r="AU31" s="170"/>
      <c r="AV31" s="167">
        <v>10</v>
      </c>
      <c r="AW31" s="167"/>
      <c r="AX31" s="182">
        <v>64</v>
      </c>
      <c r="AY31" s="182"/>
      <c r="AZ31" s="182"/>
      <c r="BA31" s="182"/>
      <c r="BB31" s="182">
        <v>5</v>
      </c>
      <c r="BC31" s="182"/>
      <c r="BD31" s="182"/>
      <c r="BE31" s="182"/>
      <c r="BW31" s="170"/>
      <c r="BX31" s="170"/>
      <c r="BY31" s="170"/>
      <c r="BZ31" s="170"/>
      <c r="CA31" s="170"/>
      <c r="CB31" s="170"/>
      <c r="CC31" s="170"/>
      <c r="CD31" s="198"/>
      <c r="CE31" s="170"/>
      <c r="CF31" s="170"/>
      <c r="CG31" s="170"/>
      <c r="CH31" s="170"/>
      <c r="CI31" s="170"/>
      <c r="CJ31" s="170"/>
      <c r="CK31" s="170"/>
      <c r="CL31" s="170"/>
      <c r="CM31" s="170"/>
    </row>
    <row r="32" ht="16.5" customHeight="1" spans="1:91">
      <c r="A32" s="140"/>
      <c r="B32" s="140" t="s">
        <v>231</v>
      </c>
      <c r="C32" s="141" t="s">
        <v>232</v>
      </c>
      <c r="D32" s="142" t="str">
        <f>法术大全!C589</f>
        <v>-</v>
      </c>
      <c r="E32" s="142" t="str">
        <f>法术大全!D589</f>
        <v>-</v>
      </c>
      <c r="F32" s="142"/>
      <c r="G32" s="142"/>
      <c r="H32" s="142" t="str">
        <f>法术大全!E589</f>
        <v>-</v>
      </c>
      <c r="I32" s="142"/>
      <c r="J32" s="147"/>
      <c r="K32" s="147"/>
      <c r="L32" s="147"/>
      <c r="M32" s="147"/>
      <c r="N32" s="147"/>
      <c r="O32" s="148" t="s">
        <v>106</v>
      </c>
      <c r="P32" s="149" t="str">
        <f>法术大全!F589</f>
        <v>-</v>
      </c>
      <c r="Q32" s="149"/>
      <c r="R32" s="149" t="str">
        <f>法术大全!G589</f>
        <v>-</v>
      </c>
      <c r="S32" s="149"/>
      <c r="T32" s="149"/>
      <c r="U32" s="149" t="str">
        <f>法术大全!L589</f>
        <v>-</v>
      </c>
      <c r="V32" s="149"/>
      <c r="W32" s="149"/>
      <c r="X32" s="149"/>
      <c r="Y32" s="149"/>
      <c r="Z32" s="148" t="s">
        <v>106</v>
      </c>
      <c r="AA32" s="157" t="str">
        <f>法术大全!H589</f>
        <v>-</v>
      </c>
      <c r="AB32" s="157" t="str">
        <f>法术大全!I589</f>
        <v>-</v>
      </c>
      <c r="AC32" s="157" t="str">
        <f>法术大全!J589</f>
        <v>-</v>
      </c>
      <c r="AD32" s="142" t="str">
        <f>法术大全!K589</f>
        <v>-</v>
      </c>
      <c r="AE32" s="142"/>
      <c r="AF32" s="142"/>
      <c r="AG32" s="142"/>
      <c r="AH32" s="142"/>
      <c r="AI32" s="142"/>
      <c r="AJ32" s="142"/>
      <c r="AK32" s="148" t="s">
        <v>106</v>
      </c>
      <c r="AL32" s="162"/>
      <c r="AM32" s="162"/>
      <c r="AN32" s="162"/>
      <c r="AO32" s="162"/>
      <c r="AP32" s="162"/>
      <c r="AQ32" s="162"/>
      <c r="AR32" s="162"/>
      <c r="AS32" s="162"/>
      <c r="AT32" s="162"/>
      <c r="AU32" s="170"/>
      <c r="AV32" s="167">
        <v>11</v>
      </c>
      <c r="AW32" s="167"/>
      <c r="AX32" s="186">
        <v>73</v>
      </c>
      <c r="AY32" s="186"/>
      <c r="AZ32" s="186"/>
      <c r="BA32" s="186"/>
      <c r="BB32" s="186">
        <v>6</v>
      </c>
      <c r="BC32" s="186"/>
      <c r="BD32" s="186"/>
      <c r="BE32" s="186"/>
      <c r="BW32" s="170"/>
      <c r="BX32" s="170"/>
      <c r="BY32" s="170"/>
      <c r="BZ32" s="170"/>
      <c r="CA32" s="170"/>
      <c r="CB32" s="170"/>
      <c r="CC32" s="170"/>
      <c r="CD32" s="198"/>
      <c r="CE32" s="170"/>
      <c r="CF32" s="170"/>
      <c r="CG32" s="170"/>
      <c r="CH32" s="170"/>
      <c r="CI32" s="170"/>
      <c r="CJ32" s="170"/>
      <c r="CK32" s="170"/>
      <c r="CL32" s="170"/>
      <c r="CM32" s="170"/>
    </row>
    <row r="33" ht="16.5" customHeight="1" spans="1:91">
      <c r="A33" s="140"/>
      <c r="B33" s="140" t="s">
        <v>231</v>
      </c>
      <c r="C33" s="141" t="s">
        <v>232</v>
      </c>
      <c r="D33" s="143" t="str">
        <f>法术大全!C590</f>
        <v>-</v>
      </c>
      <c r="E33" s="143" t="str">
        <f>法术大全!D590</f>
        <v>-</v>
      </c>
      <c r="F33" s="143"/>
      <c r="G33" s="143"/>
      <c r="H33" s="143" t="str">
        <f>法术大全!E590</f>
        <v>-</v>
      </c>
      <c r="I33" s="143"/>
      <c r="J33" s="150"/>
      <c r="K33" s="150"/>
      <c r="L33" s="150"/>
      <c r="M33" s="150"/>
      <c r="N33" s="150"/>
      <c r="O33" s="148" t="s">
        <v>106</v>
      </c>
      <c r="P33" s="151" t="str">
        <f>法术大全!F590</f>
        <v>-</v>
      </c>
      <c r="Q33" s="151"/>
      <c r="R33" s="151" t="str">
        <f>法术大全!G590</f>
        <v>-</v>
      </c>
      <c r="S33" s="151"/>
      <c r="T33" s="151"/>
      <c r="U33" s="151" t="str">
        <f>法术大全!L590</f>
        <v>-</v>
      </c>
      <c r="V33" s="151"/>
      <c r="W33" s="151"/>
      <c r="X33" s="151"/>
      <c r="Y33" s="151"/>
      <c r="Z33" s="148" t="s">
        <v>106</v>
      </c>
      <c r="AA33" s="158" t="str">
        <f>法术大全!H590</f>
        <v>-</v>
      </c>
      <c r="AB33" s="158" t="str">
        <f>法术大全!I590</f>
        <v>-</v>
      </c>
      <c r="AC33" s="158" t="str">
        <f>法术大全!J590</f>
        <v>-</v>
      </c>
      <c r="AD33" s="143" t="str">
        <f>法术大全!K590</f>
        <v>-</v>
      </c>
      <c r="AE33" s="143"/>
      <c r="AF33" s="143"/>
      <c r="AG33" s="143"/>
      <c r="AH33" s="143"/>
      <c r="AI33" s="143"/>
      <c r="AJ33" s="143"/>
      <c r="AK33" s="148" t="s">
        <v>106</v>
      </c>
      <c r="AL33" s="161"/>
      <c r="AM33" s="161"/>
      <c r="AN33" s="161"/>
      <c r="AO33" s="161"/>
      <c r="AP33" s="161"/>
      <c r="AQ33" s="161"/>
      <c r="AR33" s="161"/>
      <c r="AS33" s="161"/>
      <c r="AT33" s="161"/>
      <c r="AU33" s="170"/>
      <c r="AV33" s="167">
        <v>12</v>
      </c>
      <c r="AW33" s="167"/>
      <c r="AX33" s="182">
        <v>73</v>
      </c>
      <c r="AY33" s="182"/>
      <c r="AZ33" s="182"/>
      <c r="BA33" s="182"/>
      <c r="BB33" s="182">
        <v>6</v>
      </c>
      <c r="BC33" s="182"/>
      <c r="BD33" s="182"/>
      <c r="BE33" s="182"/>
      <c r="BW33" s="170"/>
      <c r="BX33" s="170"/>
      <c r="BY33" s="170"/>
      <c r="BZ33" s="170"/>
      <c r="CA33" s="170"/>
      <c r="CB33" s="170"/>
      <c r="CC33" s="170"/>
      <c r="CD33" s="198"/>
      <c r="CE33" s="170"/>
      <c r="CF33" s="170"/>
      <c r="CG33" s="170"/>
      <c r="CH33" s="170"/>
      <c r="CI33" s="170"/>
      <c r="CJ33" s="170"/>
      <c r="CK33" s="170"/>
      <c r="CL33" s="170"/>
      <c r="CM33" s="170"/>
    </row>
    <row r="34" ht="16.5" customHeight="1" spans="1:91">
      <c r="A34" s="140"/>
      <c r="B34" s="140" t="s">
        <v>231</v>
      </c>
      <c r="C34" s="141" t="s">
        <v>232</v>
      </c>
      <c r="D34" s="142" t="str">
        <f>法术大全!C591</f>
        <v>-</v>
      </c>
      <c r="E34" s="142" t="str">
        <f>法术大全!D591</f>
        <v>-</v>
      </c>
      <c r="F34" s="142"/>
      <c r="G34" s="142"/>
      <c r="H34" s="142" t="str">
        <f>法术大全!E591</f>
        <v>-</v>
      </c>
      <c r="I34" s="142"/>
      <c r="J34" s="147"/>
      <c r="K34" s="147"/>
      <c r="L34" s="147"/>
      <c r="M34" s="147"/>
      <c r="N34" s="147"/>
      <c r="O34" s="148" t="s">
        <v>106</v>
      </c>
      <c r="P34" s="149" t="str">
        <f>法术大全!F591</f>
        <v>-</v>
      </c>
      <c r="Q34" s="149"/>
      <c r="R34" s="149" t="str">
        <f>法术大全!G591</f>
        <v>-</v>
      </c>
      <c r="S34" s="149"/>
      <c r="T34" s="149"/>
      <c r="U34" s="149" t="str">
        <f>法术大全!L591</f>
        <v>-</v>
      </c>
      <c r="V34" s="149"/>
      <c r="W34" s="149"/>
      <c r="X34" s="149"/>
      <c r="Y34" s="149"/>
      <c r="Z34" s="148" t="s">
        <v>106</v>
      </c>
      <c r="AA34" s="157" t="str">
        <f>法术大全!H591</f>
        <v>-</v>
      </c>
      <c r="AB34" s="157" t="str">
        <f>法术大全!I591</f>
        <v>-</v>
      </c>
      <c r="AC34" s="157" t="str">
        <f>法术大全!J591</f>
        <v>-</v>
      </c>
      <c r="AD34" s="142" t="str">
        <f>法术大全!K591</f>
        <v>-</v>
      </c>
      <c r="AE34" s="142"/>
      <c r="AF34" s="142"/>
      <c r="AG34" s="142"/>
      <c r="AH34" s="142"/>
      <c r="AI34" s="142"/>
      <c r="AJ34" s="142"/>
      <c r="AK34" s="148" t="s">
        <v>106</v>
      </c>
      <c r="AL34" s="162"/>
      <c r="AM34" s="162"/>
      <c r="AN34" s="162"/>
      <c r="AO34" s="162"/>
      <c r="AP34" s="162"/>
      <c r="AQ34" s="162"/>
      <c r="AR34" s="162"/>
      <c r="AS34" s="162"/>
      <c r="AT34" s="162"/>
      <c r="AU34" s="170"/>
      <c r="AV34" s="167">
        <v>13</v>
      </c>
      <c r="AW34" s="167"/>
      <c r="AX34" s="186">
        <v>83</v>
      </c>
      <c r="AY34" s="186"/>
      <c r="AZ34" s="186"/>
      <c r="BA34" s="186"/>
      <c r="BB34" s="186">
        <v>7</v>
      </c>
      <c r="BC34" s="186"/>
      <c r="BD34" s="186"/>
      <c r="BE34" s="186"/>
      <c r="BW34" s="170"/>
      <c r="BX34" s="170"/>
      <c r="BY34" s="170"/>
      <c r="BZ34" s="170"/>
      <c r="CA34" s="170"/>
      <c r="CB34" s="170"/>
      <c r="CC34" s="170"/>
      <c r="CD34" s="198"/>
      <c r="CE34" s="170"/>
      <c r="CF34" s="170"/>
      <c r="CG34" s="170"/>
      <c r="CH34" s="170"/>
      <c r="CI34" s="170"/>
      <c r="CJ34" s="170"/>
      <c r="CK34" s="170"/>
      <c r="CL34" s="170"/>
      <c r="CM34" s="170"/>
    </row>
    <row r="35" ht="16.5" customHeight="1" spans="1:91">
      <c r="A35" s="140"/>
      <c r="B35" s="140" t="s">
        <v>231</v>
      </c>
      <c r="C35" s="141" t="s">
        <v>232</v>
      </c>
      <c r="D35" s="143" t="str">
        <f>法术大全!C592</f>
        <v>-</v>
      </c>
      <c r="E35" s="143" t="str">
        <f>法术大全!D592</f>
        <v>-</v>
      </c>
      <c r="F35" s="143"/>
      <c r="G35" s="143"/>
      <c r="H35" s="143" t="str">
        <f>法术大全!E592</f>
        <v>-</v>
      </c>
      <c r="I35" s="143"/>
      <c r="J35" s="150"/>
      <c r="K35" s="150"/>
      <c r="L35" s="150"/>
      <c r="M35" s="150"/>
      <c r="N35" s="150"/>
      <c r="O35" s="148" t="s">
        <v>106</v>
      </c>
      <c r="P35" s="151" t="str">
        <f>法术大全!F592</f>
        <v>-</v>
      </c>
      <c r="Q35" s="151"/>
      <c r="R35" s="151" t="str">
        <f>法术大全!G592</f>
        <v>-</v>
      </c>
      <c r="S35" s="151"/>
      <c r="T35" s="151"/>
      <c r="U35" s="151" t="str">
        <f>法术大全!L592</f>
        <v>-</v>
      </c>
      <c r="V35" s="151"/>
      <c r="W35" s="151"/>
      <c r="X35" s="151"/>
      <c r="Y35" s="151"/>
      <c r="Z35" s="148" t="s">
        <v>106</v>
      </c>
      <c r="AA35" s="158" t="str">
        <f>法术大全!H592</f>
        <v>-</v>
      </c>
      <c r="AB35" s="158" t="str">
        <f>法术大全!I592</f>
        <v>-</v>
      </c>
      <c r="AC35" s="158" t="str">
        <f>法术大全!J592</f>
        <v>-</v>
      </c>
      <c r="AD35" s="143" t="str">
        <f>法术大全!K592</f>
        <v>-</v>
      </c>
      <c r="AE35" s="143"/>
      <c r="AF35" s="143"/>
      <c r="AG35" s="143"/>
      <c r="AH35" s="143"/>
      <c r="AI35" s="143"/>
      <c r="AJ35" s="143"/>
      <c r="AK35" s="148" t="s">
        <v>106</v>
      </c>
      <c r="AL35" s="161"/>
      <c r="AM35" s="161"/>
      <c r="AN35" s="161"/>
      <c r="AO35" s="161"/>
      <c r="AP35" s="161"/>
      <c r="AQ35" s="161"/>
      <c r="AR35" s="161"/>
      <c r="AS35" s="161"/>
      <c r="AT35" s="161"/>
      <c r="AU35" s="170"/>
      <c r="AV35" s="167">
        <v>14</v>
      </c>
      <c r="AW35" s="167"/>
      <c r="AX35" s="182">
        <v>83</v>
      </c>
      <c r="AY35" s="182"/>
      <c r="AZ35" s="182"/>
      <c r="BA35" s="182"/>
      <c r="BB35" s="182">
        <v>7</v>
      </c>
      <c r="BC35" s="182"/>
      <c r="BD35" s="182"/>
      <c r="BE35" s="182"/>
      <c r="BW35" s="170"/>
      <c r="BX35" s="170"/>
      <c r="BY35" s="170"/>
      <c r="BZ35" s="170"/>
      <c r="CA35" s="170"/>
      <c r="CB35" s="170"/>
      <c r="CC35" s="170"/>
      <c r="CD35" s="198"/>
      <c r="CE35" s="170"/>
      <c r="CF35" s="170"/>
      <c r="CG35" s="170"/>
      <c r="CH35" s="170"/>
      <c r="CI35" s="170"/>
      <c r="CJ35" s="170"/>
      <c r="CK35" s="170"/>
      <c r="CL35" s="170"/>
      <c r="CM35" s="170"/>
    </row>
    <row r="36" ht="16.5" customHeight="1" spans="1:91">
      <c r="A36" s="137" t="s">
        <v>252</v>
      </c>
      <c r="B36" s="137"/>
      <c r="C36" s="137"/>
      <c r="D36" s="138" t="s">
        <v>42</v>
      </c>
      <c r="E36" s="137" t="s">
        <v>219</v>
      </c>
      <c r="F36" s="137"/>
      <c r="G36" s="137"/>
      <c r="H36" s="139" t="s">
        <v>220</v>
      </c>
      <c r="I36" s="139"/>
      <c r="J36" s="137" t="s">
        <v>221</v>
      </c>
      <c r="K36" s="137"/>
      <c r="L36" s="137"/>
      <c r="M36" s="137"/>
      <c r="N36" s="137"/>
      <c r="O36" s="152"/>
      <c r="P36" s="153" t="s">
        <v>222</v>
      </c>
      <c r="Q36" s="153"/>
      <c r="R36" s="153" t="s">
        <v>223</v>
      </c>
      <c r="S36" s="153"/>
      <c r="T36" s="153"/>
      <c r="U36" s="153" t="s">
        <v>224</v>
      </c>
      <c r="V36" s="153"/>
      <c r="W36" s="153"/>
      <c r="X36" s="153"/>
      <c r="Y36" s="153"/>
      <c r="Z36" s="152"/>
      <c r="AA36" s="159" t="s">
        <v>225</v>
      </c>
      <c r="AB36" s="159" t="s">
        <v>226</v>
      </c>
      <c r="AC36" s="159" t="s">
        <v>227</v>
      </c>
      <c r="AD36" s="139" t="s">
        <v>228</v>
      </c>
      <c r="AE36" s="139"/>
      <c r="AF36" s="139"/>
      <c r="AG36" s="139"/>
      <c r="AH36" s="139"/>
      <c r="AI36" s="139"/>
      <c r="AJ36" s="139"/>
      <c r="AK36" s="152"/>
      <c r="AL36" s="137" t="s">
        <v>229</v>
      </c>
      <c r="AM36" s="137"/>
      <c r="AN36" s="137"/>
      <c r="AO36" s="137"/>
      <c r="AP36" s="137"/>
      <c r="AQ36" s="137"/>
      <c r="AR36" s="137"/>
      <c r="AS36" s="137"/>
      <c r="AT36" s="137"/>
      <c r="AU36" s="174"/>
      <c r="AV36" s="167">
        <v>15</v>
      </c>
      <c r="AW36" s="167"/>
      <c r="AX36" s="186">
        <v>94</v>
      </c>
      <c r="AY36" s="186"/>
      <c r="AZ36" s="186"/>
      <c r="BA36" s="186"/>
      <c r="BB36" s="186">
        <v>8</v>
      </c>
      <c r="BC36" s="186"/>
      <c r="BD36" s="186"/>
      <c r="BE36" s="186"/>
      <c r="BY36" s="168"/>
      <c r="BZ36" s="168"/>
      <c r="CA36" s="168"/>
      <c r="CB36" s="168"/>
      <c r="CC36" s="168"/>
      <c r="CD36" s="199"/>
      <c r="CE36" s="168"/>
      <c r="CF36" s="168"/>
      <c r="CG36" s="168"/>
      <c r="CH36" s="168"/>
      <c r="CI36" s="168"/>
      <c r="CJ36" s="168"/>
      <c r="CK36" s="168"/>
      <c r="CL36" s="168"/>
      <c r="CM36" s="168"/>
    </row>
    <row r="37" ht="16.5" customHeight="1" spans="1:91">
      <c r="A37" s="140"/>
      <c r="B37" s="140" t="s">
        <v>231</v>
      </c>
      <c r="C37" s="141" t="s">
        <v>232</v>
      </c>
      <c r="D37" s="142" t="str">
        <f>法术大全!C594</f>
        <v>-</v>
      </c>
      <c r="E37" s="142" t="str">
        <f>法术大全!D594</f>
        <v>-</v>
      </c>
      <c r="F37" s="142"/>
      <c r="G37" s="142"/>
      <c r="H37" s="142" t="str">
        <f>法术大全!E594</f>
        <v>-</v>
      </c>
      <c r="I37" s="142"/>
      <c r="J37" s="147"/>
      <c r="K37" s="147"/>
      <c r="L37" s="147"/>
      <c r="M37" s="147"/>
      <c r="N37" s="147"/>
      <c r="O37" s="148" t="s">
        <v>106</v>
      </c>
      <c r="P37" s="149" t="str">
        <f>法术大全!F594</f>
        <v>-</v>
      </c>
      <c r="Q37" s="149"/>
      <c r="R37" s="149" t="str">
        <f>法术大全!G594</f>
        <v>-</v>
      </c>
      <c r="S37" s="149"/>
      <c r="T37" s="149"/>
      <c r="U37" s="149" t="str">
        <f>法术大全!L594</f>
        <v>-</v>
      </c>
      <c r="V37" s="149"/>
      <c r="W37" s="149"/>
      <c r="X37" s="149"/>
      <c r="Y37" s="149"/>
      <c r="Z37" s="148" t="s">
        <v>106</v>
      </c>
      <c r="AA37" s="157" t="str">
        <f>法术大全!H594</f>
        <v>-</v>
      </c>
      <c r="AB37" s="157" t="str">
        <f>法术大全!I594</f>
        <v>-</v>
      </c>
      <c r="AC37" s="157" t="str">
        <f>法术大全!J594</f>
        <v>-</v>
      </c>
      <c r="AD37" s="142" t="str">
        <f>法术大全!K594</f>
        <v>-</v>
      </c>
      <c r="AE37" s="142"/>
      <c r="AF37" s="142"/>
      <c r="AG37" s="142"/>
      <c r="AH37" s="142"/>
      <c r="AI37" s="142"/>
      <c r="AJ37" s="142"/>
      <c r="AK37" s="148" t="s">
        <v>106</v>
      </c>
      <c r="AL37" s="162"/>
      <c r="AM37" s="162"/>
      <c r="AN37" s="162"/>
      <c r="AO37" s="162"/>
      <c r="AP37" s="162"/>
      <c r="AQ37" s="162"/>
      <c r="AR37" s="162"/>
      <c r="AS37" s="162"/>
      <c r="AT37" s="162"/>
      <c r="AU37" s="165"/>
      <c r="AV37" s="167">
        <v>16</v>
      </c>
      <c r="AW37" s="167"/>
      <c r="AX37" s="182">
        <v>94</v>
      </c>
      <c r="AY37" s="182"/>
      <c r="AZ37" s="182"/>
      <c r="BA37" s="182"/>
      <c r="BB37" s="182">
        <v>8</v>
      </c>
      <c r="BC37" s="182"/>
      <c r="BD37" s="182"/>
      <c r="BE37" s="182"/>
      <c r="BY37" s="170"/>
      <c r="BZ37" s="170"/>
      <c r="CA37" s="170"/>
      <c r="CB37" s="170"/>
      <c r="CC37" s="170"/>
      <c r="CD37" s="198"/>
      <c r="CE37" s="170"/>
      <c r="CF37" s="170"/>
      <c r="CG37" s="170"/>
      <c r="CH37" s="170"/>
      <c r="CI37" s="170"/>
      <c r="CJ37" s="170"/>
      <c r="CK37" s="170"/>
      <c r="CL37" s="170"/>
      <c r="CM37" s="170"/>
    </row>
    <row r="38" ht="16.5" customHeight="1" spans="1:91">
      <c r="A38" s="140"/>
      <c r="B38" s="140" t="s">
        <v>231</v>
      </c>
      <c r="C38" s="141" t="s">
        <v>232</v>
      </c>
      <c r="D38" s="143" t="str">
        <f>法术大全!C595</f>
        <v>-</v>
      </c>
      <c r="E38" s="143" t="str">
        <f>法术大全!D595</f>
        <v>-</v>
      </c>
      <c r="F38" s="143"/>
      <c r="G38" s="143"/>
      <c r="H38" s="143" t="str">
        <f>法术大全!E595</f>
        <v>-</v>
      </c>
      <c r="I38" s="143"/>
      <c r="J38" s="150"/>
      <c r="K38" s="150"/>
      <c r="L38" s="150"/>
      <c r="M38" s="150"/>
      <c r="N38" s="150"/>
      <c r="O38" s="148" t="s">
        <v>106</v>
      </c>
      <c r="P38" s="151" t="str">
        <f>法术大全!F595</f>
        <v>-</v>
      </c>
      <c r="Q38" s="151"/>
      <c r="R38" s="151" t="str">
        <f>法术大全!G595</f>
        <v>-</v>
      </c>
      <c r="S38" s="151"/>
      <c r="T38" s="151"/>
      <c r="U38" s="151" t="str">
        <f>法术大全!L595</f>
        <v>-</v>
      </c>
      <c r="V38" s="151"/>
      <c r="W38" s="151"/>
      <c r="X38" s="151"/>
      <c r="Y38" s="151"/>
      <c r="Z38" s="148" t="s">
        <v>106</v>
      </c>
      <c r="AA38" s="158" t="str">
        <f>法术大全!H595</f>
        <v>-</v>
      </c>
      <c r="AB38" s="158" t="str">
        <f>法术大全!I595</f>
        <v>-</v>
      </c>
      <c r="AC38" s="158" t="str">
        <f>法术大全!J595</f>
        <v>-</v>
      </c>
      <c r="AD38" s="143" t="str">
        <f>法术大全!K595</f>
        <v>-</v>
      </c>
      <c r="AE38" s="143"/>
      <c r="AF38" s="143"/>
      <c r="AG38" s="143"/>
      <c r="AH38" s="143"/>
      <c r="AI38" s="143"/>
      <c r="AJ38" s="143"/>
      <c r="AK38" s="148" t="s">
        <v>106</v>
      </c>
      <c r="AL38" s="161"/>
      <c r="AM38" s="161"/>
      <c r="AN38" s="161"/>
      <c r="AO38" s="161"/>
      <c r="AP38" s="161"/>
      <c r="AQ38" s="161"/>
      <c r="AR38" s="161"/>
      <c r="AS38" s="161"/>
      <c r="AT38" s="161"/>
      <c r="AU38" s="165"/>
      <c r="AV38" s="167">
        <v>17</v>
      </c>
      <c r="AW38" s="167"/>
      <c r="AX38" s="186">
        <v>107</v>
      </c>
      <c r="AY38" s="186"/>
      <c r="AZ38" s="186"/>
      <c r="BA38" s="186"/>
      <c r="BB38" s="186">
        <v>9</v>
      </c>
      <c r="BC38" s="186"/>
      <c r="BD38" s="186"/>
      <c r="BE38" s="186"/>
      <c r="BY38" s="170"/>
      <c r="BZ38" s="170"/>
      <c r="CA38" s="170"/>
      <c r="CB38" s="170"/>
      <c r="CC38" s="170"/>
      <c r="CD38" s="198"/>
      <c r="CE38" s="170"/>
      <c r="CF38" s="170"/>
      <c r="CG38" s="170"/>
      <c r="CH38" s="170"/>
      <c r="CI38" s="170"/>
      <c r="CJ38" s="170"/>
      <c r="CK38" s="170"/>
      <c r="CL38" s="170"/>
      <c r="CM38" s="170"/>
    </row>
    <row r="39" ht="16.5" customHeight="1" spans="1:91">
      <c r="A39" s="140"/>
      <c r="B39" s="140" t="s">
        <v>231</v>
      </c>
      <c r="C39" s="141" t="s">
        <v>232</v>
      </c>
      <c r="D39" s="142" t="str">
        <f>法术大全!C596</f>
        <v>-</v>
      </c>
      <c r="E39" s="142" t="str">
        <f>法术大全!D596</f>
        <v>-</v>
      </c>
      <c r="F39" s="142"/>
      <c r="G39" s="142"/>
      <c r="H39" s="142" t="str">
        <f>法术大全!E596</f>
        <v>-</v>
      </c>
      <c r="I39" s="142"/>
      <c r="J39" s="147"/>
      <c r="K39" s="147"/>
      <c r="L39" s="147"/>
      <c r="M39" s="147"/>
      <c r="N39" s="147"/>
      <c r="O39" s="148" t="s">
        <v>106</v>
      </c>
      <c r="P39" s="149" t="str">
        <f>法术大全!F596</f>
        <v>-</v>
      </c>
      <c r="Q39" s="149"/>
      <c r="R39" s="149" t="str">
        <f>法术大全!G596</f>
        <v>-</v>
      </c>
      <c r="S39" s="149"/>
      <c r="T39" s="149"/>
      <c r="U39" s="149" t="str">
        <f>法术大全!L596</f>
        <v>-</v>
      </c>
      <c r="V39" s="149"/>
      <c r="W39" s="149"/>
      <c r="X39" s="149"/>
      <c r="Y39" s="149"/>
      <c r="Z39" s="148" t="s">
        <v>106</v>
      </c>
      <c r="AA39" s="157" t="str">
        <f>法术大全!H596</f>
        <v>-</v>
      </c>
      <c r="AB39" s="157" t="str">
        <f>法术大全!I596</f>
        <v>-</v>
      </c>
      <c r="AC39" s="157" t="str">
        <f>法术大全!J596</f>
        <v>-</v>
      </c>
      <c r="AD39" s="142" t="str">
        <f>法术大全!K596</f>
        <v>-</v>
      </c>
      <c r="AE39" s="142"/>
      <c r="AF39" s="142"/>
      <c r="AG39" s="142"/>
      <c r="AH39" s="142"/>
      <c r="AI39" s="142"/>
      <c r="AJ39" s="142"/>
      <c r="AK39" s="148" t="s">
        <v>106</v>
      </c>
      <c r="AL39" s="162"/>
      <c r="AM39" s="162"/>
      <c r="AN39" s="162"/>
      <c r="AO39" s="162"/>
      <c r="AP39" s="162"/>
      <c r="AQ39" s="162"/>
      <c r="AR39" s="162"/>
      <c r="AS39" s="162"/>
      <c r="AT39" s="162"/>
      <c r="AU39" s="165"/>
      <c r="AV39" s="167">
        <v>18</v>
      </c>
      <c r="AW39" s="167"/>
      <c r="AX39" s="182">
        <v>114</v>
      </c>
      <c r="AY39" s="182"/>
      <c r="AZ39" s="182"/>
      <c r="BA39" s="182"/>
      <c r="BB39" s="182">
        <v>9</v>
      </c>
      <c r="BC39" s="182"/>
      <c r="BD39" s="182"/>
      <c r="BE39" s="182"/>
      <c r="BY39" s="170"/>
      <c r="BZ39" s="170"/>
      <c r="CA39" s="170"/>
      <c r="CB39" s="170"/>
      <c r="CC39" s="170"/>
      <c r="CD39" s="198"/>
      <c r="CE39" s="170"/>
      <c r="CF39" s="170"/>
      <c r="CG39" s="170"/>
      <c r="CH39" s="170"/>
      <c r="CI39" s="170"/>
      <c r="CJ39" s="170"/>
      <c r="CK39" s="170"/>
      <c r="CL39" s="170"/>
      <c r="CM39" s="170"/>
    </row>
    <row r="40" ht="16.5" customHeight="1" spans="1:91">
      <c r="A40" s="140"/>
      <c r="B40" s="140" t="s">
        <v>231</v>
      </c>
      <c r="C40" s="141" t="s">
        <v>232</v>
      </c>
      <c r="D40" s="143" t="str">
        <f>法术大全!C597</f>
        <v>-</v>
      </c>
      <c r="E40" s="143" t="str">
        <f>法术大全!D597</f>
        <v>-</v>
      </c>
      <c r="F40" s="143"/>
      <c r="G40" s="143"/>
      <c r="H40" s="143" t="str">
        <f>法术大全!E597</f>
        <v>-</v>
      </c>
      <c r="I40" s="143"/>
      <c r="J40" s="150"/>
      <c r="K40" s="150"/>
      <c r="L40" s="150"/>
      <c r="M40" s="150"/>
      <c r="N40" s="150"/>
      <c r="O40" s="148" t="s">
        <v>106</v>
      </c>
      <c r="P40" s="151" t="str">
        <f>法术大全!F597</f>
        <v>-</v>
      </c>
      <c r="Q40" s="151"/>
      <c r="R40" s="151" t="str">
        <f>法术大全!G597</f>
        <v>-</v>
      </c>
      <c r="S40" s="151"/>
      <c r="T40" s="151"/>
      <c r="U40" s="151" t="str">
        <f>法术大全!L597</f>
        <v>-</v>
      </c>
      <c r="V40" s="151"/>
      <c r="W40" s="151"/>
      <c r="X40" s="151"/>
      <c r="Y40" s="151"/>
      <c r="Z40" s="148" t="s">
        <v>106</v>
      </c>
      <c r="AA40" s="158" t="str">
        <f>法术大全!H597</f>
        <v>-</v>
      </c>
      <c r="AB40" s="158" t="str">
        <f>法术大全!I597</f>
        <v>-</v>
      </c>
      <c r="AC40" s="158" t="str">
        <f>法术大全!J597</f>
        <v>-</v>
      </c>
      <c r="AD40" s="143" t="str">
        <f>法术大全!K597</f>
        <v>-</v>
      </c>
      <c r="AE40" s="143"/>
      <c r="AF40" s="143"/>
      <c r="AG40" s="143"/>
      <c r="AH40" s="143"/>
      <c r="AI40" s="143"/>
      <c r="AJ40" s="143"/>
      <c r="AK40" s="148" t="s">
        <v>106</v>
      </c>
      <c r="AL40" s="161"/>
      <c r="AM40" s="161"/>
      <c r="AN40" s="161"/>
      <c r="AO40" s="161"/>
      <c r="AP40" s="161"/>
      <c r="AQ40" s="161"/>
      <c r="AR40" s="161"/>
      <c r="AS40" s="161"/>
      <c r="AT40" s="161"/>
      <c r="AU40" s="165"/>
      <c r="AV40" s="167">
        <v>19</v>
      </c>
      <c r="AW40" s="167"/>
      <c r="AX40" s="186">
        <v>123</v>
      </c>
      <c r="AY40" s="186"/>
      <c r="AZ40" s="186"/>
      <c r="BA40" s="186"/>
      <c r="BB40" s="186">
        <v>9</v>
      </c>
      <c r="BC40" s="186"/>
      <c r="BD40" s="186"/>
      <c r="BE40" s="186"/>
      <c r="BY40" s="170"/>
      <c r="BZ40" s="170"/>
      <c r="CA40" s="170"/>
      <c r="CB40" s="170"/>
      <c r="CC40" s="170"/>
      <c r="CD40" s="198"/>
      <c r="CE40" s="170"/>
      <c r="CF40" s="170"/>
      <c r="CG40" s="170"/>
      <c r="CH40" s="170"/>
      <c r="CI40" s="170"/>
      <c r="CJ40" s="170"/>
      <c r="CK40" s="170"/>
      <c r="CL40" s="170"/>
      <c r="CM40" s="170"/>
    </row>
    <row r="41" ht="16.5" customHeight="1" spans="1:91">
      <c r="A41" s="140"/>
      <c r="B41" s="140" t="s">
        <v>231</v>
      </c>
      <c r="C41" s="141" t="s">
        <v>232</v>
      </c>
      <c r="D41" s="142" t="str">
        <f>法术大全!C598</f>
        <v>-</v>
      </c>
      <c r="E41" s="142" t="str">
        <f>法术大全!D598</f>
        <v>-</v>
      </c>
      <c r="F41" s="142"/>
      <c r="G41" s="142"/>
      <c r="H41" s="142" t="str">
        <f>法术大全!E598</f>
        <v>-</v>
      </c>
      <c r="I41" s="142"/>
      <c r="J41" s="147"/>
      <c r="K41" s="147"/>
      <c r="L41" s="147"/>
      <c r="M41" s="147"/>
      <c r="N41" s="147"/>
      <c r="O41" s="148" t="s">
        <v>106</v>
      </c>
      <c r="P41" s="149" t="str">
        <f>法术大全!F598</f>
        <v>-</v>
      </c>
      <c r="Q41" s="149"/>
      <c r="R41" s="149" t="str">
        <f>法术大全!G598</f>
        <v>-</v>
      </c>
      <c r="S41" s="149"/>
      <c r="T41" s="149"/>
      <c r="U41" s="149" t="str">
        <f>法术大全!L598</f>
        <v>-</v>
      </c>
      <c r="V41" s="149"/>
      <c r="W41" s="149"/>
      <c r="X41" s="149"/>
      <c r="Y41" s="149"/>
      <c r="Z41" s="148" t="s">
        <v>106</v>
      </c>
      <c r="AA41" s="157" t="str">
        <f>法术大全!H598</f>
        <v>-</v>
      </c>
      <c r="AB41" s="157" t="str">
        <f>法术大全!I598</f>
        <v>-</v>
      </c>
      <c r="AC41" s="157" t="str">
        <f>法术大全!J598</f>
        <v>-</v>
      </c>
      <c r="AD41" s="142" t="str">
        <f>法术大全!K598</f>
        <v>-</v>
      </c>
      <c r="AE41" s="142"/>
      <c r="AF41" s="142"/>
      <c r="AG41" s="142"/>
      <c r="AH41" s="142"/>
      <c r="AI41" s="142"/>
      <c r="AJ41" s="142"/>
      <c r="AK41" s="148" t="s">
        <v>106</v>
      </c>
      <c r="AL41" s="162"/>
      <c r="AM41" s="162"/>
      <c r="AN41" s="162"/>
      <c r="AO41" s="162"/>
      <c r="AP41" s="162"/>
      <c r="AQ41" s="162"/>
      <c r="AR41" s="162"/>
      <c r="AS41" s="162"/>
      <c r="AT41" s="162"/>
      <c r="AU41" s="165"/>
      <c r="AV41" s="167">
        <v>20</v>
      </c>
      <c r="AW41" s="167"/>
      <c r="AX41" s="182">
        <v>133</v>
      </c>
      <c r="AY41" s="182"/>
      <c r="AZ41" s="182"/>
      <c r="BA41" s="182"/>
      <c r="BB41" s="182">
        <v>9</v>
      </c>
      <c r="BC41" s="182"/>
      <c r="BD41" s="182"/>
      <c r="BE41" s="182"/>
      <c r="BK41" s="165"/>
      <c r="BY41" s="170"/>
      <c r="BZ41" s="170"/>
      <c r="CA41" s="170"/>
      <c r="CB41" s="170"/>
      <c r="CC41" s="170"/>
      <c r="CD41" s="198"/>
      <c r="CE41" s="170"/>
      <c r="CF41" s="170"/>
      <c r="CG41" s="170"/>
      <c r="CH41" s="170"/>
      <c r="CI41" s="170"/>
      <c r="CJ41" s="170"/>
      <c r="CK41" s="170"/>
      <c r="CL41" s="170"/>
      <c r="CM41" s="170"/>
    </row>
    <row r="42" ht="16.5" customHeight="1" spans="1:91">
      <c r="A42" s="140"/>
      <c r="B42" s="140" t="s">
        <v>231</v>
      </c>
      <c r="C42" s="141" t="s">
        <v>232</v>
      </c>
      <c r="D42" s="143" t="str">
        <f>法术大全!C599</f>
        <v>-</v>
      </c>
      <c r="E42" s="143" t="str">
        <f>法术大全!D599</f>
        <v>-</v>
      </c>
      <c r="F42" s="143"/>
      <c r="G42" s="143"/>
      <c r="H42" s="143" t="str">
        <f>法术大全!E599</f>
        <v>-</v>
      </c>
      <c r="I42" s="143"/>
      <c r="J42" s="150"/>
      <c r="K42" s="150"/>
      <c r="L42" s="150"/>
      <c r="M42" s="150"/>
      <c r="N42" s="150"/>
      <c r="O42" s="148" t="s">
        <v>106</v>
      </c>
      <c r="P42" s="151" t="str">
        <f>法术大全!F599</f>
        <v>-</v>
      </c>
      <c r="Q42" s="151"/>
      <c r="R42" s="151" t="str">
        <f>法术大全!G599</f>
        <v>-</v>
      </c>
      <c r="S42" s="151"/>
      <c r="T42" s="151"/>
      <c r="U42" s="151" t="str">
        <f>法术大全!L599</f>
        <v>-</v>
      </c>
      <c r="V42" s="151"/>
      <c r="W42" s="151"/>
      <c r="X42" s="151"/>
      <c r="Y42" s="151"/>
      <c r="Z42" s="148" t="s">
        <v>106</v>
      </c>
      <c r="AA42" s="158" t="str">
        <f>法术大全!H599</f>
        <v>-</v>
      </c>
      <c r="AB42" s="158" t="str">
        <f>法术大全!I599</f>
        <v>-</v>
      </c>
      <c r="AC42" s="158" t="str">
        <f>法术大全!J599</f>
        <v>-</v>
      </c>
      <c r="AD42" s="143" t="str">
        <f>法术大全!K599</f>
        <v>-</v>
      </c>
      <c r="AE42" s="143"/>
      <c r="AF42" s="143"/>
      <c r="AG42" s="143"/>
      <c r="AH42" s="143"/>
      <c r="AI42" s="143"/>
      <c r="AJ42" s="143"/>
      <c r="AK42" s="148" t="s">
        <v>106</v>
      </c>
      <c r="AL42" s="161"/>
      <c r="AM42" s="161"/>
      <c r="AN42" s="161"/>
      <c r="AO42" s="161"/>
      <c r="AP42" s="161"/>
      <c r="AQ42" s="161"/>
      <c r="AR42" s="161"/>
      <c r="AS42" s="161"/>
      <c r="AT42" s="161"/>
      <c r="AU42" s="165"/>
      <c r="AV42" s="175"/>
      <c r="AW42" s="165"/>
      <c r="AX42" s="165"/>
      <c r="AY42" s="165"/>
      <c r="AZ42" s="165"/>
      <c r="BA42" s="165"/>
      <c r="BB42" s="165"/>
      <c r="BC42" s="165"/>
      <c r="BD42" s="165"/>
      <c r="BE42" s="165"/>
      <c r="BF42" s="165"/>
      <c r="BG42" s="165"/>
      <c r="BH42" s="165"/>
      <c r="BI42" s="165"/>
      <c r="BJ42" s="165"/>
      <c r="BK42" s="165"/>
      <c r="BL42" s="165"/>
      <c r="BY42" s="170"/>
      <c r="BZ42" s="170"/>
      <c r="CA42" s="170"/>
      <c r="CB42" s="170"/>
      <c r="CC42" s="170"/>
      <c r="CD42" s="198"/>
      <c r="CE42" s="170"/>
      <c r="CF42" s="170"/>
      <c r="CG42" s="170"/>
      <c r="CH42" s="170"/>
      <c r="CI42" s="170"/>
      <c r="CJ42" s="170"/>
      <c r="CK42" s="170"/>
      <c r="CL42" s="170"/>
      <c r="CM42" s="170"/>
    </row>
    <row r="43" ht="16.5" customHeight="1" spans="1:91">
      <c r="A43" s="140"/>
      <c r="B43" s="140" t="s">
        <v>231</v>
      </c>
      <c r="C43" s="141" t="s">
        <v>232</v>
      </c>
      <c r="D43" s="142" t="str">
        <f>法术大全!C600</f>
        <v>-</v>
      </c>
      <c r="E43" s="142" t="str">
        <f>法术大全!D600</f>
        <v>-</v>
      </c>
      <c r="F43" s="142"/>
      <c r="G43" s="142"/>
      <c r="H43" s="142" t="str">
        <f>法术大全!E600</f>
        <v>-</v>
      </c>
      <c r="I43" s="142"/>
      <c r="J43" s="147"/>
      <c r="K43" s="147"/>
      <c r="L43" s="147"/>
      <c r="M43" s="147"/>
      <c r="N43" s="147"/>
      <c r="O43" s="148" t="s">
        <v>106</v>
      </c>
      <c r="P43" s="149" t="str">
        <f>法术大全!F600</f>
        <v>-</v>
      </c>
      <c r="Q43" s="149"/>
      <c r="R43" s="149" t="str">
        <f>法术大全!G600</f>
        <v>-</v>
      </c>
      <c r="S43" s="149"/>
      <c r="T43" s="149"/>
      <c r="U43" s="149" t="str">
        <f>法术大全!L600</f>
        <v>-</v>
      </c>
      <c r="V43" s="149"/>
      <c r="W43" s="149"/>
      <c r="X43" s="149"/>
      <c r="Y43" s="149"/>
      <c r="Z43" s="148" t="s">
        <v>106</v>
      </c>
      <c r="AA43" s="157" t="str">
        <f>法术大全!H600</f>
        <v>-</v>
      </c>
      <c r="AB43" s="157" t="str">
        <f>法术大全!I600</f>
        <v>-</v>
      </c>
      <c r="AC43" s="157" t="str">
        <f>法术大全!J600</f>
        <v>-</v>
      </c>
      <c r="AD43" s="142" t="str">
        <f>法术大全!K600</f>
        <v>-</v>
      </c>
      <c r="AE43" s="142"/>
      <c r="AF43" s="142"/>
      <c r="AG43" s="142"/>
      <c r="AH43" s="142"/>
      <c r="AI43" s="142"/>
      <c r="AJ43" s="142"/>
      <c r="AK43" s="148" t="s">
        <v>106</v>
      </c>
      <c r="AL43" s="162"/>
      <c r="AM43" s="162"/>
      <c r="AN43" s="162"/>
      <c r="AO43" s="162"/>
      <c r="AP43" s="162"/>
      <c r="AQ43" s="162"/>
      <c r="AR43" s="162"/>
      <c r="AS43" s="162"/>
      <c r="AT43" s="162"/>
      <c r="AU43" s="165"/>
      <c r="AV43" s="175"/>
      <c r="AW43" s="165"/>
      <c r="AX43" s="165"/>
      <c r="AY43" s="165"/>
      <c r="AZ43" s="165"/>
      <c r="BA43" s="165"/>
      <c r="BB43" s="165"/>
      <c r="BC43" s="165"/>
      <c r="BD43" s="165"/>
      <c r="BE43" s="165"/>
      <c r="BF43" s="165"/>
      <c r="BG43" s="165"/>
      <c r="BH43" s="165"/>
      <c r="BI43" s="165"/>
      <c r="BJ43" s="165"/>
      <c r="BK43" s="165"/>
      <c r="BL43" s="165"/>
      <c r="BY43" s="170"/>
      <c r="BZ43" s="170"/>
      <c r="CA43" s="170"/>
      <c r="CB43" s="170"/>
      <c r="CC43" s="170"/>
      <c r="CD43" s="198"/>
      <c r="CE43" s="170"/>
      <c r="CF43" s="170"/>
      <c r="CG43" s="170"/>
      <c r="CH43" s="170"/>
      <c r="CI43" s="170"/>
      <c r="CJ43" s="170"/>
      <c r="CK43" s="170"/>
      <c r="CL43" s="170"/>
      <c r="CM43" s="170"/>
    </row>
    <row r="44" ht="16.5" customHeight="1" spans="1:91">
      <c r="A44" s="140"/>
      <c r="B44" s="140" t="s">
        <v>231</v>
      </c>
      <c r="C44" s="141" t="s">
        <v>232</v>
      </c>
      <c r="D44" s="143" t="str">
        <f>法术大全!C601</f>
        <v>-</v>
      </c>
      <c r="E44" s="143" t="str">
        <f>法术大全!D601</f>
        <v>-</v>
      </c>
      <c r="F44" s="143"/>
      <c r="G44" s="143"/>
      <c r="H44" s="143" t="str">
        <f>法术大全!E601</f>
        <v>-</v>
      </c>
      <c r="I44" s="143"/>
      <c r="J44" s="150"/>
      <c r="K44" s="150"/>
      <c r="L44" s="150"/>
      <c r="M44" s="150"/>
      <c r="N44" s="150"/>
      <c r="O44" s="148" t="s">
        <v>106</v>
      </c>
      <c r="P44" s="151" t="str">
        <f>法术大全!F601</f>
        <v>-</v>
      </c>
      <c r="Q44" s="151"/>
      <c r="R44" s="151" t="str">
        <f>法术大全!G601</f>
        <v>-</v>
      </c>
      <c r="S44" s="151"/>
      <c r="T44" s="151"/>
      <c r="U44" s="151" t="str">
        <f>法术大全!L601</f>
        <v>-</v>
      </c>
      <c r="V44" s="151"/>
      <c r="W44" s="151"/>
      <c r="X44" s="151"/>
      <c r="Y44" s="151"/>
      <c r="Z44" s="148" t="s">
        <v>106</v>
      </c>
      <c r="AA44" s="158" t="str">
        <f>法术大全!H601</f>
        <v>-</v>
      </c>
      <c r="AB44" s="158" t="str">
        <f>法术大全!I601</f>
        <v>-</v>
      </c>
      <c r="AC44" s="158" t="str">
        <f>法术大全!J601</f>
        <v>-</v>
      </c>
      <c r="AD44" s="143" t="str">
        <f>法术大全!K601</f>
        <v>-</v>
      </c>
      <c r="AE44" s="143"/>
      <c r="AF44" s="143"/>
      <c r="AG44" s="143"/>
      <c r="AH44" s="143"/>
      <c r="AI44" s="143"/>
      <c r="AJ44" s="143"/>
      <c r="AK44" s="148" t="s">
        <v>106</v>
      </c>
      <c r="AL44" s="161"/>
      <c r="AM44" s="161"/>
      <c r="AN44" s="161"/>
      <c r="AO44" s="161"/>
      <c r="AP44" s="161"/>
      <c r="AQ44" s="161"/>
      <c r="AR44" s="161"/>
      <c r="AS44" s="161"/>
      <c r="AT44" s="161"/>
      <c r="AU44" s="165"/>
      <c r="AV44" s="175"/>
      <c r="AW44" s="165"/>
      <c r="AX44" s="165"/>
      <c r="AY44" s="165"/>
      <c r="AZ44" s="165"/>
      <c r="BA44" s="165"/>
      <c r="BB44" s="165"/>
      <c r="BC44" s="165"/>
      <c r="BD44" s="165"/>
      <c r="BE44" s="165"/>
      <c r="BF44" s="165"/>
      <c r="BG44" s="165"/>
      <c r="BH44" s="165"/>
      <c r="BI44" s="165"/>
      <c r="BJ44" s="165"/>
      <c r="BK44" s="165"/>
      <c r="BL44" s="165"/>
      <c r="BY44" s="170"/>
      <c r="BZ44" s="170"/>
      <c r="CA44" s="170"/>
      <c r="CB44" s="170"/>
      <c r="CC44" s="170"/>
      <c r="CD44" s="198"/>
      <c r="CE44" s="170"/>
      <c r="CF44" s="170"/>
      <c r="CG44" s="170"/>
      <c r="CH44" s="170"/>
      <c r="CI44" s="170"/>
      <c r="CJ44" s="170"/>
      <c r="CK44" s="170"/>
      <c r="CL44" s="170"/>
      <c r="CM44" s="170"/>
    </row>
    <row r="45" ht="16.5" customHeight="1" spans="1:91">
      <c r="A45" s="140"/>
      <c r="B45" s="140" t="s">
        <v>231</v>
      </c>
      <c r="C45" s="141" t="s">
        <v>232</v>
      </c>
      <c r="D45" s="142" t="str">
        <f>法术大全!C602</f>
        <v>-</v>
      </c>
      <c r="E45" s="142" t="str">
        <f>法术大全!D602</f>
        <v>-</v>
      </c>
      <c r="F45" s="142"/>
      <c r="G45" s="142"/>
      <c r="H45" s="142" t="str">
        <f>法术大全!E602</f>
        <v>-</v>
      </c>
      <c r="I45" s="142"/>
      <c r="J45" s="147"/>
      <c r="K45" s="147"/>
      <c r="L45" s="147"/>
      <c r="M45" s="147"/>
      <c r="N45" s="147"/>
      <c r="O45" s="148" t="s">
        <v>106</v>
      </c>
      <c r="P45" s="149" t="str">
        <f>法术大全!F602</f>
        <v>-</v>
      </c>
      <c r="Q45" s="149"/>
      <c r="R45" s="149" t="str">
        <f>法术大全!G602</f>
        <v>-</v>
      </c>
      <c r="S45" s="149"/>
      <c r="T45" s="149"/>
      <c r="U45" s="149" t="str">
        <f>法术大全!L602</f>
        <v>-</v>
      </c>
      <c r="V45" s="149"/>
      <c r="W45" s="149"/>
      <c r="X45" s="149"/>
      <c r="Y45" s="149"/>
      <c r="Z45" s="148" t="s">
        <v>106</v>
      </c>
      <c r="AA45" s="157" t="str">
        <f>法术大全!H602</f>
        <v>-</v>
      </c>
      <c r="AB45" s="157" t="str">
        <f>法术大全!I602</f>
        <v>-</v>
      </c>
      <c r="AC45" s="157" t="str">
        <f>法术大全!J602</f>
        <v>-</v>
      </c>
      <c r="AD45" s="142" t="str">
        <f>法术大全!K602</f>
        <v>-</v>
      </c>
      <c r="AE45" s="142"/>
      <c r="AF45" s="142"/>
      <c r="AG45" s="142"/>
      <c r="AH45" s="142"/>
      <c r="AI45" s="142"/>
      <c r="AJ45" s="142"/>
      <c r="AK45" s="148" t="s">
        <v>106</v>
      </c>
      <c r="AL45" s="162"/>
      <c r="AM45" s="162"/>
      <c r="AN45" s="162"/>
      <c r="AO45" s="162"/>
      <c r="AP45" s="162"/>
      <c r="AQ45" s="162"/>
      <c r="AR45" s="162"/>
      <c r="AS45" s="162"/>
      <c r="AT45" s="162"/>
      <c r="AU45" s="165"/>
      <c r="AV45" s="175"/>
      <c r="AW45" s="165"/>
      <c r="AX45" s="165"/>
      <c r="AY45" s="165"/>
      <c r="AZ45" s="165"/>
      <c r="BA45" s="165"/>
      <c r="BB45" s="165"/>
      <c r="BC45" s="165"/>
      <c r="BD45" s="165"/>
      <c r="BE45" s="165"/>
      <c r="BF45" s="165"/>
      <c r="BG45" s="165"/>
      <c r="BH45" s="165"/>
      <c r="BI45" s="165"/>
      <c r="BJ45" s="165"/>
      <c r="BK45" s="165"/>
      <c r="BL45" s="165"/>
      <c r="BY45" s="170"/>
      <c r="BZ45" s="170"/>
      <c r="CA45" s="170"/>
      <c r="CB45" s="170"/>
      <c r="CC45" s="170"/>
      <c r="CD45" s="198"/>
      <c r="CE45" s="170"/>
      <c r="CF45" s="170"/>
      <c r="CG45" s="170"/>
      <c r="CH45" s="170"/>
      <c r="CI45" s="170"/>
      <c r="CJ45" s="170"/>
      <c r="CK45" s="170"/>
      <c r="CL45" s="170"/>
      <c r="CM45" s="170"/>
    </row>
    <row r="46" ht="16.5" customHeight="1" spans="1:91">
      <c r="A46" s="140"/>
      <c r="B46" s="140" t="s">
        <v>231</v>
      </c>
      <c r="C46" s="141" t="s">
        <v>232</v>
      </c>
      <c r="D46" s="143" t="str">
        <f>法术大全!C603</f>
        <v>-</v>
      </c>
      <c r="E46" s="143" t="str">
        <f>法术大全!D603</f>
        <v>-</v>
      </c>
      <c r="F46" s="143"/>
      <c r="G46" s="143"/>
      <c r="H46" s="143" t="str">
        <f>法术大全!E603</f>
        <v>-</v>
      </c>
      <c r="I46" s="143"/>
      <c r="J46" s="150"/>
      <c r="K46" s="150"/>
      <c r="L46" s="150"/>
      <c r="M46" s="150"/>
      <c r="N46" s="150"/>
      <c r="O46" s="148" t="s">
        <v>106</v>
      </c>
      <c r="P46" s="151" t="str">
        <f>法术大全!F603</f>
        <v>-</v>
      </c>
      <c r="Q46" s="151"/>
      <c r="R46" s="151" t="str">
        <f>法术大全!G603</f>
        <v>-</v>
      </c>
      <c r="S46" s="151"/>
      <c r="T46" s="151"/>
      <c r="U46" s="151" t="str">
        <f>法术大全!L603</f>
        <v>-</v>
      </c>
      <c r="V46" s="151"/>
      <c r="W46" s="151"/>
      <c r="X46" s="151"/>
      <c r="Y46" s="151"/>
      <c r="Z46" s="148" t="s">
        <v>106</v>
      </c>
      <c r="AA46" s="158" t="str">
        <f>法术大全!H603</f>
        <v>-</v>
      </c>
      <c r="AB46" s="158" t="str">
        <f>法术大全!I603</f>
        <v>-</v>
      </c>
      <c r="AC46" s="158" t="str">
        <f>法术大全!J603</f>
        <v>-</v>
      </c>
      <c r="AD46" s="143" t="str">
        <f>法术大全!K603</f>
        <v>-</v>
      </c>
      <c r="AE46" s="143"/>
      <c r="AF46" s="143"/>
      <c r="AG46" s="143"/>
      <c r="AH46" s="143"/>
      <c r="AI46" s="143"/>
      <c r="AJ46" s="143"/>
      <c r="AK46" s="148" t="s">
        <v>106</v>
      </c>
      <c r="AL46" s="161"/>
      <c r="AM46" s="161"/>
      <c r="AN46" s="161"/>
      <c r="AO46" s="161"/>
      <c r="AP46" s="161"/>
      <c r="AQ46" s="161"/>
      <c r="AR46" s="161"/>
      <c r="AS46" s="161"/>
      <c r="AT46" s="161"/>
      <c r="AU46" s="165"/>
      <c r="AV46" s="175"/>
      <c r="AW46" s="165"/>
      <c r="AX46" s="165"/>
      <c r="AY46" s="165"/>
      <c r="AZ46" s="165"/>
      <c r="BA46" s="165"/>
      <c r="BB46" s="165"/>
      <c r="BC46" s="165"/>
      <c r="BD46" s="165"/>
      <c r="BE46" s="165"/>
      <c r="BF46" s="165"/>
      <c r="BG46" s="165"/>
      <c r="BH46" s="165"/>
      <c r="BI46" s="165"/>
      <c r="BJ46" s="165"/>
      <c r="BK46" s="165"/>
      <c r="BL46" s="165"/>
      <c r="BY46" s="170"/>
      <c r="BZ46" s="170"/>
      <c r="CA46" s="170"/>
      <c r="CB46" s="170"/>
      <c r="CC46" s="170"/>
      <c r="CD46" s="198"/>
      <c r="CE46" s="170"/>
      <c r="CF46" s="170"/>
      <c r="CG46" s="170"/>
      <c r="CH46" s="170"/>
      <c r="CI46" s="170"/>
      <c r="CJ46" s="170"/>
      <c r="CK46" s="170"/>
      <c r="CL46" s="170"/>
      <c r="CM46" s="170"/>
    </row>
    <row r="47" ht="16.5" customHeight="1" spans="1:91">
      <c r="A47" s="137" t="s">
        <v>253</v>
      </c>
      <c r="B47" s="137"/>
      <c r="C47" s="137"/>
      <c r="D47" s="138" t="s">
        <v>42</v>
      </c>
      <c r="E47" s="137" t="s">
        <v>219</v>
      </c>
      <c r="F47" s="137"/>
      <c r="G47" s="137"/>
      <c r="H47" s="139" t="s">
        <v>220</v>
      </c>
      <c r="I47" s="139"/>
      <c r="J47" s="137" t="s">
        <v>221</v>
      </c>
      <c r="K47" s="137"/>
      <c r="L47" s="137"/>
      <c r="M47" s="137"/>
      <c r="N47" s="137"/>
      <c r="O47" s="152"/>
      <c r="P47" s="153" t="s">
        <v>222</v>
      </c>
      <c r="Q47" s="153"/>
      <c r="R47" s="153" t="s">
        <v>223</v>
      </c>
      <c r="S47" s="153"/>
      <c r="T47" s="153"/>
      <c r="U47" s="153" t="s">
        <v>224</v>
      </c>
      <c r="V47" s="153"/>
      <c r="W47" s="153"/>
      <c r="X47" s="153"/>
      <c r="Y47" s="153"/>
      <c r="Z47" s="152"/>
      <c r="AA47" s="159" t="s">
        <v>225</v>
      </c>
      <c r="AB47" s="159" t="s">
        <v>226</v>
      </c>
      <c r="AC47" s="159" t="s">
        <v>227</v>
      </c>
      <c r="AD47" s="139" t="s">
        <v>228</v>
      </c>
      <c r="AE47" s="139"/>
      <c r="AF47" s="139"/>
      <c r="AG47" s="139"/>
      <c r="AH47" s="139"/>
      <c r="AI47" s="139"/>
      <c r="AJ47" s="139"/>
      <c r="AK47" s="152"/>
      <c r="AL47" s="137" t="s">
        <v>229</v>
      </c>
      <c r="AM47" s="137"/>
      <c r="AN47" s="137"/>
      <c r="AO47" s="137"/>
      <c r="AP47" s="137"/>
      <c r="AQ47" s="137"/>
      <c r="AR47" s="137"/>
      <c r="AS47" s="137"/>
      <c r="AT47" s="137"/>
      <c r="AU47" s="174"/>
      <c r="AV47" s="175"/>
      <c r="AW47" s="174"/>
      <c r="AX47" s="174"/>
      <c r="AY47" s="174"/>
      <c r="AZ47" s="174"/>
      <c r="BA47" s="174"/>
      <c r="BB47" s="174"/>
      <c r="BC47" s="174"/>
      <c r="BD47" s="174"/>
      <c r="BE47" s="174"/>
      <c r="BF47" s="174"/>
      <c r="BG47" s="174"/>
      <c r="BH47" s="174"/>
      <c r="BI47" s="174"/>
      <c r="BJ47" s="174"/>
      <c r="BK47" s="174"/>
      <c r="BL47" s="174"/>
      <c r="BY47" s="168"/>
      <c r="BZ47" s="168"/>
      <c r="CA47" s="168"/>
      <c r="CB47" s="168"/>
      <c r="CC47" s="168"/>
      <c r="CD47" s="199"/>
      <c r="CE47" s="168"/>
      <c r="CF47" s="168"/>
      <c r="CG47" s="168"/>
      <c r="CH47" s="168"/>
      <c r="CI47" s="168"/>
      <c r="CJ47" s="168"/>
      <c r="CK47" s="168"/>
      <c r="CL47" s="168"/>
      <c r="CM47" s="168"/>
    </row>
    <row r="48" ht="16.5" customHeight="1" spans="1:91">
      <c r="A48" s="140"/>
      <c r="B48" s="140" t="s">
        <v>231</v>
      </c>
      <c r="C48" s="141" t="s">
        <v>232</v>
      </c>
      <c r="D48" s="142" t="str">
        <f>法术大全!C605</f>
        <v>-</v>
      </c>
      <c r="E48" s="142" t="str">
        <f>法术大全!D605</f>
        <v>-</v>
      </c>
      <c r="F48" s="142"/>
      <c r="G48" s="142"/>
      <c r="H48" s="142" t="str">
        <f>法术大全!E605</f>
        <v>-</v>
      </c>
      <c r="I48" s="142"/>
      <c r="J48" s="147"/>
      <c r="K48" s="147"/>
      <c r="L48" s="147"/>
      <c r="M48" s="147"/>
      <c r="N48" s="147"/>
      <c r="O48" s="148" t="s">
        <v>106</v>
      </c>
      <c r="P48" s="149" t="str">
        <f>法术大全!F605</f>
        <v>-</v>
      </c>
      <c r="Q48" s="149"/>
      <c r="R48" s="149" t="str">
        <f>法术大全!G605</f>
        <v>-</v>
      </c>
      <c r="S48" s="149"/>
      <c r="T48" s="149"/>
      <c r="U48" s="149" t="str">
        <f>法术大全!L605</f>
        <v>-</v>
      </c>
      <c r="V48" s="149"/>
      <c r="W48" s="149"/>
      <c r="X48" s="149"/>
      <c r="Y48" s="149"/>
      <c r="Z48" s="148" t="s">
        <v>106</v>
      </c>
      <c r="AA48" s="157" t="str">
        <f>法术大全!H605</f>
        <v>-</v>
      </c>
      <c r="AB48" s="157" t="str">
        <f>法术大全!I605</f>
        <v>-</v>
      </c>
      <c r="AC48" s="157" t="str">
        <f>法术大全!J605</f>
        <v>-</v>
      </c>
      <c r="AD48" s="142" t="str">
        <f>法术大全!K605</f>
        <v>-</v>
      </c>
      <c r="AE48" s="142"/>
      <c r="AF48" s="142"/>
      <c r="AG48" s="142"/>
      <c r="AH48" s="142"/>
      <c r="AI48" s="142"/>
      <c r="AJ48" s="142"/>
      <c r="AK48" s="148" t="s">
        <v>106</v>
      </c>
      <c r="AL48" s="162"/>
      <c r="AM48" s="162"/>
      <c r="AN48" s="162"/>
      <c r="AO48" s="162"/>
      <c r="AP48" s="162"/>
      <c r="AQ48" s="162"/>
      <c r="AR48" s="162"/>
      <c r="AS48" s="162"/>
      <c r="AT48" s="162"/>
      <c r="AU48" s="165"/>
      <c r="AV48" s="175"/>
      <c r="AW48" s="165"/>
      <c r="AX48" s="165"/>
      <c r="AY48" s="165"/>
      <c r="AZ48" s="165"/>
      <c r="BA48" s="165"/>
      <c r="BB48" s="165"/>
      <c r="BC48" s="165"/>
      <c r="BD48" s="165"/>
      <c r="BE48" s="165"/>
      <c r="BF48" s="165"/>
      <c r="BG48" s="165"/>
      <c r="BH48" s="165"/>
      <c r="BI48" s="165"/>
      <c r="BJ48" s="165"/>
      <c r="BK48" s="165"/>
      <c r="BL48" s="165"/>
      <c r="BY48" s="170"/>
      <c r="BZ48" s="170"/>
      <c r="CA48" s="170"/>
      <c r="CB48" s="170"/>
      <c r="CC48" s="170"/>
      <c r="CD48" s="198"/>
      <c r="CE48" s="170"/>
      <c r="CF48" s="170"/>
      <c r="CG48" s="170"/>
      <c r="CH48" s="170"/>
      <c r="CI48" s="170"/>
      <c r="CJ48" s="170"/>
      <c r="CK48" s="170"/>
      <c r="CL48" s="170"/>
      <c r="CM48" s="170"/>
    </row>
    <row r="49" ht="16.5" customHeight="1" spans="1:91">
      <c r="A49" s="140"/>
      <c r="B49" s="140" t="s">
        <v>231</v>
      </c>
      <c r="C49" s="141" t="s">
        <v>232</v>
      </c>
      <c r="D49" s="143" t="str">
        <f>法术大全!C606</f>
        <v>-</v>
      </c>
      <c r="E49" s="143" t="str">
        <f>法术大全!D606</f>
        <v>-</v>
      </c>
      <c r="F49" s="143"/>
      <c r="G49" s="143"/>
      <c r="H49" s="143" t="str">
        <f>法术大全!E606</f>
        <v>-</v>
      </c>
      <c r="I49" s="143"/>
      <c r="J49" s="150"/>
      <c r="K49" s="150"/>
      <c r="L49" s="150"/>
      <c r="M49" s="150"/>
      <c r="N49" s="150"/>
      <c r="O49" s="148" t="s">
        <v>106</v>
      </c>
      <c r="P49" s="151" t="str">
        <f>法术大全!F606</f>
        <v>-</v>
      </c>
      <c r="Q49" s="151"/>
      <c r="R49" s="151" t="str">
        <f>法术大全!G606</f>
        <v>-</v>
      </c>
      <c r="S49" s="151"/>
      <c r="T49" s="151"/>
      <c r="U49" s="151" t="str">
        <f>法术大全!L606</f>
        <v>-</v>
      </c>
      <c r="V49" s="151"/>
      <c r="W49" s="151"/>
      <c r="X49" s="151"/>
      <c r="Y49" s="151"/>
      <c r="Z49" s="148" t="s">
        <v>106</v>
      </c>
      <c r="AA49" s="158" t="str">
        <f>法术大全!H606</f>
        <v>-</v>
      </c>
      <c r="AB49" s="158" t="str">
        <f>法术大全!I606</f>
        <v>-</v>
      </c>
      <c r="AC49" s="158" t="str">
        <f>法术大全!J606</f>
        <v>-</v>
      </c>
      <c r="AD49" s="143" t="str">
        <f>法术大全!K606</f>
        <v>-</v>
      </c>
      <c r="AE49" s="143"/>
      <c r="AF49" s="143"/>
      <c r="AG49" s="143"/>
      <c r="AH49" s="143"/>
      <c r="AI49" s="143"/>
      <c r="AJ49" s="143"/>
      <c r="AK49" s="148" t="s">
        <v>106</v>
      </c>
      <c r="AL49" s="161"/>
      <c r="AM49" s="161"/>
      <c r="AN49" s="161"/>
      <c r="AO49" s="161"/>
      <c r="AP49" s="161"/>
      <c r="AQ49" s="161"/>
      <c r="AR49" s="161"/>
      <c r="AS49" s="161"/>
      <c r="AT49" s="161"/>
      <c r="AU49" s="165"/>
      <c r="AV49" s="175"/>
      <c r="AW49" s="165"/>
      <c r="AX49" s="165"/>
      <c r="AY49" s="165"/>
      <c r="AZ49" s="165"/>
      <c r="BA49" s="165"/>
      <c r="BB49" s="165"/>
      <c r="BC49" s="165"/>
      <c r="BD49" s="165"/>
      <c r="BE49" s="165"/>
      <c r="BF49" s="165"/>
      <c r="BG49" s="165"/>
      <c r="BH49" s="165"/>
      <c r="BI49" s="165"/>
      <c r="BJ49" s="165"/>
      <c r="BK49" s="165"/>
      <c r="BL49" s="165"/>
      <c r="BM49" s="165"/>
      <c r="BN49" s="165"/>
      <c r="BY49" s="170"/>
      <c r="BZ49" s="170"/>
      <c r="CA49" s="170"/>
      <c r="CB49" s="170"/>
      <c r="CC49" s="170"/>
      <c r="CD49" s="198"/>
      <c r="CE49" s="170"/>
      <c r="CF49" s="170"/>
      <c r="CG49" s="170"/>
      <c r="CH49" s="170"/>
      <c r="CI49" s="170"/>
      <c r="CJ49" s="170"/>
      <c r="CK49" s="170"/>
      <c r="CL49" s="170"/>
      <c r="CM49" s="170"/>
    </row>
    <row r="50" ht="16.5" customHeight="1" spans="1:91">
      <c r="A50" s="140"/>
      <c r="B50" s="140" t="s">
        <v>231</v>
      </c>
      <c r="C50" s="141" t="s">
        <v>232</v>
      </c>
      <c r="D50" s="142" t="str">
        <f>法术大全!C607</f>
        <v>-</v>
      </c>
      <c r="E50" s="142" t="str">
        <f>法术大全!D607</f>
        <v>-</v>
      </c>
      <c r="F50" s="142"/>
      <c r="G50" s="142"/>
      <c r="H50" s="142" t="str">
        <f>法术大全!E607</f>
        <v>-</v>
      </c>
      <c r="I50" s="142"/>
      <c r="J50" s="147"/>
      <c r="K50" s="147"/>
      <c r="L50" s="147"/>
      <c r="M50" s="147"/>
      <c r="N50" s="147"/>
      <c r="O50" s="148" t="s">
        <v>106</v>
      </c>
      <c r="P50" s="149" t="str">
        <f>法术大全!F607</f>
        <v>-</v>
      </c>
      <c r="Q50" s="149"/>
      <c r="R50" s="149" t="str">
        <f>法术大全!G607</f>
        <v>-</v>
      </c>
      <c r="S50" s="149"/>
      <c r="T50" s="149"/>
      <c r="U50" s="149" t="str">
        <f>法术大全!L607</f>
        <v>-</v>
      </c>
      <c r="V50" s="149"/>
      <c r="W50" s="149"/>
      <c r="X50" s="149"/>
      <c r="Y50" s="149"/>
      <c r="Z50" s="148" t="s">
        <v>106</v>
      </c>
      <c r="AA50" s="157" t="str">
        <f>法术大全!H607</f>
        <v>-</v>
      </c>
      <c r="AB50" s="157" t="str">
        <f>法术大全!I607</f>
        <v>-</v>
      </c>
      <c r="AC50" s="157" t="str">
        <f>法术大全!J607</f>
        <v>-</v>
      </c>
      <c r="AD50" s="142" t="str">
        <f>法术大全!K607</f>
        <v>-</v>
      </c>
      <c r="AE50" s="142"/>
      <c r="AF50" s="142"/>
      <c r="AG50" s="142"/>
      <c r="AH50" s="142"/>
      <c r="AI50" s="142"/>
      <c r="AJ50" s="142"/>
      <c r="AK50" s="148" t="s">
        <v>106</v>
      </c>
      <c r="AL50" s="162"/>
      <c r="AM50" s="162"/>
      <c r="AN50" s="162"/>
      <c r="AO50" s="162"/>
      <c r="AP50" s="162"/>
      <c r="AQ50" s="162"/>
      <c r="AR50" s="162"/>
      <c r="AS50" s="162"/>
      <c r="AT50" s="162"/>
      <c r="AU50" s="165"/>
      <c r="AV50" s="175"/>
      <c r="AW50" s="165"/>
      <c r="AX50" s="165"/>
      <c r="AY50" s="165"/>
      <c r="AZ50" s="165"/>
      <c r="BA50" s="165"/>
      <c r="BL50" s="165"/>
      <c r="BM50" s="165"/>
      <c r="BN50" s="165"/>
      <c r="BY50" s="170"/>
      <c r="BZ50" s="170"/>
      <c r="CA50" s="170"/>
      <c r="CB50" s="170"/>
      <c r="CC50" s="170"/>
      <c r="CD50" s="198"/>
      <c r="CE50" s="170"/>
      <c r="CF50" s="170"/>
      <c r="CG50" s="170"/>
      <c r="CH50" s="170"/>
      <c r="CI50" s="170"/>
      <c r="CJ50" s="170"/>
      <c r="CK50" s="170"/>
      <c r="CL50" s="170"/>
      <c r="CM50" s="170"/>
    </row>
    <row r="51" ht="16.5" customHeight="1" spans="1:91">
      <c r="A51" s="140"/>
      <c r="B51" s="140" t="s">
        <v>231</v>
      </c>
      <c r="C51" s="141" t="s">
        <v>232</v>
      </c>
      <c r="D51" s="143" t="str">
        <f>法术大全!C608</f>
        <v>-</v>
      </c>
      <c r="E51" s="143" t="str">
        <f>法术大全!D608</f>
        <v>-</v>
      </c>
      <c r="F51" s="143"/>
      <c r="G51" s="143"/>
      <c r="H51" s="143" t="str">
        <f>法术大全!E608</f>
        <v>-</v>
      </c>
      <c r="I51" s="143"/>
      <c r="J51" s="150"/>
      <c r="K51" s="150"/>
      <c r="L51" s="150"/>
      <c r="M51" s="150"/>
      <c r="N51" s="150"/>
      <c r="O51" s="148" t="s">
        <v>106</v>
      </c>
      <c r="P51" s="151" t="str">
        <f>法术大全!F608</f>
        <v>-</v>
      </c>
      <c r="Q51" s="151"/>
      <c r="R51" s="151" t="str">
        <f>法术大全!G608</f>
        <v>-</v>
      </c>
      <c r="S51" s="151"/>
      <c r="T51" s="151"/>
      <c r="U51" s="151" t="str">
        <f>法术大全!L608</f>
        <v>-</v>
      </c>
      <c r="V51" s="151"/>
      <c r="W51" s="151"/>
      <c r="X51" s="151"/>
      <c r="Y51" s="151"/>
      <c r="Z51" s="148" t="s">
        <v>106</v>
      </c>
      <c r="AA51" s="158" t="str">
        <f>法术大全!H608</f>
        <v>-</v>
      </c>
      <c r="AB51" s="158" t="str">
        <f>法术大全!I608</f>
        <v>-</v>
      </c>
      <c r="AC51" s="158" t="str">
        <f>法术大全!J608</f>
        <v>-</v>
      </c>
      <c r="AD51" s="143" t="str">
        <f>法术大全!K608</f>
        <v>-</v>
      </c>
      <c r="AE51" s="143"/>
      <c r="AF51" s="143"/>
      <c r="AG51" s="143"/>
      <c r="AH51" s="143"/>
      <c r="AI51" s="143"/>
      <c r="AJ51" s="143"/>
      <c r="AK51" s="148" t="s">
        <v>106</v>
      </c>
      <c r="AL51" s="161"/>
      <c r="AM51" s="161"/>
      <c r="AN51" s="161"/>
      <c r="AO51" s="161"/>
      <c r="AP51" s="161"/>
      <c r="AQ51" s="161"/>
      <c r="AR51" s="161"/>
      <c r="AS51" s="161"/>
      <c r="AT51" s="161"/>
      <c r="AU51" s="165"/>
      <c r="AV51" s="175"/>
      <c r="AW51" s="165"/>
      <c r="AX51" s="165"/>
      <c r="AY51" s="165"/>
      <c r="AZ51" s="165"/>
      <c r="BA51" s="165"/>
      <c r="BL51" s="165"/>
      <c r="BM51" s="165"/>
      <c r="BN51" s="165"/>
      <c r="BY51" s="170"/>
      <c r="BZ51" s="170"/>
      <c r="CA51" s="170"/>
      <c r="CB51" s="170"/>
      <c r="CC51" s="170"/>
      <c r="CD51" s="198"/>
      <c r="CE51" s="170"/>
      <c r="CF51" s="170"/>
      <c r="CG51" s="170"/>
      <c r="CH51" s="170"/>
      <c r="CI51" s="170"/>
      <c r="CJ51" s="170"/>
      <c r="CK51" s="170"/>
      <c r="CL51" s="170"/>
      <c r="CM51" s="170"/>
    </row>
    <row r="52" ht="16.5" customHeight="1" spans="1:91">
      <c r="A52" s="140"/>
      <c r="B52" s="140" t="s">
        <v>231</v>
      </c>
      <c r="C52" s="141" t="s">
        <v>232</v>
      </c>
      <c r="D52" s="142" t="str">
        <f>法术大全!C609</f>
        <v>-</v>
      </c>
      <c r="E52" s="142" t="str">
        <f>法术大全!D609</f>
        <v>-</v>
      </c>
      <c r="F52" s="142"/>
      <c r="G52" s="142"/>
      <c r="H52" s="142" t="str">
        <f>法术大全!E609</f>
        <v>-</v>
      </c>
      <c r="I52" s="142"/>
      <c r="J52" s="147"/>
      <c r="K52" s="147"/>
      <c r="L52" s="147"/>
      <c r="M52" s="147"/>
      <c r="N52" s="147"/>
      <c r="O52" s="148" t="s">
        <v>106</v>
      </c>
      <c r="P52" s="149" t="str">
        <f>法术大全!F609</f>
        <v>-</v>
      </c>
      <c r="Q52" s="149"/>
      <c r="R52" s="149" t="str">
        <f>法术大全!G609</f>
        <v>-</v>
      </c>
      <c r="S52" s="149"/>
      <c r="T52" s="149"/>
      <c r="U52" s="149" t="str">
        <f>法术大全!L609</f>
        <v>-</v>
      </c>
      <c r="V52" s="149"/>
      <c r="W52" s="149"/>
      <c r="X52" s="149"/>
      <c r="Y52" s="149"/>
      <c r="Z52" s="148" t="s">
        <v>106</v>
      </c>
      <c r="AA52" s="157" t="str">
        <f>法术大全!H609</f>
        <v>-</v>
      </c>
      <c r="AB52" s="157" t="str">
        <f>法术大全!I609</f>
        <v>-</v>
      </c>
      <c r="AC52" s="157" t="str">
        <f>法术大全!J609</f>
        <v>-</v>
      </c>
      <c r="AD52" s="142" t="str">
        <f>法术大全!K609</f>
        <v>-</v>
      </c>
      <c r="AE52" s="142"/>
      <c r="AF52" s="142"/>
      <c r="AG52" s="142"/>
      <c r="AH52" s="142"/>
      <c r="AI52" s="142"/>
      <c r="AJ52" s="142"/>
      <c r="AK52" s="148" t="s">
        <v>106</v>
      </c>
      <c r="AL52" s="162"/>
      <c r="AM52" s="162"/>
      <c r="AN52" s="162"/>
      <c r="AO52" s="162"/>
      <c r="AP52" s="162"/>
      <c r="AQ52" s="162"/>
      <c r="AR52" s="162"/>
      <c r="AS52" s="162"/>
      <c r="AT52" s="162"/>
      <c r="AU52" s="165"/>
      <c r="AV52" s="175"/>
      <c r="AW52" s="165"/>
      <c r="AX52" s="165"/>
      <c r="AY52" s="165"/>
      <c r="AZ52" s="165"/>
      <c r="BA52" s="165"/>
      <c r="BL52" s="165"/>
      <c r="BM52" s="165"/>
      <c r="BN52" s="165"/>
      <c r="BY52" s="170"/>
      <c r="BZ52" s="170"/>
      <c r="CA52" s="170"/>
      <c r="CB52" s="170"/>
      <c r="CC52" s="170"/>
      <c r="CD52" s="198"/>
      <c r="CE52" s="170"/>
      <c r="CF52" s="170"/>
      <c r="CG52" s="170"/>
      <c r="CH52" s="170"/>
      <c r="CI52" s="170"/>
      <c r="CJ52" s="170"/>
      <c r="CK52" s="170"/>
      <c r="CL52" s="170"/>
      <c r="CM52" s="170"/>
    </row>
    <row r="53" ht="16.5" customHeight="1" spans="1:91">
      <c r="A53" s="140"/>
      <c r="B53" s="140" t="s">
        <v>231</v>
      </c>
      <c r="C53" s="141" t="s">
        <v>232</v>
      </c>
      <c r="D53" s="143" t="str">
        <f>法术大全!C610</f>
        <v>-</v>
      </c>
      <c r="E53" s="143" t="str">
        <f>法术大全!D610</f>
        <v>-</v>
      </c>
      <c r="F53" s="143"/>
      <c r="G53" s="143"/>
      <c r="H53" s="143" t="str">
        <f>法术大全!E610</f>
        <v>-</v>
      </c>
      <c r="I53" s="143"/>
      <c r="J53" s="150"/>
      <c r="K53" s="150"/>
      <c r="L53" s="150"/>
      <c r="M53" s="150"/>
      <c r="N53" s="150"/>
      <c r="O53" s="148" t="s">
        <v>106</v>
      </c>
      <c r="P53" s="151" t="str">
        <f>法术大全!F610</f>
        <v>-</v>
      </c>
      <c r="Q53" s="151"/>
      <c r="R53" s="151" t="str">
        <f>法术大全!G610</f>
        <v>-</v>
      </c>
      <c r="S53" s="151"/>
      <c r="T53" s="151"/>
      <c r="U53" s="151" t="str">
        <f>法术大全!L610</f>
        <v>-</v>
      </c>
      <c r="V53" s="151"/>
      <c r="W53" s="151"/>
      <c r="X53" s="151"/>
      <c r="Y53" s="151"/>
      <c r="Z53" s="148" t="s">
        <v>106</v>
      </c>
      <c r="AA53" s="158" t="str">
        <f>法术大全!H610</f>
        <v>-</v>
      </c>
      <c r="AB53" s="158" t="str">
        <f>法术大全!I610</f>
        <v>-</v>
      </c>
      <c r="AC53" s="158" t="str">
        <f>法术大全!J610</f>
        <v>-</v>
      </c>
      <c r="AD53" s="143" t="str">
        <f>法术大全!K610</f>
        <v>-</v>
      </c>
      <c r="AE53" s="143"/>
      <c r="AF53" s="143"/>
      <c r="AG53" s="143"/>
      <c r="AH53" s="143"/>
      <c r="AI53" s="143"/>
      <c r="AJ53" s="143"/>
      <c r="AK53" s="148" t="s">
        <v>106</v>
      </c>
      <c r="AL53" s="161"/>
      <c r="AM53" s="161"/>
      <c r="AN53" s="161"/>
      <c r="AO53" s="161"/>
      <c r="AP53" s="161"/>
      <c r="AQ53" s="161"/>
      <c r="AR53" s="161"/>
      <c r="AS53" s="161"/>
      <c r="AT53" s="161"/>
      <c r="AU53" s="165"/>
      <c r="AV53" s="175"/>
      <c r="AW53" s="165"/>
      <c r="AX53" s="165"/>
      <c r="AY53" s="165"/>
      <c r="AZ53" s="165"/>
      <c r="BA53" s="165"/>
      <c r="BB53" s="165"/>
      <c r="BC53" s="165"/>
      <c r="BD53" s="165"/>
      <c r="BE53" s="165"/>
      <c r="BF53" s="165"/>
      <c r="BG53" s="165"/>
      <c r="BH53" s="165"/>
      <c r="BI53" s="165"/>
      <c r="BJ53" s="165"/>
      <c r="BK53" s="165"/>
      <c r="BL53" s="165"/>
      <c r="BM53" s="165"/>
      <c r="BN53" s="165"/>
      <c r="BY53" s="170"/>
      <c r="BZ53" s="170"/>
      <c r="CA53" s="170"/>
      <c r="CB53" s="170"/>
      <c r="CC53" s="170"/>
      <c r="CD53" s="198"/>
      <c r="CE53" s="170"/>
      <c r="CF53" s="170"/>
      <c r="CG53" s="170"/>
      <c r="CH53" s="170"/>
      <c r="CI53" s="170"/>
      <c r="CJ53" s="170"/>
      <c r="CK53" s="170"/>
      <c r="CL53" s="170"/>
      <c r="CM53" s="170"/>
    </row>
    <row r="54" ht="16.5" customHeight="1" spans="1:91">
      <c r="A54" s="140"/>
      <c r="B54" s="140" t="s">
        <v>231</v>
      </c>
      <c r="C54" s="141" t="s">
        <v>232</v>
      </c>
      <c r="D54" s="142" t="str">
        <f>法术大全!C611</f>
        <v>-</v>
      </c>
      <c r="E54" s="142" t="str">
        <f>法术大全!D611</f>
        <v>-</v>
      </c>
      <c r="F54" s="142"/>
      <c r="G54" s="142"/>
      <c r="H54" s="142" t="str">
        <f>法术大全!E611</f>
        <v>-</v>
      </c>
      <c r="I54" s="142"/>
      <c r="J54" s="147"/>
      <c r="K54" s="147"/>
      <c r="L54" s="147"/>
      <c r="M54" s="147"/>
      <c r="N54" s="147"/>
      <c r="O54" s="148" t="s">
        <v>106</v>
      </c>
      <c r="P54" s="149" t="str">
        <f>法术大全!F611</f>
        <v>-</v>
      </c>
      <c r="Q54" s="149"/>
      <c r="R54" s="149" t="str">
        <f>法术大全!G611</f>
        <v>-</v>
      </c>
      <c r="S54" s="149"/>
      <c r="T54" s="149"/>
      <c r="U54" s="149" t="str">
        <f>法术大全!L611</f>
        <v>-</v>
      </c>
      <c r="V54" s="149"/>
      <c r="W54" s="149"/>
      <c r="X54" s="149"/>
      <c r="Y54" s="149"/>
      <c r="Z54" s="148" t="s">
        <v>106</v>
      </c>
      <c r="AA54" s="157" t="str">
        <f>法术大全!H611</f>
        <v>-</v>
      </c>
      <c r="AB54" s="157" t="str">
        <f>法术大全!I611</f>
        <v>-</v>
      </c>
      <c r="AC54" s="157" t="str">
        <f>法术大全!J611</f>
        <v>-</v>
      </c>
      <c r="AD54" s="142" t="str">
        <f>法术大全!K611</f>
        <v>-</v>
      </c>
      <c r="AE54" s="142"/>
      <c r="AF54" s="142"/>
      <c r="AG54" s="142"/>
      <c r="AH54" s="142"/>
      <c r="AI54" s="142"/>
      <c r="AJ54" s="142"/>
      <c r="AK54" s="148" t="s">
        <v>106</v>
      </c>
      <c r="AL54" s="162"/>
      <c r="AM54" s="162"/>
      <c r="AN54" s="162"/>
      <c r="AO54" s="162"/>
      <c r="AP54" s="162"/>
      <c r="AQ54" s="162"/>
      <c r="AR54" s="162"/>
      <c r="AS54" s="162"/>
      <c r="AT54" s="162"/>
      <c r="AU54" s="165"/>
      <c r="AV54" s="175"/>
      <c r="AW54" s="165"/>
      <c r="AX54" s="165"/>
      <c r="AY54" s="165"/>
      <c r="AZ54" s="165"/>
      <c r="BA54" s="165"/>
      <c r="BB54" s="165"/>
      <c r="BC54" s="165"/>
      <c r="BD54" s="165"/>
      <c r="BE54" s="165"/>
      <c r="BF54" s="165"/>
      <c r="BG54" s="165"/>
      <c r="BH54" s="165"/>
      <c r="BI54" s="165"/>
      <c r="BJ54" s="165"/>
      <c r="BK54" s="165"/>
      <c r="BL54" s="165"/>
      <c r="BM54" s="165"/>
      <c r="BN54" s="165"/>
      <c r="BY54" s="170"/>
      <c r="BZ54" s="170"/>
      <c r="CA54" s="170"/>
      <c r="CB54" s="170"/>
      <c r="CC54" s="170"/>
      <c r="CD54" s="198"/>
      <c r="CE54" s="170"/>
      <c r="CF54" s="170"/>
      <c r="CG54" s="170"/>
      <c r="CH54" s="170"/>
      <c r="CI54" s="170"/>
      <c r="CJ54" s="170"/>
      <c r="CK54" s="170"/>
      <c r="CL54" s="170"/>
      <c r="CM54" s="170"/>
    </row>
    <row r="55" ht="16.5" customHeight="1" spans="1:91">
      <c r="A55" s="140"/>
      <c r="B55" s="140" t="s">
        <v>231</v>
      </c>
      <c r="C55" s="141" t="s">
        <v>232</v>
      </c>
      <c r="D55" s="143" t="str">
        <f>法术大全!C612</f>
        <v>-</v>
      </c>
      <c r="E55" s="143" t="str">
        <f>法术大全!D612</f>
        <v>-</v>
      </c>
      <c r="F55" s="143"/>
      <c r="G55" s="143"/>
      <c r="H55" s="143" t="str">
        <f>法术大全!E612</f>
        <v>-</v>
      </c>
      <c r="I55" s="143"/>
      <c r="J55" s="150"/>
      <c r="K55" s="150"/>
      <c r="L55" s="150"/>
      <c r="M55" s="150"/>
      <c r="N55" s="150"/>
      <c r="O55" s="148" t="s">
        <v>106</v>
      </c>
      <c r="P55" s="151" t="str">
        <f>法术大全!F612</f>
        <v>-</v>
      </c>
      <c r="Q55" s="151"/>
      <c r="R55" s="151" t="str">
        <f>法术大全!G612</f>
        <v>-</v>
      </c>
      <c r="S55" s="151"/>
      <c r="T55" s="151"/>
      <c r="U55" s="151" t="str">
        <f>法术大全!L612</f>
        <v>-</v>
      </c>
      <c r="V55" s="151"/>
      <c r="W55" s="151"/>
      <c r="X55" s="151"/>
      <c r="Y55" s="151"/>
      <c r="Z55" s="148" t="s">
        <v>106</v>
      </c>
      <c r="AA55" s="158" t="str">
        <f>法术大全!H612</f>
        <v>-</v>
      </c>
      <c r="AB55" s="158" t="str">
        <f>法术大全!I612</f>
        <v>-</v>
      </c>
      <c r="AC55" s="158" t="str">
        <f>法术大全!J612</f>
        <v>-</v>
      </c>
      <c r="AD55" s="143" t="str">
        <f>法术大全!K612</f>
        <v>-</v>
      </c>
      <c r="AE55" s="143"/>
      <c r="AF55" s="143"/>
      <c r="AG55" s="143"/>
      <c r="AH55" s="143"/>
      <c r="AI55" s="143"/>
      <c r="AJ55" s="143"/>
      <c r="AK55" s="148" t="s">
        <v>106</v>
      </c>
      <c r="AL55" s="161"/>
      <c r="AM55" s="161"/>
      <c r="AN55" s="161"/>
      <c r="AO55" s="161"/>
      <c r="AP55" s="161"/>
      <c r="AQ55" s="161"/>
      <c r="AR55" s="161"/>
      <c r="AS55" s="161"/>
      <c r="AT55" s="161"/>
      <c r="AU55" s="165"/>
      <c r="AV55" s="175"/>
      <c r="AW55" s="165"/>
      <c r="AX55" s="165"/>
      <c r="AY55" s="165"/>
      <c r="AZ55" s="165"/>
      <c r="BA55" s="165"/>
      <c r="BB55" s="165"/>
      <c r="BC55" s="165"/>
      <c r="BD55" s="165"/>
      <c r="BE55" s="165"/>
      <c r="BF55" s="165"/>
      <c r="BG55" s="165"/>
      <c r="BH55" s="165"/>
      <c r="BI55" s="165"/>
      <c r="BJ55" s="165"/>
      <c r="BK55" s="165"/>
      <c r="BL55" s="165"/>
      <c r="BM55" s="165"/>
      <c r="BN55" s="165"/>
      <c r="BY55" s="170"/>
      <c r="BZ55" s="170"/>
      <c r="CA55" s="170"/>
      <c r="CB55" s="170"/>
      <c r="CC55" s="170"/>
      <c r="CD55" s="198"/>
      <c r="CE55" s="170"/>
      <c r="CF55" s="170"/>
      <c r="CG55" s="170"/>
      <c r="CH55" s="170"/>
      <c r="CI55" s="170"/>
      <c r="CJ55" s="170"/>
      <c r="CK55" s="170"/>
      <c r="CL55" s="170"/>
      <c r="CM55" s="170"/>
    </row>
    <row r="56" ht="16.5" customHeight="1" spans="1:91">
      <c r="A56" s="140"/>
      <c r="B56" s="140" t="s">
        <v>231</v>
      </c>
      <c r="C56" s="141" t="s">
        <v>232</v>
      </c>
      <c r="D56" s="142" t="str">
        <f>法术大全!C613</f>
        <v>-</v>
      </c>
      <c r="E56" s="142" t="str">
        <f>法术大全!D613</f>
        <v>-</v>
      </c>
      <c r="F56" s="142"/>
      <c r="G56" s="142"/>
      <c r="H56" s="142" t="str">
        <f>法术大全!E613</f>
        <v>-</v>
      </c>
      <c r="I56" s="142"/>
      <c r="J56" s="147"/>
      <c r="K56" s="147"/>
      <c r="L56" s="147"/>
      <c r="M56" s="147"/>
      <c r="N56" s="147"/>
      <c r="O56" s="148" t="s">
        <v>106</v>
      </c>
      <c r="P56" s="149" t="str">
        <f>法术大全!F613</f>
        <v>-</v>
      </c>
      <c r="Q56" s="149"/>
      <c r="R56" s="149" t="str">
        <f>法术大全!G613</f>
        <v>-</v>
      </c>
      <c r="S56" s="149"/>
      <c r="T56" s="149"/>
      <c r="U56" s="149" t="str">
        <f>法术大全!L613</f>
        <v>-</v>
      </c>
      <c r="V56" s="149"/>
      <c r="W56" s="149"/>
      <c r="X56" s="149"/>
      <c r="Y56" s="149"/>
      <c r="Z56" s="148" t="s">
        <v>106</v>
      </c>
      <c r="AA56" s="157" t="str">
        <f>法术大全!H613</f>
        <v>-</v>
      </c>
      <c r="AB56" s="157" t="str">
        <f>法术大全!I613</f>
        <v>-</v>
      </c>
      <c r="AC56" s="157" t="str">
        <f>法术大全!J613</f>
        <v>-</v>
      </c>
      <c r="AD56" s="142" t="str">
        <f>法术大全!K613</f>
        <v>-</v>
      </c>
      <c r="AE56" s="142"/>
      <c r="AF56" s="142"/>
      <c r="AG56" s="142"/>
      <c r="AH56" s="142"/>
      <c r="AI56" s="142"/>
      <c r="AJ56" s="142"/>
      <c r="AK56" s="148" t="s">
        <v>106</v>
      </c>
      <c r="AL56" s="162"/>
      <c r="AM56" s="162"/>
      <c r="AN56" s="162"/>
      <c r="AO56" s="162"/>
      <c r="AP56" s="162"/>
      <c r="AQ56" s="162"/>
      <c r="AR56" s="162"/>
      <c r="AS56" s="162"/>
      <c r="AT56" s="162"/>
      <c r="AU56" s="165"/>
      <c r="AV56" s="175"/>
      <c r="AW56" s="165"/>
      <c r="AX56" s="165"/>
      <c r="AY56" s="165"/>
      <c r="AZ56" s="165"/>
      <c r="BA56" s="165"/>
      <c r="BB56" s="165"/>
      <c r="BC56" s="165"/>
      <c r="BD56" s="165"/>
      <c r="BE56" s="165"/>
      <c r="BF56" s="165"/>
      <c r="BG56" s="165"/>
      <c r="BH56" s="165"/>
      <c r="BI56" s="165"/>
      <c r="BJ56" s="165"/>
      <c r="BK56" s="165"/>
      <c r="BL56" s="165"/>
      <c r="BM56" s="165"/>
      <c r="BN56" s="165"/>
      <c r="BY56" s="170"/>
      <c r="BZ56" s="170"/>
      <c r="CA56" s="170"/>
      <c r="CB56" s="170"/>
      <c r="CC56" s="170"/>
      <c r="CD56" s="198"/>
      <c r="CE56" s="170"/>
      <c r="CF56" s="170"/>
      <c r="CG56" s="170"/>
      <c r="CH56" s="170"/>
      <c r="CI56" s="170"/>
      <c r="CJ56" s="170"/>
      <c r="CK56" s="170"/>
      <c r="CL56" s="170"/>
      <c r="CM56" s="170"/>
    </row>
    <row r="57" ht="16.5" customHeight="1" spans="1:91">
      <c r="A57" s="140"/>
      <c r="B57" s="140" t="s">
        <v>231</v>
      </c>
      <c r="C57" s="141" t="s">
        <v>232</v>
      </c>
      <c r="D57" s="143" t="str">
        <f>法术大全!C614</f>
        <v>-</v>
      </c>
      <c r="E57" s="143" t="str">
        <f>法术大全!D614</f>
        <v>-</v>
      </c>
      <c r="F57" s="143"/>
      <c r="G57" s="143"/>
      <c r="H57" s="143" t="str">
        <f>法术大全!E614</f>
        <v>-</v>
      </c>
      <c r="I57" s="143"/>
      <c r="J57" s="150"/>
      <c r="K57" s="150"/>
      <c r="L57" s="150"/>
      <c r="M57" s="150"/>
      <c r="N57" s="150"/>
      <c r="O57" s="148" t="s">
        <v>106</v>
      </c>
      <c r="P57" s="151" t="str">
        <f>法术大全!F614</f>
        <v>-</v>
      </c>
      <c r="Q57" s="151"/>
      <c r="R57" s="151" t="str">
        <f>法术大全!G614</f>
        <v>-</v>
      </c>
      <c r="S57" s="151"/>
      <c r="T57" s="151"/>
      <c r="U57" s="151" t="str">
        <f>法术大全!L614</f>
        <v>-</v>
      </c>
      <c r="V57" s="151"/>
      <c r="W57" s="151"/>
      <c r="X57" s="151"/>
      <c r="Y57" s="151"/>
      <c r="Z57" s="148" t="s">
        <v>106</v>
      </c>
      <c r="AA57" s="158" t="str">
        <f>法术大全!H614</f>
        <v>-</v>
      </c>
      <c r="AB57" s="158" t="str">
        <f>法术大全!I614</f>
        <v>-</v>
      </c>
      <c r="AC57" s="158" t="str">
        <f>法术大全!J614</f>
        <v>-</v>
      </c>
      <c r="AD57" s="143" t="str">
        <f>法术大全!K614</f>
        <v>-</v>
      </c>
      <c r="AE57" s="143"/>
      <c r="AF57" s="143"/>
      <c r="AG57" s="143"/>
      <c r="AH57" s="143"/>
      <c r="AI57" s="143"/>
      <c r="AJ57" s="143"/>
      <c r="AK57" s="148" t="s">
        <v>106</v>
      </c>
      <c r="AL57" s="161"/>
      <c r="AM57" s="161"/>
      <c r="AN57" s="161"/>
      <c r="AO57" s="161"/>
      <c r="AP57" s="161"/>
      <c r="AQ57" s="161"/>
      <c r="AR57" s="161"/>
      <c r="AS57" s="161"/>
      <c r="AT57" s="161"/>
      <c r="AU57" s="175"/>
      <c r="AV57" s="175"/>
      <c r="AW57" s="165"/>
      <c r="AX57" s="165"/>
      <c r="AY57" s="165"/>
      <c r="AZ57" s="165"/>
      <c r="BA57" s="165"/>
      <c r="BB57" s="165"/>
      <c r="BC57" s="165"/>
      <c r="BD57" s="165"/>
      <c r="BE57" s="165"/>
      <c r="BF57" s="165"/>
      <c r="BG57" s="165"/>
      <c r="BH57" s="165"/>
      <c r="BI57" s="165"/>
      <c r="BJ57" s="165"/>
      <c r="BK57" s="165"/>
      <c r="BL57" s="165"/>
      <c r="BM57" s="165"/>
      <c r="BN57" s="165"/>
      <c r="BY57" s="170"/>
      <c r="BZ57" s="170"/>
      <c r="CA57" s="170"/>
      <c r="CB57" s="170"/>
      <c r="CC57" s="170"/>
      <c r="CD57" s="198"/>
      <c r="CE57" s="170"/>
      <c r="CF57" s="170"/>
      <c r="CG57" s="170"/>
      <c r="CH57" s="170"/>
      <c r="CI57" s="170"/>
      <c r="CJ57" s="170"/>
      <c r="CK57" s="170"/>
      <c r="CL57" s="170"/>
      <c r="CM57" s="170"/>
    </row>
    <row r="58" ht="16.5" customHeight="1" spans="1:71">
      <c r="A58" s="137" t="s">
        <v>254</v>
      </c>
      <c r="B58" s="137"/>
      <c r="C58" s="137"/>
      <c r="D58" s="138" t="s">
        <v>42</v>
      </c>
      <c r="E58" s="137" t="s">
        <v>219</v>
      </c>
      <c r="F58" s="137"/>
      <c r="G58" s="137"/>
      <c r="H58" s="139" t="s">
        <v>220</v>
      </c>
      <c r="I58" s="139"/>
      <c r="J58" s="137" t="s">
        <v>221</v>
      </c>
      <c r="K58" s="137"/>
      <c r="L58" s="137"/>
      <c r="M58" s="137"/>
      <c r="N58" s="137"/>
      <c r="O58" s="152"/>
      <c r="P58" s="153" t="s">
        <v>222</v>
      </c>
      <c r="Q58" s="153"/>
      <c r="R58" s="153" t="s">
        <v>223</v>
      </c>
      <c r="S58" s="153"/>
      <c r="T58" s="153"/>
      <c r="U58" s="153" t="s">
        <v>224</v>
      </c>
      <c r="V58" s="153"/>
      <c r="W58" s="153"/>
      <c r="X58" s="153"/>
      <c r="Y58" s="153"/>
      <c r="Z58" s="152"/>
      <c r="AA58" s="159" t="s">
        <v>225</v>
      </c>
      <c r="AB58" s="159" t="s">
        <v>226</v>
      </c>
      <c r="AC58" s="159" t="s">
        <v>227</v>
      </c>
      <c r="AD58" s="139" t="s">
        <v>228</v>
      </c>
      <c r="AE58" s="139"/>
      <c r="AF58" s="139"/>
      <c r="AG58" s="139"/>
      <c r="AH58" s="139"/>
      <c r="AI58" s="139"/>
      <c r="AJ58" s="139"/>
      <c r="AK58" s="152"/>
      <c r="AL58" s="137" t="s">
        <v>229</v>
      </c>
      <c r="AM58" s="137"/>
      <c r="AN58" s="137"/>
      <c r="AO58" s="137"/>
      <c r="AP58" s="137"/>
      <c r="AQ58" s="137"/>
      <c r="AR58" s="137"/>
      <c r="AS58" s="137"/>
      <c r="AT58" s="137"/>
      <c r="AU58" s="176"/>
      <c r="AV58" s="175"/>
      <c r="AW58" s="175"/>
      <c r="AX58" s="175"/>
      <c r="AY58" s="175"/>
      <c r="AZ58" s="175"/>
      <c r="BA58" s="175"/>
      <c r="BB58" s="175"/>
      <c r="BC58" s="175"/>
      <c r="BD58" s="175"/>
      <c r="BE58" s="175"/>
      <c r="BF58" s="175"/>
      <c r="BG58" s="175"/>
      <c r="BH58" s="175"/>
      <c r="BI58" s="175"/>
      <c r="BJ58" s="175"/>
      <c r="BK58" s="175"/>
      <c r="BL58" s="175"/>
      <c r="BM58" s="175"/>
      <c r="BN58" s="175"/>
      <c r="BO58" s="175"/>
      <c r="BP58" s="175"/>
      <c r="BQ58" s="175"/>
      <c r="BR58" s="175"/>
      <c r="BS58" s="175"/>
    </row>
    <row r="59" ht="16.5" customHeight="1" spans="1:71">
      <c r="A59" s="140"/>
      <c r="B59" s="140" t="s">
        <v>231</v>
      </c>
      <c r="C59" s="141" t="s">
        <v>232</v>
      </c>
      <c r="D59" s="142" t="str">
        <f>法术大全!C616</f>
        <v>-</v>
      </c>
      <c r="E59" s="142" t="str">
        <f>法术大全!D616</f>
        <v>-</v>
      </c>
      <c r="F59" s="142"/>
      <c r="G59" s="142"/>
      <c r="H59" s="142" t="str">
        <f>法术大全!E616</f>
        <v>-</v>
      </c>
      <c r="I59" s="142"/>
      <c r="J59" s="147"/>
      <c r="K59" s="147"/>
      <c r="L59" s="147"/>
      <c r="M59" s="147"/>
      <c r="N59" s="147"/>
      <c r="O59" s="148" t="s">
        <v>106</v>
      </c>
      <c r="P59" s="149" t="str">
        <f>法术大全!F616</f>
        <v>-</v>
      </c>
      <c r="Q59" s="149"/>
      <c r="R59" s="149" t="str">
        <f>法术大全!G616</f>
        <v>-</v>
      </c>
      <c r="S59" s="149"/>
      <c r="T59" s="149"/>
      <c r="U59" s="149" t="str">
        <f>法术大全!L616</f>
        <v>-</v>
      </c>
      <c r="V59" s="149"/>
      <c r="W59" s="149"/>
      <c r="X59" s="149"/>
      <c r="Y59" s="149"/>
      <c r="Z59" s="148" t="s">
        <v>106</v>
      </c>
      <c r="AA59" s="157" t="str">
        <f>法术大全!H616</f>
        <v>-</v>
      </c>
      <c r="AB59" s="157" t="str">
        <f>法术大全!I616</f>
        <v>-</v>
      </c>
      <c r="AC59" s="157" t="str">
        <f>法术大全!J616</f>
        <v>-</v>
      </c>
      <c r="AD59" s="142" t="str">
        <f>法术大全!K616</f>
        <v>-</v>
      </c>
      <c r="AE59" s="142"/>
      <c r="AF59" s="142"/>
      <c r="AG59" s="142"/>
      <c r="AH59" s="142"/>
      <c r="AI59" s="142"/>
      <c r="AJ59" s="142"/>
      <c r="AK59" s="148" t="s">
        <v>106</v>
      </c>
      <c r="AL59" s="162"/>
      <c r="AM59" s="162"/>
      <c r="AN59" s="162"/>
      <c r="AO59" s="162"/>
      <c r="AP59" s="162"/>
      <c r="AQ59" s="162"/>
      <c r="AR59" s="162"/>
      <c r="AS59" s="162"/>
      <c r="AT59" s="162"/>
      <c r="AU59" s="176"/>
      <c r="AV59" s="175"/>
      <c r="AW59" s="175"/>
      <c r="AX59" s="175"/>
      <c r="AY59" s="175"/>
      <c r="AZ59" s="175"/>
      <c r="BA59" s="175"/>
      <c r="BB59" s="175"/>
      <c r="BC59" s="175"/>
      <c r="BD59" s="175"/>
      <c r="BE59" s="175"/>
      <c r="BF59" s="175"/>
      <c r="BG59" s="175"/>
      <c r="BH59" s="175"/>
      <c r="BI59" s="175"/>
      <c r="BJ59" s="175"/>
      <c r="BK59" s="175"/>
      <c r="BL59" s="175"/>
      <c r="BM59" s="175"/>
      <c r="BN59" s="175"/>
      <c r="BO59" s="175"/>
      <c r="BP59" s="175"/>
      <c r="BQ59" s="175"/>
      <c r="BR59" s="175"/>
      <c r="BS59" s="175"/>
    </row>
    <row r="60" ht="16.5" customHeight="1" spans="1:46">
      <c r="A60" s="140"/>
      <c r="B60" s="140" t="s">
        <v>231</v>
      </c>
      <c r="C60" s="141" t="s">
        <v>232</v>
      </c>
      <c r="D60" s="143" t="str">
        <f>法术大全!C617</f>
        <v>-</v>
      </c>
      <c r="E60" s="143" t="str">
        <f>法术大全!D617</f>
        <v>-</v>
      </c>
      <c r="F60" s="143"/>
      <c r="G60" s="143"/>
      <c r="H60" s="143" t="str">
        <f>法术大全!E617</f>
        <v>-</v>
      </c>
      <c r="I60" s="143"/>
      <c r="J60" s="150"/>
      <c r="K60" s="150"/>
      <c r="L60" s="150"/>
      <c r="M60" s="150"/>
      <c r="N60" s="150"/>
      <c r="O60" s="148" t="s">
        <v>106</v>
      </c>
      <c r="P60" s="151" t="str">
        <f>法术大全!F617</f>
        <v>-</v>
      </c>
      <c r="Q60" s="151"/>
      <c r="R60" s="151" t="str">
        <f>法术大全!G617</f>
        <v>-</v>
      </c>
      <c r="S60" s="151"/>
      <c r="T60" s="151"/>
      <c r="U60" s="151" t="str">
        <f>法术大全!L617</f>
        <v>-</v>
      </c>
      <c r="V60" s="151"/>
      <c r="W60" s="151"/>
      <c r="X60" s="151"/>
      <c r="Y60" s="151"/>
      <c r="Z60" s="148" t="s">
        <v>106</v>
      </c>
      <c r="AA60" s="158" t="str">
        <f>法术大全!H617</f>
        <v>-</v>
      </c>
      <c r="AB60" s="158" t="str">
        <f>法术大全!I617</f>
        <v>-</v>
      </c>
      <c r="AC60" s="158" t="str">
        <f>法术大全!J617</f>
        <v>-</v>
      </c>
      <c r="AD60" s="143" t="str">
        <f>法术大全!K617</f>
        <v>-</v>
      </c>
      <c r="AE60" s="143"/>
      <c r="AF60" s="143"/>
      <c r="AG60" s="143"/>
      <c r="AH60" s="143"/>
      <c r="AI60" s="143"/>
      <c r="AJ60" s="143"/>
      <c r="AK60" s="148" t="s">
        <v>106</v>
      </c>
      <c r="AL60" s="161"/>
      <c r="AM60" s="161"/>
      <c r="AN60" s="161"/>
      <c r="AO60" s="161"/>
      <c r="AP60" s="161"/>
      <c r="AQ60" s="161"/>
      <c r="AR60" s="161"/>
      <c r="AS60" s="161"/>
      <c r="AT60" s="161"/>
    </row>
    <row r="61" ht="16.5" customHeight="1" spans="1:46">
      <c r="A61" s="140"/>
      <c r="B61" s="140" t="s">
        <v>231</v>
      </c>
      <c r="C61" s="141" t="s">
        <v>232</v>
      </c>
      <c r="D61" s="142" t="str">
        <f>法术大全!C618</f>
        <v>-</v>
      </c>
      <c r="E61" s="142" t="str">
        <f>法术大全!D618</f>
        <v>-</v>
      </c>
      <c r="F61" s="142"/>
      <c r="G61" s="142"/>
      <c r="H61" s="142" t="str">
        <f>法术大全!E618</f>
        <v>-</v>
      </c>
      <c r="I61" s="142"/>
      <c r="J61" s="147"/>
      <c r="K61" s="147"/>
      <c r="L61" s="147"/>
      <c r="M61" s="147"/>
      <c r="N61" s="147"/>
      <c r="O61" s="148" t="s">
        <v>106</v>
      </c>
      <c r="P61" s="149" t="str">
        <f>法术大全!F618</f>
        <v>-</v>
      </c>
      <c r="Q61" s="149"/>
      <c r="R61" s="149" t="str">
        <f>法术大全!G618</f>
        <v>-</v>
      </c>
      <c r="S61" s="149"/>
      <c r="T61" s="149"/>
      <c r="U61" s="149" t="str">
        <f>法术大全!L618</f>
        <v>-</v>
      </c>
      <c r="V61" s="149"/>
      <c r="W61" s="149"/>
      <c r="X61" s="149"/>
      <c r="Y61" s="149"/>
      <c r="Z61" s="148" t="s">
        <v>106</v>
      </c>
      <c r="AA61" s="157" t="str">
        <f>法术大全!H618</f>
        <v>-</v>
      </c>
      <c r="AB61" s="157" t="str">
        <f>法术大全!I618</f>
        <v>-</v>
      </c>
      <c r="AC61" s="157" t="str">
        <f>法术大全!J618</f>
        <v>-</v>
      </c>
      <c r="AD61" s="142" t="str">
        <f>法术大全!K618</f>
        <v>-</v>
      </c>
      <c r="AE61" s="142"/>
      <c r="AF61" s="142"/>
      <c r="AG61" s="142"/>
      <c r="AH61" s="142"/>
      <c r="AI61" s="142"/>
      <c r="AJ61" s="142"/>
      <c r="AK61" s="148" t="s">
        <v>106</v>
      </c>
      <c r="AL61" s="162"/>
      <c r="AM61" s="162"/>
      <c r="AN61" s="162"/>
      <c r="AO61" s="162"/>
      <c r="AP61" s="162"/>
      <c r="AQ61" s="162"/>
      <c r="AR61" s="162"/>
      <c r="AS61" s="162"/>
      <c r="AT61" s="162"/>
    </row>
    <row r="62" ht="16.5" customHeight="1" spans="1:46">
      <c r="A62" s="140"/>
      <c r="B62" s="140" t="s">
        <v>231</v>
      </c>
      <c r="C62" s="141" t="s">
        <v>232</v>
      </c>
      <c r="D62" s="143" t="str">
        <f>法术大全!C619</f>
        <v>-</v>
      </c>
      <c r="E62" s="143" t="str">
        <f>法术大全!D619</f>
        <v>-</v>
      </c>
      <c r="F62" s="143"/>
      <c r="G62" s="143"/>
      <c r="H62" s="143" t="str">
        <f>法术大全!E619</f>
        <v>-</v>
      </c>
      <c r="I62" s="143"/>
      <c r="J62" s="150"/>
      <c r="K62" s="150"/>
      <c r="L62" s="150"/>
      <c r="M62" s="150"/>
      <c r="N62" s="150"/>
      <c r="O62" s="148" t="s">
        <v>106</v>
      </c>
      <c r="P62" s="151" t="str">
        <f>法术大全!F619</f>
        <v>-</v>
      </c>
      <c r="Q62" s="151"/>
      <c r="R62" s="151" t="str">
        <f>法术大全!G619</f>
        <v>-</v>
      </c>
      <c r="S62" s="151"/>
      <c r="T62" s="151"/>
      <c r="U62" s="151" t="str">
        <f>法术大全!L619</f>
        <v>-</v>
      </c>
      <c r="V62" s="151"/>
      <c r="W62" s="151"/>
      <c r="X62" s="151"/>
      <c r="Y62" s="151"/>
      <c r="Z62" s="148" t="s">
        <v>106</v>
      </c>
      <c r="AA62" s="158" t="str">
        <f>法术大全!H619</f>
        <v>-</v>
      </c>
      <c r="AB62" s="158" t="str">
        <f>法术大全!I619</f>
        <v>-</v>
      </c>
      <c r="AC62" s="158" t="str">
        <f>法术大全!J619</f>
        <v>-</v>
      </c>
      <c r="AD62" s="143" t="str">
        <f>法术大全!K619</f>
        <v>-</v>
      </c>
      <c r="AE62" s="143"/>
      <c r="AF62" s="143"/>
      <c r="AG62" s="143"/>
      <c r="AH62" s="143"/>
      <c r="AI62" s="143"/>
      <c r="AJ62" s="143"/>
      <c r="AK62" s="148" t="s">
        <v>106</v>
      </c>
      <c r="AL62" s="161"/>
      <c r="AM62" s="161"/>
      <c r="AN62" s="161"/>
      <c r="AO62" s="161"/>
      <c r="AP62" s="161"/>
      <c r="AQ62" s="161"/>
      <c r="AR62" s="161"/>
      <c r="AS62" s="161"/>
      <c r="AT62" s="161"/>
    </row>
    <row r="63" ht="16.5" customHeight="1" spans="1:46">
      <c r="A63" s="140"/>
      <c r="B63" s="140" t="s">
        <v>231</v>
      </c>
      <c r="C63" s="141" t="s">
        <v>232</v>
      </c>
      <c r="D63" s="142" t="str">
        <f>法术大全!C620</f>
        <v>-</v>
      </c>
      <c r="E63" s="142" t="str">
        <f>法术大全!D620</f>
        <v>-</v>
      </c>
      <c r="F63" s="142"/>
      <c r="G63" s="142"/>
      <c r="H63" s="142" t="str">
        <f>法术大全!E620</f>
        <v>-</v>
      </c>
      <c r="I63" s="142"/>
      <c r="J63" s="147"/>
      <c r="K63" s="147"/>
      <c r="L63" s="147"/>
      <c r="M63" s="147"/>
      <c r="N63" s="147"/>
      <c r="O63" s="148" t="s">
        <v>106</v>
      </c>
      <c r="P63" s="149" t="str">
        <f>法术大全!F620</f>
        <v>-</v>
      </c>
      <c r="Q63" s="149"/>
      <c r="R63" s="149" t="str">
        <f>法术大全!G620</f>
        <v>-</v>
      </c>
      <c r="S63" s="149"/>
      <c r="T63" s="149"/>
      <c r="U63" s="149" t="str">
        <f>法术大全!L620</f>
        <v>-</v>
      </c>
      <c r="V63" s="149"/>
      <c r="W63" s="149"/>
      <c r="X63" s="149"/>
      <c r="Y63" s="149"/>
      <c r="Z63" s="148" t="s">
        <v>106</v>
      </c>
      <c r="AA63" s="157" t="str">
        <f>法术大全!H620</f>
        <v>-</v>
      </c>
      <c r="AB63" s="157" t="str">
        <f>法术大全!I620</f>
        <v>-</v>
      </c>
      <c r="AC63" s="157" t="str">
        <f>法术大全!J620</f>
        <v>-</v>
      </c>
      <c r="AD63" s="142" t="str">
        <f>法术大全!K620</f>
        <v>-</v>
      </c>
      <c r="AE63" s="142"/>
      <c r="AF63" s="142"/>
      <c r="AG63" s="142"/>
      <c r="AH63" s="142"/>
      <c r="AI63" s="142"/>
      <c r="AJ63" s="142"/>
      <c r="AK63" s="148" t="s">
        <v>106</v>
      </c>
      <c r="AL63" s="162"/>
      <c r="AM63" s="162"/>
      <c r="AN63" s="162"/>
      <c r="AO63" s="162"/>
      <c r="AP63" s="162"/>
      <c r="AQ63" s="162"/>
      <c r="AR63" s="162"/>
      <c r="AS63" s="162"/>
      <c r="AT63" s="162"/>
    </row>
    <row r="64" ht="16.5" customHeight="1" spans="1:46">
      <c r="A64" s="140"/>
      <c r="B64" s="140" t="s">
        <v>231</v>
      </c>
      <c r="C64" s="141" t="s">
        <v>232</v>
      </c>
      <c r="D64" s="143" t="str">
        <f>法术大全!C621</f>
        <v>-</v>
      </c>
      <c r="E64" s="143" t="str">
        <f>法术大全!D621</f>
        <v>-</v>
      </c>
      <c r="F64" s="143"/>
      <c r="G64" s="143"/>
      <c r="H64" s="143" t="str">
        <f>法术大全!E621</f>
        <v>-</v>
      </c>
      <c r="I64" s="143"/>
      <c r="J64" s="150"/>
      <c r="K64" s="150"/>
      <c r="L64" s="150"/>
      <c r="M64" s="150"/>
      <c r="N64" s="150"/>
      <c r="O64" s="148" t="s">
        <v>106</v>
      </c>
      <c r="P64" s="151" t="str">
        <f>法术大全!F621</f>
        <v>-</v>
      </c>
      <c r="Q64" s="151"/>
      <c r="R64" s="151" t="str">
        <f>法术大全!G621</f>
        <v>-</v>
      </c>
      <c r="S64" s="151"/>
      <c r="T64" s="151"/>
      <c r="U64" s="151" t="str">
        <f>法术大全!L621</f>
        <v>-</v>
      </c>
      <c r="V64" s="151"/>
      <c r="W64" s="151"/>
      <c r="X64" s="151"/>
      <c r="Y64" s="151"/>
      <c r="Z64" s="148" t="s">
        <v>106</v>
      </c>
      <c r="AA64" s="158" t="str">
        <f>法术大全!H621</f>
        <v>-</v>
      </c>
      <c r="AB64" s="158" t="str">
        <f>法术大全!I621</f>
        <v>-</v>
      </c>
      <c r="AC64" s="158" t="str">
        <f>法术大全!J621</f>
        <v>-</v>
      </c>
      <c r="AD64" s="143" t="str">
        <f>法术大全!K621</f>
        <v>-</v>
      </c>
      <c r="AE64" s="143"/>
      <c r="AF64" s="143"/>
      <c r="AG64" s="143"/>
      <c r="AH64" s="143"/>
      <c r="AI64" s="143"/>
      <c r="AJ64" s="143"/>
      <c r="AK64" s="148" t="s">
        <v>106</v>
      </c>
      <c r="AL64" s="161"/>
      <c r="AM64" s="161"/>
      <c r="AN64" s="161"/>
      <c r="AO64" s="161"/>
      <c r="AP64" s="161"/>
      <c r="AQ64" s="161"/>
      <c r="AR64" s="161"/>
      <c r="AS64" s="161"/>
      <c r="AT64" s="161"/>
    </row>
    <row r="65" ht="16.5" customHeight="1" spans="1:46">
      <c r="A65" s="140"/>
      <c r="B65" s="140" t="s">
        <v>231</v>
      </c>
      <c r="C65" s="141" t="s">
        <v>232</v>
      </c>
      <c r="D65" s="142" t="str">
        <f>法术大全!C622</f>
        <v>-</v>
      </c>
      <c r="E65" s="142" t="str">
        <f>法术大全!D622</f>
        <v>-</v>
      </c>
      <c r="F65" s="142"/>
      <c r="G65" s="142"/>
      <c r="H65" s="142" t="str">
        <f>法术大全!E622</f>
        <v>-</v>
      </c>
      <c r="I65" s="142"/>
      <c r="J65" s="147"/>
      <c r="K65" s="147"/>
      <c r="L65" s="147"/>
      <c r="M65" s="147"/>
      <c r="N65" s="147"/>
      <c r="O65" s="148" t="s">
        <v>106</v>
      </c>
      <c r="P65" s="149" t="str">
        <f>法术大全!F622</f>
        <v>-</v>
      </c>
      <c r="Q65" s="149"/>
      <c r="R65" s="149" t="str">
        <f>法术大全!G622</f>
        <v>-</v>
      </c>
      <c r="S65" s="149"/>
      <c r="T65" s="149"/>
      <c r="U65" s="149" t="str">
        <f>法术大全!L622</f>
        <v>-</v>
      </c>
      <c r="V65" s="149"/>
      <c r="W65" s="149"/>
      <c r="X65" s="149"/>
      <c r="Y65" s="149"/>
      <c r="Z65" s="148" t="s">
        <v>106</v>
      </c>
      <c r="AA65" s="157" t="str">
        <f>法术大全!H622</f>
        <v>-</v>
      </c>
      <c r="AB65" s="157" t="str">
        <f>法术大全!I622</f>
        <v>-</v>
      </c>
      <c r="AC65" s="157" t="str">
        <f>法术大全!J622</f>
        <v>-</v>
      </c>
      <c r="AD65" s="142" t="str">
        <f>法术大全!K622</f>
        <v>-</v>
      </c>
      <c r="AE65" s="142"/>
      <c r="AF65" s="142"/>
      <c r="AG65" s="142"/>
      <c r="AH65" s="142"/>
      <c r="AI65" s="142"/>
      <c r="AJ65" s="142"/>
      <c r="AK65" s="148" t="s">
        <v>106</v>
      </c>
      <c r="AL65" s="162"/>
      <c r="AM65" s="162"/>
      <c r="AN65" s="162"/>
      <c r="AO65" s="162"/>
      <c r="AP65" s="162"/>
      <c r="AQ65" s="162"/>
      <c r="AR65" s="162"/>
      <c r="AS65" s="162"/>
      <c r="AT65" s="162"/>
    </row>
    <row r="66" ht="16.5" customHeight="1" spans="1:46">
      <c r="A66" s="140"/>
      <c r="B66" s="140" t="s">
        <v>231</v>
      </c>
      <c r="C66" s="141" t="s">
        <v>232</v>
      </c>
      <c r="D66" s="143" t="str">
        <f>法术大全!C623</f>
        <v>-</v>
      </c>
      <c r="E66" s="143" t="str">
        <f>法术大全!D623</f>
        <v>-</v>
      </c>
      <c r="F66" s="143"/>
      <c r="G66" s="143"/>
      <c r="H66" s="143" t="str">
        <f>法术大全!E623</f>
        <v>-</v>
      </c>
      <c r="I66" s="143"/>
      <c r="J66" s="150"/>
      <c r="K66" s="150"/>
      <c r="L66" s="150"/>
      <c r="M66" s="150"/>
      <c r="N66" s="150"/>
      <c r="O66" s="148" t="s">
        <v>106</v>
      </c>
      <c r="P66" s="151" t="str">
        <f>法术大全!F623</f>
        <v>-</v>
      </c>
      <c r="Q66" s="151"/>
      <c r="R66" s="151" t="str">
        <f>法术大全!G623</f>
        <v>-</v>
      </c>
      <c r="S66" s="151"/>
      <c r="T66" s="151"/>
      <c r="U66" s="151" t="str">
        <f>法术大全!L623</f>
        <v>-</v>
      </c>
      <c r="V66" s="151"/>
      <c r="W66" s="151"/>
      <c r="X66" s="151"/>
      <c r="Y66" s="151"/>
      <c r="Z66" s="148" t="s">
        <v>106</v>
      </c>
      <c r="AA66" s="158" t="str">
        <f>法术大全!H623</f>
        <v>-</v>
      </c>
      <c r="AB66" s="158" t="str">
        <f>法术大全!I623</f>
        <v>-</v>
      </c>
      <c r="AC66" s="158" t="str">
        <f>法术大全!J623</f>
        <v>-</v>
      </c>
      <c r="AD66" s="143" t="str">
        <f>法术大全!K623</f>
        <v>-</v>
      </c>
      <c r="AE66" s="143"/>
      <c r="AF66" s="143"/>
      <c r="AG66" s="143"/>
      <c r="AH66" s="143"/>
      <c r="AI66" s="143"/>
      <c r="AJ66" s="143"/>
      <c r="AK66" s="148" t="s">
        <v>106</v>
      </c>
      <c r="AL66" s="161"/>
      <c r="AM66" s="161"/>
      <c r="AN66" s="161"/>
      <c r="AO66" s="161"/>
      <c r="AP66" s="161"/>
      <c r="AQ66" s="161"/>
      <c r="AR66" s="161"/>
      <c r="AS66" s="161"/>
      <c r="AT66" s="161"/>
    </row>
    <row r="67" ht="16.5" customHeight="1" spans="1:46">
      <c r="A67" s="140"/>
      <c r="B67" s="140" t="s">
        <v>231</v>
      </c>
      <c r="C67" s="141" t="s">
        <v>232</v>
      </c>
      <c r="D67" s="142" t="str">
        <f>法术大全!C624</f>
        <v>-</v>
      </c>
      <c r="E67" s="142" t="str">
        <f>法术大全!D624</f>
        <v>-</v>
      </c>
      <c r="F67" s="142"/>
      <c r="G67" s="142"/>
      <c r="H67" s="142" t="str">
        <f>法术大全!E624</f>
        <v>-</v>
      </c>
      <c r="I67" s="142"/>
      <c r="J67" s="147"/>
      <c r="K67" s="147"/>
      <c r="L67" s="147"/>
      <c r="M67" s="147"/>
      <c r="N67" s="147"/>
      <c r="O67" s="148" t="s">
        <v>106</v>
      </c>
      <c r="P67" s="149" t="str">
        <f>法术大全!F624</f>
        <v>-</v>
      </c>
      <c r="Q67" s="149"/>
      <c r="R67" s="149" t="str">
        <f>法术大全!G624</f>
        <v>-</v>
      </c>
      <c r="S67" s="149"/>
      <c r="T67" s="149"/>
      <c r="U67" s="149" t="str">
        <f>法术大全!L624</f>
        <v>-</v>
      </c>
      <c r="V67" s="149"/>
      <c r="W67" s="149"/>
      <c r="X67" s="149"/>
      <c r="Y67" s="149"/>
      <c r="Z67" s="148" t="s">
        <v>106</v>
      </c>
      <c r="AA67" s="157" t="str">
        <f>法术大全!H624</f>
        <v>-</v>
      </c>
      <c r="AB67" s="157" t="str">
        <f>法术大全!I624</f>
        <v>-</v>
      </c>
      <c r="AC67" s="157" t="str">
        <f>法术大全!J624</f>
        <v>-</v>
      </c>
      <c r="AD67" s="142" t="str">
        <f>法术大全!K624</f>
        <v>-</v>
      </c>
      <c r="AE67" s="142"/>
      <c r="AF67" s="142"/>
      <c r="AG67" s="142"/>
      <c r="AH67" s="142"/>
      <c r="AI67" s="142"/>
      <c r="AJ67" s="142"/>
      <c r="AK67" s="148" t="s">
        <v>106</v>
      </c>
      <c r="AL67" s="162"/>
      <c r="AM67" s="162"/>
      <c r="AN67" s="162"/>
      <c r="AO67" s="162"/>
      <c r="AP67" s="162"/>
      <c r="AQ67" s="162"/>
      <c r="AR67" s="162"/>
      <c r="AS67" s="162"/>
      <c r="AT67" s="162"/>
    </row>
    <row r="68" ht="16.5" customHeight="1" spans="1:46">
      <c r="A68" s="140"/>
      <c r="B68" s="140" t="s">
        <v>231</v>
      </c>
      <c r="C68" s="141" t="s">
        <v>232</v>
      </c>
      <c r="D68" s="143" t="str">
        <f>法术大全!C625</f>
        <v>-</v>
      </c>
      <c r="E68" s="143" t="str">
        <f>法术大全!D625</f>
        <v>-</v>
      </c>
      <c r="F68" s="143"/>
      <c r="G68" s="143"/>
      <c r="H68" s="143" t="str">
        <f>法术大全!E625</f>
        <v>-</v>
      </c>
      <c r="I68" s="143"/>
      <c r="J68" s="150"/>
      <c r="K68" s="150"/>
      <c r="L68" s="150"/>
      <c r="M68" s="150"/>
      <c r="N68" s="150"/>
      <c r="O68" s="148" t="s">
        <v>106</v>
      </c>
      <c r="P68" s="151" t="str">
        <f>法术大全!F625</f>
        <v>-</v>
      </c>
      <c r="Q68" s="151"/>
      <c r="R68" s="151" t="str">
        <f>法术大全!G625</f>
        <v>-</v>
      </c>
      <c r="S68" s="151"/>
      <c r="T68" s="151"/>
      <c r="U68" s="151" t="str">
        <f>法术大全!L625</f>
        <v>-</v>
      </c>
      <c r="V68" s="151"/>
      <c r="W68" s="151"/>
      <c r="X68" s="151"/>
      <c r="Y68" s="151"/>
      <c r="Z68" s="148" t="s">
        <v>106</v>
      </c>
      <c r="AA68" s="158" t="str">
        <f>法术大全!H625</f>
        <v>-</v>
      </c>
      <c r="AB68" s="158" t="str">
        <f>法术大全!I625</f>
        <v>-</v>
      </c>
      <c r="AC68" s="158" t="str">
        <f>法术大全!J625</f>
        <v>-</v>
      </c>
      <c r="AD68" s="143" t="str">
        <f>法术大全!K625</f>
        <v>-</v>
      </c>
      <c r="AE68" s="143"/>
      <c r="AF68" s="143"/>
      <c r="AG68" s="143"/>
      <c r="AH68" s="143"/>
      <c r="AI68" s="143"/>
      <c r="AJ68" s="143"/>
      <c r="AK68" s="148" t="s">
        <v>106</v>
      </c>
      <c r="AL68" s="161"/>
      <c r="AM68" s="161"/>
      <c r="AN68" s="161"/>
      <c r="AO68" s="161"/>
      <c r="AP68" s="161"/>
      <c r="AQ68" s="161"/>
      <c r="AR68" s="161"/>
      <c r="AS68" s="161"/>
      <c r="AT68" s="161"/>
    </row>
    <row r="69" ht="16.5" customHeight="1" spans="1:46">
      <c r="A69" s="137" t="s">
        <v>255</v>
      </c>
      <c r="B69" s="137"/>
      <c r="C69" s="137"/>
      <c r="D69" s="138" t="s">
        <v>42</v>
      </c>
      <c r="E69" s="137" t="s">
        <v>219</v>
      </c>
      <c r="F69" s="137"/>
      <c r="G69" s="137"/>
      <c r="H69" s="139" t="s">
        <v>220</v>
      </c>
      <c r="I69" s="139"/>
      <c r="J69" s="137" t="s">
        <v>221</v>
      </c>
      <c r="K69" s="137"/>
      <c r="L69" s="137"/>
      <c r="M69" s="137"/>
      <c r="N69" s="137"/>
      <c r="O69" s="152"/>
      <c r="P69" s="153" t="s">
        <v>222</v>
      </c>
      <c r="Q69" s="153"/>
      <c r="R69" s="153" t="s">
        <v>223</v>
      </c>
      <c r="S69" s="153"/>
      <c r="T69" s="153"/>
      <c r="U69" s="153" t="s">
        <v>224</v>
      </c>
      <c r="V69" s="153"/>
      <c r="W69" s="153"/>
      <c r="X69" s="153"/>
      <c r="Y69" s="153"/>
      <c r="Z69" s="152"/>
      <c r="AA69" s="159" t="s">
        <v>225</v>
      </c>
      <c r="AB69" s="159" t="s">
        <v>226</v>
      </c>
      <c r="AC69" s="159" t="s">
        <v>227</v>
      </c>
      <c r="AD69" s="139" t="s">
        <v>228</v>
      </c>
      <c r="AE69" s="139"/>
      <c r="AF69" s="139"/>
      <c r="AG69" s="139"/>
      <c r="AH69" s="139"/>
      <c r="AI69" s="139"/>
      <c r="AJ69" s="139"/>
      <c r="AK69" s="152"/>
      <c r="AL69" s="137" t="s">
        <v>229</v>
      </c>
      <c r="AM69" s="137"/>
      <c r="AN69" s="137"/>
      <c r="AO69" s="137"/>
      <c r="AP69" s="137"/>
      <c r="AQ69" s="137"/>
      <c r="AR69" s="137"/>
      <c r="AS69" s="137"/>
      <c r="AT69" s="137"/>
    </row>
    <row r="70" ht="16.5" customHeight="1" spans="1:46">
      <c r="A70" s="140"/>
      <c r="B70" s="140" t="s">
        <v>231</v>
      </c>
      <c r="C70" s="141" t="s">
        <v>232</v>
      </c>
      <c r="D70" s="142" t="str">
        <f>法术大全!C627</f>
        <v>-</v>
      </c>
      <c r="E70" s="142" t="str">
        <f>法术大全!D627</f>
        <v>-</v>
      </c>
      <c r="F70" s="142"/>
      <c r="G70" s="142"/>
      <c r="H70" s="142" t="str">
        <f>法术大全!E627</f>
        <v>-</v>
      </c>
      <c r="I70" s="142"/>
      <c r="J70" s="147"/>
      <c r="K70" s="147"/>
      <c r="L70" s="147"/>
      <c r="M70" s="147"/>
      <c r="N70" s="147"/>
      <c r="O70" s="148" t="s">
        <v>106</v>
      </c>
      <c r="P70" s="149" t="str">
        <f>法术大全!F627</f>
        <v>-</v>
      </c>
      <c r="Q70" s="149"/>
      <c r="R70" s="149" t="str">
        <f>法术大全!G627</f>
        <v>-</v>
      </c>
      <c r="S70" s="149"/>
      <c r="T70" s="149"/>
      <c r="U70" s="149" t="str">
        <f>法术大全!L627</f>
        <v>-</v>
      </c>
      <c r="V70" s="149"/>
      <c r="W70" s="149"/>
      <c r="X70" s="149"/>
      <c r="Y70" s="149"/>
      <c r="Z70" s="148" t="s">
        <v>106</v>
      </c>
      <c r="AA70" s="157" t="str">
        <f>法术大全!H627</f>
        <v>-</v>
      </c>
      <c r="AB70" s="157" t="str">
        <f>法术大全!I627</f>
        <v>-</v>
      </c>
      <c r="AC70" s="157" t="str">
        <f>法术大全!J627</f>
        <v>-</v>
      </c>
      <c r="AD70" s="142" t="str">
        <f>法术大全!K627</f>
        <v>-</v>
      </c>
      <c r="AE70" s="142"/>
      <c r="AF70" s="142"/>
      <c r="AG70" s="142"/>
      <c r="AH70" s="142"/>
      <c r="AI70" s="142"/>
      <c r="AJ70" s="142"/>
      <c r="AK70" s="148" t="s">
        <v>106</v>
      </c>
      <c r="AL70" s="162"/>
      <c r="AM70" s="162"/>
      <c r="AN70" s="162"/>
      <c r="AO70" s="162"/>
      <c r="AP70" s="162"/>
      <c r="AQ70" s="162"/>
      <c r="AR70" s="162"/>
      <c r="AS70" s="162"/>
      <c r="AT70" s="162"/>
    </row>
    <row r="71" ht="16.5" customHeight="1" spans="1:46">
      <c r="A71" s="140"/>
      <c r="B71" s="140" t="s">
        <v>231</v>
      </c>
      <c r="C71" s="141" t="s">
        <v>232</v>
      </c>
      <c r="D71" s="143" t="str">
        <f>法术大全!C628</f>
        <v>-</v>
      </c>
      <c r="E71" s="143" t="str">
        <f>法术大全!D628</f>
        <v>-</v>
      </c>
      <c r="F71" s="143"/>
      <c r="G71" s="143"/>
      <c r="H71" s="143" t="str">
        <f>法术大全!E628</f>
        <v>-</v>
      </c>
      <c r="I71" s="143"/>
      <c r="J71" s="150"/>
      <c r="K71" s="150"/>
      <c r="L71" s="150"/>
      <c r="M71" s="150"/>
      <c r="N71" s="150"/>
      <c r="O71" s="148" t="s">
        <v>106</v>
      </c>
      <c r="P71" s="151" t="str">
        <f>法术大全!F628</f>
        <v>-</v>
      </c>
      <c r="Q71" s="151"/>
      <c r="R71" s="151" t="str">
        <f>法术大全!G628</f>
        <v>-</v>
      </c>
      <c r="S71" s="151"/>
      <c r="T71" s="151"/>
      <c r="U71" s="151" t="str">
        <f>法术大全!L628</f>
        <v>-</v>
      </c>
      <c r="V71" s="151"/>
      <c r="W71" s="151"/>
      <c r="X71" s="151"/>
      <c r="Y71" s="151"/>
      <c r="Z71" s="148" t="s">
        <v>106</v>
      </c>
      <c r="AA71" s="158" t="str">
        <f>法术大全!H628</f>
        <v>-</v>
      </c>
      <c r="AB71" s="158" t="str">
        <f>法术大全!I628</f>
        <v>-</v>
      </c>
      <c r="AC71" s="158" t="str">
        <f>法术大全!J628</f>
        <v>-</v>
      </c>
      <c r="AD71" s="143" t="str">
        <f>法术大全!K628</f>
        <v>-</v>
      </c>
      <c r="AE71" s="143"/>
      <c r="AF71" s="143"/>
      <c r="AG71" s="143"/>
      <c r="AH71" s="143"/>
      <c r="AI71" s="143"/>
      <c r="AJ71" s="143"/>
      <c r="AK71" s="148" t="s">
        <v>106</v>
      </c>
      <c r="AL71" s="161"/>
      <c r="AM71" s="161"/>
      <c r="AN71" s="161"/>
      <c r="AO71" s="161"/>
      <c r="AP71" s="161"/>
      <c r="AQ71" s="161"/>
      <c r="AR71" s="161"/>
      <c r="AS71" s="161"/>
      <c r="AT71" s="161"/>
    </row>
    <row r="72" ht="16.5" customHeight="1" spans="1:46">
      <c r="A72" s="140"/>
      <c r="B72" s="140" t="s">
        <v>231</v>
      </c>
      <c r="C72" s="141" t="s">
        <v>232</v>
      </c>
      <c r="D72" s="142" t="str">
        <f>法术大全!C629</f>
        <v>-</v>
      </c>
      <c r="E72" s="142" t="str">
        <f>法术大全!D629</f>
        <v>-</v>
      </c>
      <c r="F72" s="142"/>
      <c r="G72" s="142"/>
      <c r="H72" s="142" t="str">
        <f>法术大全!E629</f>
        <v>-</v>
      </c>
      <c r="I72" s="142"/>
      <c r="J72" s="147"/>
      <c r="K72" s="147"/>
      <c r="L72" s="147"/>
      <c r="M72" s="147"/>
      <c r="N72" s="147"/>
      <c r="O72" s="148" t="s">
        <v>106</v>
      </c>
      <c r="P72" s="149" t="str">
        <f>法术大全!F629</f>
        <v>-</v>
      </c>
      <c r="Q72" s="149"/>
      <c r="R72" s="149" t="str">
        <f>法术大全!G629</f>
        <v>-</v>
      </c>
      <c r="S72" s="149"/>
      <c r="T72" s="149"/>
      <c r="U72" s="149" t="str">
        <f>法术大全!L629</f>
        <v>-</v>
      </c>
      <c r="V72" s="149"/>
      <c r="W72" s="149"/>
      <c r="X72" s="149"/>
      <c r="Y72" s="149"/>
      <c r="Z72" s="148" t="s">
        <v>106</v>
      </c>
      <c r="AA72" s="157" t="str">
        <f>法术大全!H629</f>
        <v>-</v>
      </c>
      <c r="AB72" s="157" t="str">
        <f>法术大全!I629</f>
        <v>-</v>
      </c>
      <c r="AC72" s="157" t="str">
        <f>法术大全!J629</f>
        <v>-</v>
      </c>
      <c r="AD72" s="142" t="str">
        <f>法术大全!K629</f>
        <v>-</v>
      </c>
      <c r="AE72" s="142"/>
      <c r="AF72" s="142"/>
      <c r="AG72" s="142"/>
      <c r="AH72" s="142"/>
      <c r="AI72" s="142"/>
      <c r="AJ72" s="142"/>
      <c r="AK72" s="148" t="s">
        <v>106</v>
      </c>
      <c r="AL72" s="162"/>
      <c r="AM72" s="162"/>
      <c r="AN72" s="162"/>
      <c r="AO72" s="162"/>
      <c r="AP72" s="162"/>
      <c r="AQ72" s="162"/>
      <c r="AR72" s="162"/>
      <c r="AS72" s="162"/>
      <c r="AT72" s="162"/>
    </row>
    <row r="73" ht="16.5" customHeight="1" spans="1:46">
      <c r="A73" s="140"/>
      <c r="B73" s="140" t="s">
        <v>231</v>
      </c>
      <c r="C73" s="141" t="s">
        <v>232</v>
      </c>
      <c r="D73" s="143" t="str">
        <f>法术大全!C630</f>
        <v>-</v>
      </c>
      <c r="E73" s="143" t="str">
        <f>法术大全!D630</f>
        <v>-</v>
      </c>
      <c r="F73" s="143"/>
      <c r="G73" s="143"/>
      <c r="H73" s="143" t="str">
        <f>法术大全!E630</f>
        <v>-</v>
      </c>
      <c r="I73" s="143"/>
      <c r="J73" s="150"/>
      <c r="K73" s="150"/>
      <c r="L73" s="150"/>
      <c r="M73" s="150"/>
      <c r="N73" s="150"/>
      <c r="O73" s="148" t="s">
        <v>106</v>
      </c>
      <c r="P73" s="151" t="str">
        <f>法术大全!F630</f>
        <v>-</v>
      </c>
      <c r="Q73" s="151"/>
      <c r="R73" s="151" t="str">
        <f>法术大全!G630</f>
        <v>-</v>
      </c>
      <c r="S73" s="151"/>
      <c r="T73" s="151"/>
      <c r="U73" s="151" t="str">
        <f>法术大全!L630</f>
        <v>-</v>
      </c>
      <c r="V73" s="151"/>
      <c r="W73" s="151"/>
      <c r="X73" s="151"/>
      <c r="Y73" s="151"/>
      <c r="Z73" s="148" t="s">
        <v>106</v>
      </c>
      <c r="AA73" s="158" t="str">
        <f>法术大全!H630</f>
        <v>-</v>
      </c>
      <c r="AB73" s="158" t="str">
        <f>法术大全!I630</f>
        <v>-</v>
      </c>
      <c r="AC73" s="158" t="str">
        <f>法术大全!J630</f>
        <v>-</v>
      </c>
      <c r="AD73" s="143" t="str">
        <f>法术大全!K630</f>
        <v>-</v>
      </c>
      <c r="AE73" s="143"/>
      <c r="AF73" s="143"/>
      <c r="AG73" s="143"/>
      <c r="AH73" s="143"/>
      <c r="AI73" s="143"/>
      <c r="AJ73" s="143"/>
      <c r="AK73" s="148" t="s">
        <v>106</v>
      </c>
      <c r="AL73" s="161"/>
      <c r="AM73" s="161"/>
      <c r="AN73" s="161"/>
      <c r="AO73" s="161"/>
      <c r="AP73" s="161"/>
      <c r="AQ73" s="161"/>
      <c r="AR73" s="161"/>
      <c r="AS73" s="161"/>
      <c r="AT73" s="161"/>
    </row>
    <row r="74" ht="16.5" customHeight="1" spans="1:46">
      <c r="A74" s="140"/>
      <c r="B74" s="140" t="s">
        <v>231</v>
      </c>
      <c r="C74" s="141" t="s">
        <v>232</v>
      </c>
      <c r="D74" s="142" t="str">
        <f>法术大全!C631</f>
        <v>-</v>
      </c>
      <c r="E74" s="142" t="str">
        <f>法术大全!D631</f>
        <v>-</v>
      </c>
      <c r="F74" s="142"/>
      <c r="G74" s="142"/>
      <c r="H74" s="142" t="str">
        <f>法术大全!E631</f>
        <v>-</v>
      </c>
      <c r="I74" s="142"/>
      <c r="J74" s="147"/>
      <c r="K74" s="147"/>
      <c r="L74" s="147"/>
      <c r="M74" s="147"/>
      <c r="N74" s="147"/>
      <c r="O74" s="148" t="s">
        <v>106</v>
      </c>
      <c r="P74" s="149" t="str">
        <f>法术大全!F631</f>
        <v>-</v>
      </c>
      <c r="Q74" s="149"/>
      <c r="R74" s="149" t="str">
        <f>法术大全!G631</f>
        <v>-</v>
      </c>
      <c r="S74" s="149"/>
      <c r="T74" s="149"/>
      <c r="U74" s="149" t="str">
        <f>法术大全!L631</f>
        <v>-</v>
      </c>
      <c r="V74" s="149"/>
      <c r="W74" s="149"/>
      <c r="X74" s="149"/>
      <c r="Y74" s="149"/>
      <c r="Z74" s="148" t="s">
        <v>106</v>
      </c>
      <c r="AA74" s="157" t="str">
        <f>法术大全!H631</f>
        <v>-</v>
      </c>
      <c r="AB74" s="157" t="str">
        <f>法术大全!I631</f>
        <v>-</v>
      </c>
      <c r="AC74" s="157" t="str">
        <f>法术大全!J631</f>
        <v>-</v>
      </c>
      <c r="AD74" s="142" t="str">
        <f>法术大全!K631</f>
        <v>-</v>
      </c>
      <c r="AE74" s="142"/>
      <c r="AF74" s="142"/>
      <c r="AG74" s="142"/>
      <c r="AH74" s="142"/>
      <c r="AI74" s="142"/>
      <c r="AJ74" s="142"/>
      <c r="AK74" s="148" t="s">
        <v>106</v>
      </c>
      <c r="AL74" s="162"/>
      <c r="AM74" s="162"/>
      <c r="AN74" s="162"/>
      <c r="AO74" s="162"/>
      <c r="AP74" s="162"/>
      <c r="AQ74" s="162"/>
      <c r="AR74" s="162"/>
      <c r="AS74" s="162"/>
      <c r="AT74" s="162"/>
    </row>
    <row r="75" ht="16.5" customHeight="1" spans="1:46">
      <c r="A75" s="140"/>
      <c r="B75" s="140" t="s">
        <v>231</v>
      </c>
      <c r="C75" s="141" t="s">
        <v>232</v>
      </c>
      <c r="D75" s="143" t="str">
        <f>法术大全!C632</f>
        <v>-</v>
      </c>
      <c r="E75" s="143" t="str">
        <f>法术大全!D632</f>
        <v>-</v>
      </c>
      <c r="F75" s="143"/>
      <c r="G75" s="143"/>
      <c r="H75" s="143" t="str">
        <f>法术大全!E632</f>
        <v>-</v>
      </c>
      <c r="I75" s="143"/>
      <c r="J75" s="150"/>
      <c r="K75" s="150"/>
      <c r="L75" s="150"/>
      <c r="M75" s="150"/>
      <c r="N75" s="150"/>
      <c r="O75" s="148" t="s">
        <v>106</v>
      </c>
      <c r="P75" s="151" t="str">
        <f>法术大全!F632</f>
        <v>-</v>
      </c>
      <c r="Q75" s="151"/>
      <c r="R75" s="151" t="str">
        <f>法术大全!G632</f>
        <v>-</v>
      </c>
      <c r="S75" s="151"/>
      <c r="T75" s="151"/>
      <c r="U75" s="151" t="str">
        <f>法术大全!L632</f>
        <v>-</v>
      </c>
      <c r="V75" s="151"/>
      <c r="W75" s="151"/>
      <c r="X75" s="151"/>
      <c r="Y75" s="151"/>
      <c r="Z75" s="148" t="s">
        <v>106</v>
      </c>
      <c r="AA75" s="158" t="str">
        <f>法术大全!H632</f>
        <v>-</v>
      </c>
      <c r="AB75" s="158" t="str">
        <f>法术大全!I632</f>
        <v>-</v>
      </c>
      <c r="AC75" s="158" t="str">
        <f>法术大全!J632</f>
        <v>-</v>
      </c>
      <c r="AD75" s="143" t="str">
        <f>法术大全!K632</f>
        <v>-</v>
      </c>
      <c r="AE75" s="143"/>
      <c r="AF75" s="143"/>
      <c r="AG75" s="143"/>
      <c r="AH75" s="143"/>
      <c r="AI75" s="143"/>
      <c r="AJ75" s="143"/>
      <c r="AK75" s="148" t="s">
        <v>106</v>
      </c>
      <c r="AL75" s="161"/>
      <c r="AM75" s="161"/>
      <c r="AN75" s="161"/>
      <c r="AO75" s="161"/>
      <c r="AP75" s="161"/>
      <c r="AQ75" s="161"/>
      <c r="AR75" s="161"/>
      <c r="AS75" s="161"/>
      <c r="AT75" s="161"/>
    </row>
    <row r="76" ht="16.5" customHeight="1" spans="1:46">
      <c r="A76" s="140"/>
      <c r="B76" s="140" t="s">
        <v>231</v>
      </c>
      <c r="C76" s="141" t="s">
        <v>232</v>
      </c>
      <c r="D76" s="142" t="str">
        <f>法术大全!C633</f>
        <v>-</v>
      </c>
      <c r="E76" s="142" t="str">
        <f>法术大全!D633</f>
        <v>-</v>
      </c>
      <c r="F76" s="142"/>
      <c r="G76" s="142"/>
      <c r="H76" s="142" t="str">
        <f>法术大全!E633</f>
        <v>-</v>
      </c>
      <c r="I76" s="142"/>
      <c r="J76" s="147"/>
      <c r="K76" s="147"/>
      <c r="L76" s="147"/>
      <c r="M76" s="147"/>
      <c r="N76" s="147"/>
      <c r="O76" s="148" t="s">
        <v>106</v>
      </c>
      <c r="P76" s="149" t="str">
        <f>法术大全!F633</f>
        <v>-</v>
      </c>
      <c r="Q76" s="149"/>
      <c r="R76" s="149" t="str">
        <f>法术大全!G633</f>
        <v>-</v>
      </c>
      <c r="S76" s="149"/>
      <c r="T76" s="149"/>
      <c r="U76" s="149" t="str">
        <f>法术大全!L633</f>
        <v>-</v>
      </c>
      <c r="V76" s="149"/>
      <c r="W76" s="149"/>
      <c r="X76" s="149"/>
      <c r="Y76" s="149"/>
      <c r="Z76" s="148" t="s">
        <v>106</v>
      </c>
      <c r="AA76" s="157" t="str">
        <f>法术大全!H633</f>
        <v>-</v>
      </c>
      <c r="AB76" s="157" t="str">
        <f>法术大全!I633</f>
        <v>-</v>
      </c>
      <c r="AC76" s="157" t="str">
        <f>法术大全!J633</f>
        <v>-</v>
      </c>
      <c r="AD76" s="142" t="str">
        <f>法术大全!K633</f>
        <v>-</v>
      </c>
      <c r="AE76" s="142"/>
      <c r="AF76" s="142"/>
      <c r="AG76" s="142"/>
      <c r="AH76" s="142"/>
      <c r="AI76" s="142"/>
      <c r="AJ76" s="142"/>
      <c r="AK76" s="148" t="s">
        <v>106</v>
      </c>
      <c r="AL76" s="162"/>
      <c r="AM76" s="162"/>
      <c r="AN76" s="162"/>
      <c r="AO76" s="162"/>
      <c r="AP76" s="162"/>
      <c r="AQ76" s="162"/>
      <c r="AR76" s="162"/>
      <c r="AS76" s="162"/>
      <c r="AT76" s="162"/>
    </row>
    <row r="77" ht="16.5" customHeight="1" spans="1:46">
      <c r="A77" s="140"/>
      <c r="B77" s="140" t="s">
        <v>231</v>
      </c>
      <c r="C77" s="141" t="s">
        <v>232</v>
      </c>
      <c r="D77" s="143" t="str">
        <f>法术大全!C634</f>
        <v>-</v>
      </c>
      <c r="E77" s="143" t="str">
        <f>法术大全!D634</f>
        <v>-</v>
      </c>
      <c r="F77" s="143"/>
      <c r="G77" s="143"/>
      <c r="H77" s="143" t="str">
        <f>法术大全!E634</f>
        <v>-</v>
      </c>
      <c r="I77" s="143"/>
      <c r="J77" s="150"/>
      <c r="K77" s="150"/>
      <c r="L77" s="150"/>
      <c r="M77" s="150"/>
      <c r="N77" s="150"/>
      <c r="O77" s="148" t="s">
        <v>106</v>
      </c>
      <c r="P77" s="151" t="str">
        <f>法术大全!F634</f>
        <v>-</v>
      </c>
      <c r="Q77" s="151"/>
      <c r="R77" s="151" t="str">
        <f>法术大全!G634</f>
        <v>-</v>
      </c>
      <c r="S77" s="151"/>
      <c r="T77" s="151"/>
      <c r="U77" s="151" t="str">
        <f>法术大全!L634</f>
        <v>-</v>
      </c>
      <c r="V77" s="151"/>
      <c r="W77" s="151"/>
      <c r="X77" s="151"/>
      <c r="Y77" s="151"/>
      <c r="Z77" s="148" t="s">
        <v>106</v>
      </c>
      <c r="AA77" s="158" t="str">
        <f>法术大全!H634</f>
        <v>-</v>
      </c>
      <c r="AB77" s="158" t="str">
        <f>法术大全!I634</f>
        <v>-</v>
      </c>
      <c r="AC77" s="158" t="str">
        <f>法术大全!J634</f>
        <v>-</v>
      </c>
      <c r="AD77" s="143" t="str">
        <f>法术大全!K634</f>
        <v>-</v>
      </c>
      <c r="AE77" s="143"/>
      <c r="AF77" s="143"/>
      <c r="AG77" s="143"/>
      <c r="AH77" s="143"/>
      <c r="AI77" s="143"/>
      <c r="AJ77" s="143"/>
      <c r="AK77" s="148" t="s">
        <v>106</v>
      </c>
      <c r="AL77" s="161"/>
      <c r="AM77" s="161"/>
      <c r="AN77" s="161"/>
      <c r="AO77" s="161"/>
      <c r="AP77" s="161"/>
      <c r="AQ77" s="161"/>
      <c r="AR77" s="161"/>
      <c r="AS77" s="161"/>
      <c r="AT77" s="161"/>
    </row>
    <row r="78" ht="16.5" customHeight="1" spans="1:46">
      <c r="A78" s="140"/>
      <c r="B78" s="140" t="s">
        <v>231</v>
      </c>
      <c r="C78" s="141" t="s">
        <v>232</v>
      </c>
      <c r="D78" s="142" t="str">
        <f>法术大全!C635</f>
        <v>-</v>
      </c>
      <c r="E78" s="142" t="str">
        <f>法术大全!D635</f>
        <v>-</v>
      </c>
      <c r="F78" s="142"/>
      <c r="G78" s="142"/>
      <c r="H78" s="142" t="str">
        <f>法术大全!E635</f>
        <v>-</v>
      </c>
      <c r="I78" s="142"/>
      <c r="J78" s="147"/>
      <c r="K78" s="147"/>
      <c r="L78" s="147"/>
      <c r="M78" s="147"/>
      <c r="N78" s="147"/>
      <c r="O78" s="148" t="s">
        <v>106</v>
      </c>
      <c r="P78" s="149" t="str">
        <f>法术大全!F635</f>
        <v>-</v>
      </c>
      <c r="Q78" s="149"/>
      <c r="R78" s="149" t="str">
        <f>法术大全!G635</f>
        <v>-</v>
      </c>
      <c r="S78" s="149"/>
      <c r="T78" s="149"/>
      <c r="U78" s="149" t="str">
        <f>法术大全!L635</f>
        <v>-</v>
      </c>
      <c r="V78" s="149"/>
      <c r="W78" s="149"/>
      <c r="X78" s="149"/>
      <c r="Y78" s="149"/>
      <c r="Z78" s="148" t="s">
        <v>106</v>
      </c>
      <c r="AA78" s="157" t="str">
        <f>法术大全!H635</f>
        <v>-</v>
      </c>
      <c r="AB78" s="157" t="str">
        <f>法术大全!I635</f>
        <v>-</v>
      </c>
      <c r="AC78" s="157" t="str">
        <f>法术大全!J635</f>
        <v>-</v>
      </c>
      <c r="AD78" s="142" t="str">
        <f>法术大全!K635</f>
        <v>-</v>
      </c>
      <c r="AE78" s="142"/>
      <c r="AF78" s="142"/>
      <c r="AG78" s="142"/>
      <c r="AH78" s="142"/>
      <c r="AI78" s="142"/>
      <c r="AJ78" s="142"/>
      <c r="AK78" s="148" t="s">
        <v>106</v>
      </c>
      <c r="AL78" s="162"/>
      <c r="AM78" s="162"/>
      <c r="AN78" s="162"/>
      <c r="AO78" s="162"/>
      <c r="AP78" s="162"/>
      <c r="AQ78" s="162"/>
      <c r="AR78" s="162"/>
      <c r="AS78" s="162"/>
      <c r="AT78" s="162"/>
    </row>
    <row r="79" ht="16.5" customHeight="1" spans="1:46">
      <c r="A79" s="140"/>
      <c r="B79" s="140" t="s">
        <v>231</v>
      </c>
      <c r="C79" s="141" t="s">
        <v>232</v>
      </c>
      <c r="D79" s="143" t="str">
        <f>法术大全!C636</f>
        <v>-</v>
      </c>
      <c r="E79" s="143" t="str">
        <f>法术大全!D636</f>
        <v>-</v>
      </c>
      <c r="F79" s="143"/>
      <c r="G79" s="143"/>
      <c r="H79" s="143" t="str">
        <f>法术大全!E636</f>
        <v>-</v>
      </c>
      <c r="I79" s="143"/>
      <c r="J79" s="150"/>
      <c r="K79" s="150"/>
      <c r="L79" s="150"/>
      <c r="M79" s="150"/>
      <c r="N79" s="150"/>
      <c r="O79" s="148" t="s">
        <v>106</v>
      </c>
      <c r="P79" s="151" t="str">
        <f>法术大全!F636</f>
        <v>-</v>
      </c>
      <c r="Q79" s="151"/>
      <c r="R79" s="151" t="str">
        <f>法术大全!G636</f>
        <v>-</v>
      </c>
      <c r="S79" s="151"/>
      <c r="T79" s="151"/>
      <c r="U79" s="151" t="str">
        <f>法术大全!L636</f>
        <v>-</v>
      </c>
      <c r="V79" s="151"/>
      <c r="W79" s="151"/>
      <c r="X79" s="151"/>
      <c r="Y79" s="151"/>
      <c r="Z79" s="148" t="s">
        <v>106</v>
      </c>
      <c r="AA79" s="158" t="str">
        <f>法术大全!H636</f>
        <v>-</v>
      </c>
      <c r="AB79" s="158" t="str">
        <f>法术大全!I636</f>
        <v>-</v>
      </c>
      <c r="AC79" s="158" t="str">
        <f>法术大全!J636</f>
        <v>-</v>
      </c>
      <c r="AD79" s="143" t="str">
        <f>法术大全!K636</f>
        <v>-</v>
      </c>
      <c r="AE79" s="143"/>
      <c r="AF79" s="143"/>
      <c r="AG79" s="143"/>
      <c r="AH79" s="143"/>
      <c r="AI79" s="143"/>
      <c r="AJ79" s="143"/>
      <c r="AK79" s="148" t="s">
        <v>106</v>
      </c>
      <c r="AL79" s="161"/>
      <c r="AM79" s="161"/>
      <c r="AN79" s="161"/>
      <c r="AO79" s="161"/>
      <c r="AP79" s="161"/>
      <c r="AQ79" s="161"/>
      <c r="AR79" s="161"/>
      <c r="AS79" s="161"/>
      <c r="AT79" s="161"/>
    </row>
    <row r="80" ht="16.5" customHeight="1" spans="1:46">
      <c r="A80" s="137" t="s">
        <v>256</v>
      </c>
      <c r="B80" s="137"/>
      <c r="C80" s="137"/>
      <c r="D80" s="138" t="s">
        <v>42</v>
      </c>
      <c r="E80" s="137" t="s">
        <v>219</v>
      </c>
      <c r="F80" s="137"/>
      <c r="G80" s="137"/>
      <c r="H80" s="139" t="s">
        <v>220</v>
      </c>
      <c r="I80" s="139"/>
      <c r="J80" s="137" t="s">
        <v>221</v>
      </c>
      <c r="K80" s="137"/>
      <c r="L80" s="137"/>
      <c r="M80" s="137"/>
      <c r="N80" s="137"/>
      <c r="O80" s="152"/>
      <c r="P80" s="153" t="s">
        <v>222</v>
      </c>
      <c r="Q80" s="153"/>
      <c r="R80" s="153" t="s">
        <v>223</v>
      </c>
      <c r="S80" s="153"/>
      <c r="T80" s="153"/>
      <c r="U80" s="153" t="s">
        <v>224</v>
      </c>
      <c r="V80" s="153"/>
      <c r="W80" s="153"/>
      <c r="X80" s="153"/>
      <c r="Y80" s="153"/>
      <c r="Z80" s="152"/>
      <c r="AA80" s="159" t="s">
        <v>225</v>
      </c>
      <c r="AB80" s="159" t="s">
        <v>226</v>
      </c>
      <c r="AC80" s="159" t="s">
        <v>227</v>
      </c>
      <c r="AD80" s="139" t="s">
        <v>228</v>
      </c>
      <c r="AE80" s="139"/>
      <c r="AF80" s="139"/>
      <c r="AG80" s="139"/>
      <c r="AH80" s="139"/>
      <c r="AI80" s="139"/>
      <c r="AJ80" s="139"/>
      <c r="AK80" s="152"/>
      <c r="AL80" s="137" t="s">
        <v>229</v>
      </c>
      <c r="AM80" s="137"/>
      <c r="AN80" s="137"/>
      <c r="AO80" s="137"/>
      <c r="AP80" s="137"/>
      <c r="AQ80" s="137"/>
      <c r="AR80" s="137"/>
      <c r="AS80" s="137"/>
      <c r="AT80" s="137"/>
    </row>
    <row r="81" ht="16.5" customHeight="1" spans="1:46">
      <c r="A81" s="140"/>
      <c r="B81" s="140" t="s">
        <v>231</v>
      </c>
      <c r="C81" s="141" t="s">
        <v>232</v>
      </c>
      <c r="D81" s="142" t="str">
        <f>法术大全!C638</f>
        <v>-</v>
      </c>
      <c r="E81" s="142" t="str">
        <f>法术大全!D638</f>
        <v>-</v>
      </c>
      <c r="F81" s="142"/>
      <c r="G81" s="142"/>
      <c r="H81" s="142" t="str">
        <f>法术大全!E638</f>
        <v>-</v>
      </c>
      <c r="I81" s="142"/>
      <c r="J81" s="147"/>
      <c r="K81" s="147"/>
      <c r="L81" s="147"/>
      <c r="M81" s="147"/>
      <c r="N81" s="147"/>
      <c r="O81" s="148" t="s">
        <v>106</v>
      </c>
      <c r="P81" s="149" t="str">
        <f>法术大全!F638</f>
        <v>-</v>
      </c>
      <c r="Q81" s="149"/>
      <c r="R81" s="149" t="str">
        <f>法术大全!G638</f>
        <v>-</v>
      </c>
      <c r="S81" s="149"/>
      <c r="T81" s="149"/>
      <c r="U81" s="149" t="str">
        <f>法术大全!L638</f>
        <v>-</v>
      </c>
      <c r="V81" s="149"/>
      <c r="W81" s="149"/>
      <c r="X81" s="149"/>
      <c r="Y81" s="149"/>
      <c r="Z81" s="148" t="s">
        <v>106</v>
      </c>
      <c r="AA81" s="157" t="str">
        <f>法术大全!H638</f>
        <v>-</v>
      </c>
      <c r="AB81" s="157" t="str">
        <f>法术大全!I638</f>
        <v>-</v>
      </c>
      <c r="AC81" s="157" t="str">
        <f>法术大全!J638</f>
        <v>-</v>
      </c>
      <c r="AD81" s="142" t="str">
        <f>法术大全!K638</f>
        <v>-</v>
      </c>
      <c r="AE81" s="142"/>
      <c r="AF81" s="142"/>
      <c r="AG81" s="142"/>
      <c r="AH81" s="142"/>
      <c r="AI81" s="142"/>
      <c r="AJ81" s="142"/>
      <c r="AK81" s="148" t="s">
        <v>106</v>
      </c>
      <c r="AL81" s="162"/>
      <c r="AM81" s="162"/>
      <c r="AN81" s="162"/>
      <c r="AO81" s="162"/>
      <c r="AP81" s="162"/>
      <c r="AQ81" s="162"/>
      <c r="AR81" s="162"/>
      <c r="AS81" s="162"/>
      <c r="AT81" s="162"/>
    </row>
    <row r="82" ht="16.5" customHeight="1" spans="1:46">
      <c r="A82" s="140"/>
      <c r="B82" s="140" t="s">
        <v>231</v>
      </c>
      <c r="C82" s="141" t="s">
        <v>232</v>
      </c>
      <c r="D82" s="143" t="str">
        <f>法术大全!C639</f>
        <v>-</v>
      </c>
      <c r="E82" s="143" t="str">
        <f>法术大全!D639</f>
        <v>-</v>
      </c>
      <c r="F82" s="143"/>
      <c r="G82" s="143"/>
      <c r="H82" s="143" t="str">
        <f>法术大全!E639</f>
        <v>-</v>
      </c>
      <c r="I82" s="143"/>
      <c r="J82" s="150"/>
      <c r="K82" s="150"/>
      <c r="L82" s="150"/>
      <c r="M82" s="150"/>
      <c r="N82" s="150"/>
      <c r="O82" s="148" t="s">
        <v>106</v>
      </c>
      <c r="P82" s="151" t="str">
        <f>法术大全!F639</f>
        <v>-</v>
      </c>
      <c r="Q82" s="151"/>
      <c r="R82" s="151" t="str">
        <f>法术大全!G639</f>
        <v>-</v>
      </c>
      <c r="S82" s="151"/>
      <c r="T82" s="151"/>
      <c r="U82" s="151" t="str">
        <f>法术大全!L639</f>
        <v>-</v>
      </c>
      <c r="V82" s="151"/>
      <c r="W82" s="151"/>
      <c r="X82" s="151"/>
      <c r="Y82" s="151"/>
      <c r="Z82" s="148" t="s">
        <v>106</v>
      </c>
      <c r="AA82" s="158" t="str">
        <f>法术大全!H639</f>
        <v>-</v>
      </c>
      <c r="AB82" s="158" t="str">
        <f>法术大全!I639</f>
        <v>-</v>
      </c>
      <c r="AC82" s="158" t="str">
        <f>法术大全!J639</f>
        <v>-</v>
      </c>
      <c r="AD82" s="143" t="str">
        <f>法术大全!K639</f>
        <v>-</v>
      </c>
      <c r="AE82" s="143"/>
      <c r="AF82" s="143"/>
      <c r="AG82" s="143"/>
      <c r="AH82" s="143"/>
      <c r="AI82" s="143"/>
      <c r="AJ82" s="143"/>
      <c r="AK82" s="148" t="s">
        <v>106</v>
      </c>
      <c r="AL82" s="161"/>
      <c r="AM82" s="161"/>
      <c r="AN82" s="161"/>
      <c r="AO82" s="161"/>
      <c r="AP82" s="161"/>
      <c r="AQ82" s="161"/>
      <c r="AR82" s="161"/>
      <c r="AS82" s="161"/>
      <c r="AT82" s="161"/>
    </row>
    <row r="83" ht="16.5" customHeight="1" spans="1:46">
      <c r="A83" s="140"/>
      <c r="B83" s="140" t="s">
        <v>231</v>
      </c>
      <c r="C83" s="141" t="s">
        <v>232</v>
      </c>
      <c r="D83" s="142" t="str">
        <f>法术大全!C640</f>
        <v>-</v>
      </c>
      <c r="E83" s="142" t="str">
        <f>法术大全!D640</f>
        <v>-</v>
      </c>
      <c r="F83" s="142"/>
      <c r="G83" s="142"/>
      <c r="H83" s="142" t="str">
        <f>法术大全!E640</f>
        <v>-</v>
      </c>
      <c r="I83" s="142"/>
      <c r="J83" s="147"/>
      <c r="K83" s="147"/>
      <c r="L83" s="147"/>
      <c r="M83" s="147"/>
      <c r="N83" s="147"/>
      <c r="O83" s="148" t="s">
        <v>106</v>
      </c>
      <c r="P83" s="149" t="str">
        <f>法术大全!F640</f>
        <v>-</v>
      </c>
      <c r="Q83" s="149"/>
      <c r="R83" s="149" t="str">
        <f>法术大全!G640</f>
        <v>-</v>
      </c>
      <c r="S83" s="149"/>
      <c r="T83" s="149"/>
      <c r="U83" s="149" t="str">
        <f>法术大全!L640</f>
        <v>-</v>
      </c>
      <c r="V83" s="149"/>
      <c r="W83" s="149"/>
      <c r="X83" s="149"/>
      <c r="Y83" s="149"/>
      <c r="Z83" s="148" t="s">
        <v>106</v>
      </c>
      <c r="AA83" s="157" t="str">
        <f>法术大全!H640</f>
        <v>-</v>
      </c>
      <c r="AB83" s="157" t="str">
        <f>法术大全!I640</f>
        <v>-</v>
      </c>
      <c r="AC83" s="157" t="str">
        <f>法术大全!J640</f>
        <v>-</v>
      </c>
      <c r="AD83" s="142" t="str">
        <f>法术大全!K640</f>
        <v>-</v>
      </c>
      <c r="AE83" s="142"/>
      <c r="AF83" s="142"/>
      <c r="AG83" s="142"/>
      <c r="AH83" s="142"/>
      <c r="AI83" s="142"/>
      <c r="AJ83" s="142"/>
      <c r="AK83" s="148" t="s">
        <v>106</v>
      </c>
      <c r="AL83" s="162"/>
      <c r="AM83" s="162"/>
      <c r="AN83" s="162"/>
      <c r="AO83" s="162"/>
      <c r="AP83" s="162"/>
      <c r="AQ83" s="162"/>
      <c r="AR83" s="162"/>
      <c r="AS83" s="162"/>
      <c r="AT83" s="162"/>
    </row>
    <row r="84" ht="16.5" customHeight="1" spans="1:46">
      <c r="A84" s="140"/>
      <c r="B84" s="140" t="s">
        <v>231</v>
      </c>
      <c r="C84" s="141" t="s">
        <v>232</v>
      </c>
      <c r="D84" s="143" t="str">
        <f>法术大全!C641</f>
        <v>-</v>
      </c>
      <c r="E84" s="143" t="str">
        <f>法术大全!D641</f>
        <v>-</v>
      </c>
      <c r="F84" s="143"/>
      <c r="G84" s="143"/>
      <c r="H84" s="143" t="str">
        <f>法术大全!E641</f>
        <v>-</v>
      </c>
      <c r="I84" s="143"/>
      <c r="J84" s="150"/>
      <c r="K84" s="150"/>
      <c r="L84" s="150"/>
      <c r="M84" s="150"/>
      <c r="N84" s="150"/>
      <c r="O84" s="148" t="s">
        <v>106</v>
      </c>
      <c r="P84" s="151" t="str">
        <f>法术大全!F641</f>
        <v>-</v>
      </c>
      <c r="Q84" s="151"/>
      <c r="R84" s="151" t="str">
        <f>法术大全!G641</f>
        <v>-</v>
      </c>
      <c r="S84" s="151"/>
      <c r="T84" s="151"/>
      <c r="U84" s="151" t="str">
        <f>法术大全!L641</f>
        <v>-</v>
      </c>
      <c r="V84" s="151"/>
      <c r="W84" s="151"/>
      <c r="X84" s="151"/>
      <c r="Y84" s="151"/>
      <c r="Z84" s="148" t="s">
        <v>106</v>
      </c>
      <c r="AA84" s="158" t="str">
        <f>法术大全!H641</f>
        <v>-</v>
      </c>
      <c r="AB84" s="158" t="str">
        <f>法术大全!I641</f>
        <v>-</v>
      </c>
      <c r="AC84" s="158" t="str">
        <f>法术大全!J641</f>
        <v>-</v>
      </c>
      <c r="AD84" s="143" t="str">
        <f>法术大全!K641</f>
        <v>-</v>
      </c>
      <c r="AE84" s="143"/>
      <c r="AF84" s="143"/>
      <c r="AG84" s="143"/>
      <c r="AH84" s="143"/>
      <c r="AI84" s="143"/>
      <c r="AJ84" s="143"/>
      <c r="AK84" s="148" t="s">
        <v>106</v>
      </c>
      <c r="AL84" s="161"/>
      <c r="AM84" s="161"/>
      <c r="AN84" s="161"/>
      <c r="AO84" s="161"/>
      <c r="AP84" s="161"/>
      <c r="AQ84" s="161"/>
      <c r="AR84" s="161"/>
      <c r="AS84" s="161"/>
      <c r="AT84" s="161"/>
    </row>
    <row r="85" ht="16.5" customHeight="1" spans="1:46">
      <c r="A85" s="140"/>
      <c r="B85" s="140" t="s">
        <v>231</v>
      </c>
      <c r="C85" s="141" t="s">
        <v>232</v>
      </c>
      <c r="D85" s="142" t="str">
        <f>法术大全!C642</f>
        <v>-</v>
      </c>
      <c r="E85" s="142" t="str">
        <f>法术大全!D642</f>
        <v>-</v>
      </c>
      <c r="F85" s="142"/>
      <c r="G85" s="142"/>
      <c r="H85" s="142" t="str">
        <f>法术大全!E642</f>
        <v>-</v>
      </c>
      <c r="I85" s="142"/>
      <c r="J85" s="147"/>
      <c r="K85" s="147"/>
      <c r="L85" s="147"/>
      <c r="M85" s="147"/>
      <c r="N85" s="147"/>
      <c r="O85" s="148" t="s">
        <v>106</v>
      </c>
      <c r="P85" s="149" t="str">
        <f>法术大全!F642</f>
        <v>-</v>
      </c>
      <c r="Q85" s="149"/>
      <c r="R85" s="149" t="str">
        <f>法术大全!G642</f>
        <v>-</v>
      </c>
      <c r="S85" s="149"/>
      <c r="T85" s="149"/>
      <c r="U85" s="149" t="str">
        <f>法术大全!L642</f>
        <v>-</v>
      </c>
      <c r="V85" s="149"/>
      <c r="W85" s="149"/>
      <c r="X85" s="149"/>
      <c r="Y85" s="149"/>
      <c r="Z85" s="148" t="s">
        <v>106</v>
      </c>
      <c r="AA85" s="157" t="str">
        <f>法术大全!H642</f>
        <v>-</v>
      </c>
      <c r="AB85" s="157" t="str">
        <f>法术大全!I642</f>
        <v>-</v>
      </c>
      <c r="AC85" s="157" t="str">
        <f>法术大全!J642</f>
        <v>-</v>
      </c>
      <c r="AD85" s="142" t="str">
        <f>法术大全!K642</f>
        <v>-</v>
      </c>
      <c r="AE85" s="142"/>
      <c r="AF85" s="142"/>
      <c r="AG85" s="142"/>
      <c r="AH85" s="142"/>
      <c r="AI85" s="142"/>
      <c r="AJ85" s="142"/>
      <c r="AK85" s="148" t="s">
        <v>106</v>
      </c>
      <c r="AL85" s="162"/>
      <c r="AM85" s="162"/>
      <c r="AN85" s="162"/>
      <c r="AO85" s="162"/>
      <c r="AP85" s="162"/>
      <c r="AQ85" s="162"/>
      <c r="AR85" s="162"/>
      <c r="AS85" s="162"/>
      <c r="AT85" s="162"/>
    </row>
    <row r="86" ht="16.5" customHeight="1" spans="1:46">
      <c r="A86" s="140"/>
      <c r="B86" s="140" t="s">
        <v>231</v>
      </c>
      <c r="C86" s="141" t="s">
        <v>232</v>
      </c>
      <c r="D86" s="143" t="str">
        <f>法术大全!C643</f>
        <v>-</v>
      </c>
      <c r="E86" s="143" t="str">
        <f>法术大全!D643</f>
        <v>-</v>
      </c>
      <c r="F86" s="143"/>
      <c r="G86" s="143"/>
      <c r="H86" s="143" t="str">
        <f>法术大全!E643</f>
        <v>-</v>
      </c>
      <c r="I86" s="143"/>
      <c r="J86" s="150"/>
      <c r="K86" s="150"/>
      <c r="L86" s="150"/>
      <c r="M86" s="150"/>
      <c r="N86" s="150"/>
      <c r="O86" s="148" t="s">
        <v>106</v>
      </c>
      <c r="P86" s="151" t="str">
        <f>法术大全!F643</f>
        <v>-</v>
      </c>
      <c r="Q86" s="151"/>
      <c r="R86" s="151" t="str">
        <f>法术大全!G643</f>
        <v>-</v>
      </c>
      <c r="S86" s="151"/>
      <c r="T86" s="151"/>
      <c r="U86" s="151" t="str">
        <f>法术大全!L643</f>
        <v>-</v>
      </c>
      <c r="V86" s="151"/>
      <c r="W86" s="151"/>
      <c r="X86" s="151"/>
      <c r="Y86" s="151"/>
      <c r="Z86" s="148" t="s">
        <v>106</v>
      </c>
      <c r="AA86" s="158" t="str">
        <f>法术大全!H643</f>
        <v>-</v>
      </c>
      <c r="AB86" s="158" t="str">
        <f>法术大全!I643</f>
        <v>-</v>
      </c>
      <c r="AC86" s="158" t="str">
        <f>法术大全!J643</f>
        <v>-</v>
      </c>
      <c r="AD86" s="143" t="str">
        <f>法术大全!K643</f>
        <v>-</v>
      </c>
      <c r="AE86" s="143"/>
      <c r="AF86" s="143"/>
      <c r="AG86" s="143"/>
      <c r="AH86" s="143"/>
      <c r="AI86" s="143"/>
      <c r="AJ86" s="143"/>
      <c r="AK86" s="148" t="s">
        <v>106</v>
      </c>
      <c r="AL86" s="161"/>
      <c r="AM86" s="161"/>
      <c r="AN86" s="161"/>
      <c r="AO86" s="161"/>
      <c r="AP86" s="161"/>
      <c r="AQ86" s="161"/>
      <c r="AR86" s="161"/>
      <c r="AS86" s="161"/>
      <c r="AT86" s="161"/>
    </row>
    <row r="87" ht="16.5" customHeight="1" spans="1:46">
      <c r="A87" s="140"/>
      <c r="B87" s="140" t="s">
        <v>231</v>
      </c>
      <c r="C87" s="141" t="s">
        <v>232</v>
      </c>
      <c r="D87" s="142" t="str">
        <f>法术大全!C644</f>
        <v>-</v>
      </c>
      <c r="E87" s="142" t="str">
        <f>法术大全!D644</f>
        <v>-</v>
      </c>
      <c r="F87" s="142"/>
      <c r="G87" s="142"/>
      <c r="H87" s="142" t="str">
        <f>法术大全!E644</f>
        <v>-</v>
      </c>
      <c r="I87" s="142"/>
      <c r="J87" s="147"/>
      <c r="K87" s="147"/>
      <c r="L87" s="147"/>
      <c r="M87" s="147"/>
      <c r="N87" s="147"/>
      <c r="O87" s="148" t="s">
        <v>106</v>
      </c>
      <c r="P87" s="149" t="str">
        <f>法术大全!F644</f>
        <v>-</v>
      </c>
      <c r="Q87" s="149"/>
      <c r="R87" s="149" t="str">
        <f>法术大全!G644</f>
        <v>-</v>
      </c>
      <c r="S87" s="149"/>
      <c r="T87" s="149"/>
      <c r="U87" s="149" t="str">
        <f>法术大全!L644</f>
        <v>-</v>
      </c>
      <c r="V87" s="149"/>
      <c r="W87" s="149"/>
      <c r="X87" s="149"/>
      <c r="Y87" s="149"/>
      <c r="Z87" s="148" t="s">
        <v>106</v>
      </c>
      <c r="AA87" s="157" t="str">
        <f>法术大全!H644</f>
        <v>-</v>
      </c>
      <c r="AB87" s="157" t="str">
        <f>法术大全!I644</f>
        <v>-</v>
      </c>
      <c r="AC87" s="157" t="str">
        <f>法术大全!J644</f>
        <v>-</v>
      </c>
      <c r="AD87" s="142" t="str">
        <f>法术大全!K644</f>
        <v>-</v>
      </c>
      <c r="AE87" s="142"/>
      <c r="AF87" s="142"/>
      <c r="AG87" s="142"/>
      <c r="AH87" s="142"/>
      <c r="AI87" s="142"/>
      <c r="AJ87" s="142"/>
      <c r="AK87" s="148" t="s">
        <v>106</v>
      </c>
      <c r="AL87" s="162"/>
      <c r="AM87" s="162"/>
      <c r="AN87" s="162"/>
      <c r="AO87" s="162"/>
      <c r="AP87" s="162"/>
      <c r="AQ87" s="162"/>
      <c r="AR87" s="162"/>
      <c r="AS87" s="162"/>
      <c r="AT87" s="162"/>
    </row>
    <row r="88" ht="16.5" customHeight="1" spans="1:46">
      <c r="A88" s="140"/>
      <c r="B88" s="140" t="s">
        <v>231</v>
      </c>
      <c r="C88" s="141" t="s">
        <v>232</v>
      </c>
      <c r="D88" s="143" t="str">
        <f>法术大全!C645</f>
        <v>-</v>
      </c>
      <c r="E88" s="143" t="str">
        <f>法术大全!D645</f>
        <v>-</v>
      </c>
      <c r="F88" s="143"/>
      <c r="G88" s="143"/>
      <c r="H88" s="143" t="str">
        <f>法术大全!E645</f>
        <v>-</v>
      </c>
      <c r="I88" s="143"/>
      <c r="J88" s="150"/>
      <c r="K88" s="150"/>
      <c r="L88" s="150"/>
      <c r="M88" s="150"/>
      <c r="N88" s="150"/>
      <c r="O88" s="148" t="s">
        <v>106</v>
      </c>
      <c r="P88" s="151" t="str">
        <f>法术大全!F645</f>
        <v>-</v>
      </c>
      <c r="Q88" s="151"/>
      <c r="R88" s="151" t="str">
        <f>法术大全!G645</f>
        <v>-</v>
      </c>
      <c r="S88" s="151"/>
      <c r="T88" s="151"/>
      <c r="U88" s="151" t="str">
        <f>法术大全!L645</f>
        <v>-</v>
      </c>
      <c r="V88" s="151"/>
      <c r="W88" s="151"/>
      <c r="X88" s="151"/>
      <c r="Y88" s="151"/>
      <c r="Z88" s="148" t="s">
        <v>106</v>
      </c>
      <c r="AA88" s="158" t="str">
        <f>法术大全!H645</f>
        <v>-</v>
      </c>
      <c r="AB88" s="158" t="str">
        <f>法术大全!I645</f>
        <v>-</v>
      </c>
      <c r="AC88" s="158" t="str">
        <f>法术大全!J645</f>
        <v>-</v>
      </c>
      <c r="AD88" s="143" t="str">
        <f>法术大全!K645</f>
        <v>-</v>
      </c>
      <c r="AE88" s="143"/>
      <c r="AF88" s="143"/>
      <c r="AG88" s="143"/>
      <c r="AH88" s="143"/>
      <c r="AI88" s="143"/>
      <c r="AJ88" s="143"/>
      <c r="AK88" s="148" t="s">
        <v>106</v>
      </c>
      <c r="AL88" s="161"/>
      <c r="AM88" s="161"/>
      <c r="AN88" s="161"/>
      <c r="AO88" s="161"/>
      <c r="AP88" s="161"/>
      <c r="AQ88" s="161"/>
      <c r="AR88" s="161"/>
      <c r="AS88" s="161"/>
      <c r="AT88" s="161"/>
    </row>
    <row r="89" ht="16.5" customHeight="1" spans="1:46">
      <c r="A89" s="140"/>
      <c r="B89" s="140" t="s">
        <v>231</v>
      </c>
      <c r="C89" s="141" t="s">
        <v>232</v>
      </c>
      <c r="D89" s="142" t="str">
        <f>法术大全!C646</f>
        <v>-</v>
      </c>
      <c r="E89" s="142" t="str">
        <f>法术大全!D646</f>
        <v>-</v>
      </c>
      <c r="F89" s="142"/>
      <c r="G89" s="142"/>
      <c r="H89" s="142" t="str">
        <f>法术大全!E646</f>
        <v>-</v>
      </c>
      <c r="I89" s="142"/>
      <c r="J89" s="147"/>
      <c r="K89" s="147"/>
      <c r="L89" s="147"/>
      <c r="M89" s="147"/>
      <c r="N89" s="147"/>
      <c r="O89" s="148" t="s">
        <v>106</v>
      </c>
      <c r="P89" s="149" t="str">
        <f>法术大全!F646</f>
        <v>-</v>
      </c>
      <c r="Q89" s="149"/>
      <c r="R89" s="149" t="str">
        <f>法术大全!G646</f>
        <v>-</v>
      </c>
      <c r="S89" s="149"/>
      <c r="T89" s="149"/>
      <c r="U89" s="149" t="str">
        <f>法术大全!L646</f>
        <v>-</v>
      </c>
      <c r="V89" s="149"/>
      <c r="W89" s="149"/>
      <c r="X89" s="149"/>
      <c r="Y89" s="149"/>
      <c r="Z89" s="148" t="s">
        <v>106</v>
      </c>
      <c r="AA89" s="157" t="str">
        <f>法术大全!H646</f>
        <v>-</v>
      </c>
      <c r="AB89" s="157" t="str">
        <f>法术大全!I646</f>
        <v>-</v>
      </c>
      <c r="AC89" s="157" t="str">
        <f>法术大全!J646</f>
        <v>-</v>
      </c>
      <c r="AD89" s="142" t="str">
        <f>法术大全!K646</f>
        <v>-</v>
      </c>
      <c r="AE89" s="142"/>
      <c r="AF89" s="142"/>
      <c r="AG89" s="142"/>
      <c r="AH89" s="142"/>
      <c r="AI89" s="142"/>
      <c r="AJ89" s="142"/>
      <c r="AK89" s="148" t="s">
        <v>106</v>
      </c>
      <c r="AL89" s="162"/>
      <c r="AM89" s="162"/>
      <c r="AN89" s="162"/>
      <c r="AO89" s="162"/>
      <c r="AP89" s="162"/>
      <c r="AQ89" s="162"/>
      <c r="AR89" s="162"/>
      <c r="AS89" s="162"/>
      <c r="AT89" s="162"/>
    </row>
    <row r="90" ht="16.5" customHeight="1" spans="1:46">
      <c r="A90" s="140"/>
      <c r="B90" s="140" t="s">
        <v>231</v>
      </c>
      <c r="C90" s="141" t="s">
        <v>232</v>
      </c>
      <c r="D90" s="143" t="str">
        <f>法术大全!C647</f>
        <v>-</v>
      </c>
      <c r="E90" s="143" t="str">
        <f>法术大全!D647</f>
        <v>-</v>
      </c>
      <c r="F90" s="143"/>
      <c r="G90" s="143"/>
      <c r="H90" s="143" t="str">
        <f>法术大全!E647</f>
        <v>-</v>
      </c>
      <c r="I90" s="143"/>
      <c r="J90" s="150"/>
      <c r="K90" s="150"/>
      <c r="L90" s="150"/>
      <c r="M90" s="150"/>
      <c r="N90" s="150"/>
      <c r="O90" s="148" t="s">
        <v>106</v>
      </c>
      <c r="P90" s="151" t="str">
        <f>法术大全!F647</f>
        <v>-</v>
      </c>
      <c r="Q90" s="151"/>
      <c r="R90" s="151" t="str">
        <f>法术大全!G647</f>
        <v>-</v>
      </c>
      <c r="S90" s="151"/>
      <c r="T90" s="151"/>
      <c r="U90" s="151" t="str">
        <f>法术大全!L647</f>
        <v>-</v>
      </c>
      <c r="V90" s="151"/>
      <c r="W90" s="151"/>
      <c r="X90" s="151"/>
      <c r="Y90" s="151"/>
      <c r="Z90" s="148" t="s">
        <v>106</v>
      </c>
      <c r="AA90" s="158" t="str">
        <f>法术大全!H647</f>
        <v>-</v>
      </c>
      <c r="AB90" s="158" t="str">
        <f>法术大全!I647</f>
        <v>-</v>
      </c>
      <c r="AC90" s="158" t="str">
        <f>法术大全!J647</f>
        <v>-</v>
      </c>
      <c r="AD90" s="143" t="str">
        <f>法术大全!K647</f>
        <v>-</v>
      </c>
      <c r="AE90" s="143"/>
      <c r="AF90" s="143"/>
      <c r="AG90" s="143"/>
      <c r="AH90" s="143"/>
      <c r="AI90" s="143"/>
      <c r="AJ90" s="143"/>
      <c r="AK90" s="148" t="s">
        <v>106</v>
      </c>
      <c r="AL90" s="161"/>
      <c r="AM90" s="161"/>
      <c r="AN90" s="161"/>
      <c r="AO90" s="161"/>
      <c r="AP90" s="161"/>
      <c r="AQ90" s="161"/>
      <c r="AR90" s="161"/>
      <c r="AS90" s="161"/>
      <c r="AT90" s="161"/>
    </row>
    <row r="91" ht="16.5" customHeight="1" spans="1:46">
      <c r="A91" s="137" t="s">
        <v>257</v>
      </c>
      <c r="B91" s="137"/>
      <c r="C91" s="137"/>
      <c r="D91" s="138" t="s">
        <v>42</v>
      </c>
      <c r="E91" s="137" t="s">
        <v>219</v>
      </c>
      <c r="F91" s="137"/>
      <c r="G91" s="137"/>
      <c r="H91" s="139" t="s">
        <v>220</v>
      </c>
      <c r="I91" s="139"/>
      <c r="J91" s="137" t="s">
        <v>221</v>
      </c>
      <c r="K91" s="137"/>
      <c r="L91" s="137"/>
      <c r="M91" s="137"/>
      <c r="N91" s="137"/>
      <c r="O91" s="152"/>
      <c r="P91" s="153" t="s">
        <v>222</v>
      </c>
      <c r="Q91" s="153"/>
      <c r="R91" s="153" t="s">
        <v>223</v>
      </c>
      <c r="S91" s="153"/>
      <c r="T91" s="153"/>
      <c r="U91" s="153" t="s">
        <v>224</v>
      </c>
      <c r="V91" s="153"/>
      <c r="W91" s="153"/>
      <c r="X91" s="153"/>
      <c r="Y91" s="153"/>
      <c r="Z91" s="152"/>
      <c r="AA91" s="159" t="s">
        <v>225</v>
      </c>
      <c r="AB91" s="159" t="s">
        <v>226</v>
      </c>
      <c r="AC91" s="159" t="s">
        <v>227</v>
      </c>
      <c r="AD91" s="139" t="s">
        <v>228</v>
      </c>
      <c r="AE91" s="139"/>
      <c r="AF91" s="139"/>
      <c r="AG91" s="139"/>
      <c r="AH91" s="139"/>
      <c r="AI91" s="139"/>
      <c r="AJ91" s="139"/>
      <c r="AK91" s="152"/>
      <c r="AL91" s="137" t="s">
        <v>229</v>
      </c>
      <c r="AM91" s="137"/>
      <c r="AN91" s="137"/>
      <c r="AO91" s="137"/>
      <c r="AP91" s="137"/>
      <c r="AQ91" s="137"/>
      <c r="AR91" s="137"/>
      <c r="AS91" s="137"/>
      <c r="AT91" s="137"/>
    </row>
    <row r="92" ht="16.5" customHeight="1" spans="1:46">
      <c r="A92" s="140"/>
      <c r="B92" s="140" t="s">
        <v>231</v>
      </c>
      <c r="C92" s="141" t="s">
        <v>232</v>
      </c>
      <c r="D92" s="142" t="str">
        <f>法术大全!C649</f>
        <v>-</v>
      </c>
      <c r="E92" s="142" t="str">
        <f>法术大全!D649</f>
        <v>-</v>
      </c>
      <c r="F92" s="142"/>
      <c r="G92" s="142"/>
      <c r="H92" s="142" t="str">
        <f>法术大全!E649</f>
        <v>-</v>
      </c>
      <c r="I92" s="142"/>
      <c r="J92" s="147"/>
      <c r="K92" s="147"/>
      <c r="L92" s="147"/>
      <c r="M92" s="147"/>
      <c r="N92" s="147"/>
      <c r="O92" s="148" t="s">
        <v>106</v>
      </c>
      <c r="P92" s="149" t="str">
        <f>法术大全!F649</f>
        <v>-</v>
      </c>
      <c r="Q92" s="149"/>
      <c r="R92" s="149" t="str">
        <f>法术大全!G649</f>
        <v>-</v>
      </c>
      <c r="S92" s="149"/>
      <c r="T92" s="149"/>
      <c r="U92" s="149" t="str">
        <f>法术大全!L649</f>
        <v>-</v>
      </c>
      <c r="V92" s="149"/>
      <c r="W92" s="149"/>
      <c r="X92" s="149"/>
      <c r="Y92" s="149"/>
      <c r="Z92" s="148" t="s">
        <v>106</v>
      </c>
      <c r="AA92" s="157" t="str">
        <f>法术大全!H649</f>
        <v>-</v>
      </c>
      <c r="AB92" s="157" t="str">
        <f>法术大全!I649</f>
        <v>-</v>
      </c>
      <c r="AC92" s="157" t="str">
        <f>法术大全!J649</f>
        <v>-</v>
      </c>
      <c r="AD92" s="142" t="str">
        <f>法术大全!K649</f>
        <v>-</v>
      </c>
      <c r="AE92" s="142"/>
      <c r="AF92" s="142"/>
      <c r="AG92" s="142"/>
      <c r="AH92" s="142"/>
      <c r="AI92" s="142"/>
      <c r="AJ92" s="142"/>
      <c r="AK92" s="148" t="s">
        <v>106</v>
      </c>
      <c r="AL92" s="162"/>
      <c r="AM92" s="162"/>
      <c r="AN92" s="162"/>
      <c r="AO92" s="162"/>
      <c r="AP92" s="162"/>
      <c r="AQ92" s="162"/>
      <c r="AR92" s="162"/>
      <c r="AS92" s="162"/>
      <c r="AT92" s="162"/>
    </row>
    <row r="93" ht="16.5" customHeight="1" spans="1:46">
      <c r="A93" s="140"/>
      <c r="B93" s="140" t="s">
        <v>231</v>
      </c>
      <c r="C93" s="141" t="s">
        <v>232</v>
      </c>
      <c r="D93" s="143" t="str">
        <f>法术大全!C650</f>
        <v>-</v>
      </c>
      <c r="E93" s="143" t="str">
        <f>法术大全!D650</f>
        <v>-</v>
      </c>
      <c r="F93" s="143"/>
      <c r="G93" s="143"/>
      <c r="H93" s="143" t="str">
        <f>法术大全!E650</f>
        <v>-</v>
      </c>
      <c r="I93" s="143"/>
      <c r="J93" s="150"/>
      <c r="K93" s="150"/>
      <c r="L93" s="150"/>
      <c r="M93" s="150"/>
      <c r="N93" s="150"/>
      <c r="O93" s="148" t="s">
        <v>106</v>
      </c>
      <c r="P93" s="151" t="str">
        <f>法术大全!F650</f>
        <v>-</v>
      </c>
      <c r="Q93" s="151"/>
      <c r="R93" s="151" t="str">
        <f>法术大全!G650</f>
        <v>-</v>
      </c>
      <c r="S93" s="151"/>
      <c r="T93" s="151"/>
      <c r="U93" s="151" t="str">
        <f>法术大全!L650</f>
        <v>-</v>
      </c>
      <c r="V93" s="151"/>
      <c r="W93" s="151"/>
      <c r="X93" s="151"/>
      <c r="Y93" s="151"/>
      <c r="Z93" s="148" t="s">
        <v>106</v>
      </c>
      <c r="AA93" s="158" t="str">
        <f>法术大全!H650</f>
        <v>-</v>
      </c>
      <c r="AB93" s="158" t="str">
        <f>法术大全!I650</f>
        <v>-</v>
      </c>
      <c r="AC93" s="158" t="str">
        <f>法术大全!J650</f>
        <v>-</v>
      </c>
      <c r="AD93" s="143" t="str">
        <f>法术大全!K650</f>
        <v>-</v>
      </c>
      <c r="AE93" s="143"/>
      <c r="AF93" s="143"/>
      <c r="AG93" s="143"/>
      <c r="AH93" s="143"/>
      <c r="AI93" s="143"/>
      <c r="AJ93" s="143"/>
      <c r="AK93" s="148" t="s">
        <v>106</v>
      </c>
      <c r="AL93" s="161"/>
      <c r="AM93" s="161"/>
      <c r="AN93" s="161"/>
      <c r="AO93" s="161"/>
      <c r="AP93" s="161"/>
      <c r="AQ93" s="161"/>
      <c r="AR93" s="161"/>
      <c r="AS93" s="161"/>
      <c r="AT93" s="161"/>
    </row>
    <row r="94" ht="16.5" customHeight="1" spans="1:46">
      <c r="A94" s="140"/>
      <c r="B94" s="140" t="s">
        <v>231</v>
      </c>
      <c r="C94" s="141" t="s">
        <v>232</v>
      </c>
      <c r="D94" s="142" t="str">
        <f>法术大全!C651</f>
        <v>-</v>
      </c>
      <c r="E94" s="142" t="str">
        <f>法术大全!D651</f>
        <v>-</v>
      </c>
      <c r="F94" s="142"/>
      <c r="G94" s="142"/>
      <c r="H94" s="142" t="str">
        <f>法术大全!E651</f>
        <v>-</v>
      </c>
      <c r="I94" s="142"/>
      <c r="J94" s="147"/>
      <c r="K94" s="147"/>
      <c r="L94" s="147"/>
      <c r="M94" s="147"/>
      <c r="N94" s="147"/>
      <c r="O94" s="148" t="s">
        <v>106</v>
      </c>
      <c r="P94" s="149" t="str">
        <f>法术大全!F651</f>
        <v>-</v>
      </c>
      <c r="Q94" s="149"/>
      <c r="R94" s="149" t="str">
        <f>法术大全!G651</f>
        <v>-</v>
      </c>
      <c r="S94" s="149"/>
      <c r="T94" s="149"/>
      <c r="U94" s="149" t="str">
        <f>法术大全!L651</f>
        <v>-</v>
      </c>
      <c r="V94" s="149"/>
      <c r="W94" s="149"/>
      <c r="X94" s="149"/>
      <c r="Y94" s="149"/>
      <c r="Z94" s="148" t="s">
        <v>106</v>
      </c>
      <c r="AA94" s="157" t="str">
        <f>法术大全!H651</f>
        <v>-</v>
      </c>
      <c r="AB94" s="157" t="str">
        <f>法术大全!I651</f>
        <v>-</v>
      </c>
      <c r="AC94" s="157" t="str">
        <f>法术大全!J651</f>
        <v>-</v>
      </c>
      <c r="AD94" s="142" t="str">
        <f>法术大全!K651</f>
        <v>-</v>
      </c>
      <c r="AE94" s="142"/>
      <c r="AF94" s="142"/>
      <c r="AG94" s="142"/>
      <c r="AH94" s="142"/>
      <c r="AI94" s="142"/>
      <c r="AJ94" s="142"/>
      <c r="AK94" s="148" t="s">
        <v>106</v>
      </c>
      <c r="AL94" s="162"/>
      <c r="AM94" s="162"/>
      <c r="AN94" s="162"/>
      <c r="AO94" s="162"/>
      <c r="AP94" s="162"/>
      <c r="AQ94" s="162"/>
      <c r="AR94" s="162"/>
      <c r="AS94" s="162"/>
      <c r="AT94" s="162"/>
    </row>
    <row r="95" ht="16.5" customHeight="1" spans="1:46">
      <c r="A95" s="140"/>
      <c r="B95" s="140" t="s">
        <v>231</v>
      </c>
      <c r="C95" s="141" t="s">
        <v>232</v>
      </c>
      <c r="D95" s="143" t="str">
        <f>法术大全!C652</f>
        <v>-</v>
      </c>
      <c r="E95" s="143" t="str">
        <f>法术大全!D652</f>
        <v>-</v>
      </c>
      <c r="F95" s="143"/>
      <c r="G95" s="143"/>
      <c r="H95" s="143" t="str">
        <f>法术大全!E652</f>
        <v>-</v>
      </c>
      <c r="I95" s="143"/>
      <c r="J95" s="150"/>
      <c r="K95" s="150"/>
      <c r="L95" s="150"/>
      <c r="M95" s="150"/>
      <c r="N95" s="150"/>
      <c r="O95" s="148" t="s">
        <v>106</v>
      </c>
      <c r="P95" s="151" t="str">
        <f>法术大全!F652</f>
        <v>-</v>
      </c>
      <c r="Q95" s="151"/>
      <c r="R95" s="151" t="str">
        <f>法术大全!G652</f>
        <v>-</v>
      </c>
      <c r="S95" s="151"/>
      <c r="T95" s="151"/>
      <c r="U95" s="151" t="str">
        <f>法术大全!L652</f>
        <v>-</v>
      </c>
      <c r="V95" s="151"/>
      <c r="W95" s="151"/>
      <c r="X95" s="151"/>
      <c r="Y95" s="151"/>
      <c r="Z95" s="148" t="s">
        <v>106</v>
      </c>
      <c r="AA95" s="158" t="str">
        <f>法术大全!H652</f>
        <v>-</v>
      </c>
      <c r="AB95" s="158" t="str">
        <f>法术大全!I652</f>
        <v>-</v>
      </c>
      <c r="AC95" s="158" t="str">
        <f>法术大全!J652</f>
        <v>-</v>
      </c>
      <c r="AD95" s="143" t="str">
        <f>法术大全!K652</f>
        <v>-</v>
      </c>
      <c r="AE95" s="143"/>
      <c r="AF95" s="143"/>
      <c r="AG95" s="143"/>
      <c r="AH95" s="143"/>
      <c r="AI95" s="143"/>
      <c r="AJ95" s="143"/>
      <c r="AK95" s="148" t="s">
        <v>106</v>
      </c>
      <c r="AL95" s="161"/>
      <c r="AM95" s="161"/>
      <c r="AN95" s="161"/>
      <c r="AO95" s="161"/>
      <c r="AP95" s="161"/>
      <c r="AQ95" s="161"/>
      <c r="AR95" s="161"/>
      <c r="AS95" s="161"/>
      <c r="AT95" s="161"/>
    </row>
    <row r="96" ht="16.5" customHeight="1" spans="1:46">
      <c r="A96" s="140"/>
      <c r="B96" s="140" t="s">
        <v>231</v>
      </c>
      <c r="C96" s="141" t="s">
        <v>232</v>
      </c>
      <c r="D96" s="142" t="str">
        <f>法术大全!C653</f>
        <v>-</v>
      </c>
      <c r="E96" s="142" t="str">
        <f>法术大全!D653</f>
        <v>-</v>
      </c>
      <c r="F96" s="142"/>
      <c r="G96" s="142"/>
      <c r="H96" s="142" t="str">
        <f>法术大全!E653</f>
        <v>-</v>
      </c>
      <c r="I96" s="142"/>
      <c r="J96" s="147"/>
      <c r="K96" s="147"/>
      <c r="L96" s="147"/>
      <c r="M96" s="147"/>
      <c r="N96" s="147"/>
      <c r="O96" s="148" t="s">
        <v>106</v>
      </c>
      <c r="P96" s="149" t="str">
        <f>法术大全!F653</f>
        <v>-</v>
      </c>
      <c r="Q96" s="149"/>
      <c r="R96" s="149" t="str">
        <f>法术大全!G653</f>
        <v>-</v>
      </c>
      <c r="S96" s="149"/>
      <c r="T96" s="149"/>
      <c r="U96" s="149" t="str">
        <f>法术大全!L653</f>
        <v>-</v>
      </c>
      <c r="V96" s="149"/>
      <c r="W96" s="149"/>
      <c r="X96" s="149"/>
      <c r="Y96" s="149"/>
      <c r="Z96" s="148" t="s">
        <v>106</v>
      </c>
      <c r="AA96" s="157" t="str">
        <f>法术大全!H653</f>
        <v>-</v>
      </c>
      <c r="AB96" s="157" t="str">
        <f>法术大全!I653</f>
        <v>-</v>
      </c>
      <c r="AC96" s="157" t="str">
        <f>法术大全!J653</f>
        <v>-</v>
      </c>
      <c r="AD96" s="142" t="str">
        <f>法术大全!K653</f>
        <v>-</v>
      </c>
      <c r="AE96" s="142"/>
      <c r="AF96" s="142"/>
      <c r="AG96" s="142"/>
      <c r="AH96" s="142"/>
      <c r="AI96" s="142"/>
      <c r="AJ96" s="142"/>
      <c r="AK96" s="148" t="s">
        <v>106</v>
      </c>
      <c r="AL96" s="162"/>
      <c r="AM96" s="162"/>
      <c r="AN96" s="162"/>
      <c r="AO96" s="162"/>
      <c r="AP96" s="162"/>
      <c r="AQ96" s="162"/>
      <c r="AR96" s="162"/>
      <c r="AS96" s="162"/>
      <c r="AT96" s="162"/>
    </row>
    <row r="97" ht="16.5" customHeight="1" spans="1:46">
      <c r="A97" s="140"/>
      <c r="B97" s="140" t="s">
        <v>231</v>
      </c>
      <c r="C97" s="141" t="s">
        <v>232</v>
      </c>
      <c r="D97" s="143" t="str">
        <f>法术大全!C654</f>
        <v>-</v>
      </c>
      <c r="E97" s="143" t="str">
        <f>法术大全!D654</f>
        <v>-</v>
      </c>
      <c r="F97" s="143"/>
      <c r="G97" s="143"/>
      <c r="H97" s="143" t="str">
        <f>法术大全!E654</f>
        <v>-</v>
      </c>
      <c r="I97" s="143"/>
      <c r="J97" s="150"/>
      <c r="K97" s="150"/>
      <c r="L97" s="150"/>
      <c r="M97" s="150"/>
      <c r="N97" s="150"/>
      <c r="O97" s="148" t="s">
        <v>106</v>
      </c>
      <c r="P97" s="151" t="str">
        <f>法术大全!F654</f>
        <v>-</v>
      </c>
      <c r="Q97" s="151"/>
      <c r="R97" s="151" t="str">
        <f>法术大全!G654</f>
        <v>-</v>
      </c>
      <c r="S97" s="151"/>
      <c r="T97" s="151"/>
      <c r="U97" s="151" t="str">
        <f>法术大全!L654</f>
        <v>-</v>
      </c>
      <c r="V97" s="151"/>
      <c r="W97" s="151"/>
      <c r="X97" s="151"/>
      <c r="Y97" s="151"/>
      <c r="Z97" s="148" t="s">
        <v>106</v>
      </c>
      <c r="AA97" s="158" t="str">
        <f>法术大全!H654</f>
        <v>-</v>
      </c>
      <c r="AB97" s="158" t="str">
        <f>法术大全!I654</f>
        <v>-</v>
      </c>
      <c r="AC97" s="158" t="str">
        <f>法术大全!J654</f>
        <v>-</v>
      </c>
      <c r="AD97" s="143" t="str">
        <f>法术大全!K654</f>
        <v>-</v>
      </c>
      <c r="AE97" s="143"/>
      <c r="AF97" s="143"/>
      <c r="AG97" s="143"/>
      <c r="AH97" s="143"/>
      <c r="AI97" s="143"/>
      <c r="AJ97" s="143"/>
      <c r="AK97" s="148" t="s">
        <v>106</v>
      </c>
      <c r="AL97" s="161"/>
      <c r="AM97" s="161"/>
      <c r="AN97" s="161"/>
      <c r="AO97" s="161"/>
      <c r="AP97" s="161"/>
      <c r="AQ97" s="161"/>
      <c r="AR97" s="161"/>
      <c r="AS97" s="161"/>
      <c r="AT97" s="161"/>
    </row>
    <row r="98" ht="16.5" customHeight="1" spans="1:46">
      <c r="A98" s="140"/>
      <c r="B98" s="140" t="s">
        <v>231</v>
      </c>
      <c r="C98" s="141" t="s">
        <v>232</v>
      </c>
      <c r="D98" s="142" t="str">
        <f>法术大全!C655</f>
        <v>-</v>
      </c>
      <c r="E98" s="142" t="str">
        <f>法术大全!D655</f>
        <v>-</v>
      </c>
      <c r="F98" s="142"/>
      <c r="G98" s="142"/>
      <c r="H98" s="142" t="str">
        <f>法术大全!E655</f>
        <v>-</v>
      </c>
      <c r="I98" s="142"/>
      <c r="J98" s="147"/>
      <c r="K98" s="147"/>
      <c r="L98" s="147"/>
      <c r="M98" s="147"/>
      <c r="N98" s="147"/>
      <c r="O98" s="148" t="s">
        <v>106</v>
      </c>
      <c r="P98" s="149" t="str">
        <f>法术大全!F655</f>
        <v>-</v>
      </c>
      <c r="Q98" s="149"/>
      <c r="R98" s="149" t="str">
        <f>法术大全!G655</f>
        <v>-</v>
      </c>
      <c r="S98" s="149"/>
      <c r="T98" s="149"/>
      <c r="U98" s="149" t="str">
        <f>法术大全!L655</f>
        <v>-</v>
      </c>
      <c r="V98" s="149"/>
      <c r="W98" s="149"/>
      <c r="X98" s="149"/>
      <c r="Y98" s="149"/>
      <c r="Z98" s="148" t="s">
        <v>106</v>
      </c>
      <c r="AA98" s="157" t="str">
        <f>法术大全!H655</f>
        <v>-</v>
      </c>
      <c r="AB98" s="157" t="str">
        <f>法术大全!I655</f>
        <v>-</v>
      </c>
      <c r="AC98" s="157" t="str">
        <f>法术大全!J655</f>
        <v>-</v>
      </c>
      <c r="AD98" s="142" t="str">
        <f>法术大全!K655</f>
        <v>-</v>
      </c>
      <c r="AE98" s="142"/>
      <c r="AF98" s="142"/>
      <c r="AG98" s="142"/>
      <c r="AH98" s="142"/>
      <c r="AI98" s="142"/>
      <c r="AJ98" s="142"/>
      <c r="AK98" s="148" t="s">
        <v>106</v>
      </c>
      <c r="AL98" s="162"/>
      <c r="AM98" s="162"/>
      <c r="AN98" s="162"/>
      <c r="AO98" s="162"/>
      <c r="AP98" s="162"/>
      <c r="AQ98" s="162"/>
      <c r="AR98" s="162"/>
      <c r="AS98" s="162"/>
      <c r="AT98" s="162"/>
    </row>
    <row r="99" ht="16.5" customHeight="1" spans="1:46">
      <c r="A99" s="140"/>
      <c r="B99" s="140" t="s">
        <v>231</v>
      </c>
      <c r="C99" s="141" t="s">
        <v>232</v>
      </c>
      <c r="D99" s="143" t="str">
        <f>法术大全!C656</f>
        <v>-</v>
      </c>
      <c r="E99" s="143" t="str">
        <f>法术大全!D656</f>
        <v>-</v>
      </c>
      <c r="F99" s="143"/>
      <c r="G99" s="143"/>
      <c r="H99" s="143" t="str">
        <f>法术大全!E656</f>
        <v>-</v>
      </c>
      <c r="I99" s="143"/>
      <c r="J99" s="150"/>
      <c r="K99" s="150"/>
      <c r="L99" s="150"/>
      <c r="M99" s="150"/>
      <c r="N99" s="150"/>
      <c r="O99" s="148" t="s">
        <v>106</v>
      </c>
      <c r="P99" s="151" t="str">
        <f>法术大全!F656</f>
        <v>-</v>
      </c>
      <c r="Q99" s="151"/>
      <c r="R99" s="151" t="str">
        <f>法术大全!G656</f>
        <v>-</v>
      </c>
      <c r="S99" s="151"/>
      <c r="T99" s="151"/>
      <c r="U99" s="151" t="str">
        <f>法术大全!L656</f>
        <v>-</v>
      </c>
      <c r="V99" s="151"/>
      <c r="W99" s="151"/>
      <c r="X99" s="151"/>
      <c r="Y99" s="151"/>
      <c r="Z99" s="148" t="s">
        <v>106</v>
      </c>
      <c r="AA99" s="158" t="str">
        <f>法术大全!H656</f>
        <v>-</v>
      </c>
      <c r="AB99" s="158" t="str">
        <f>法术大全!I656</f>
        <v>-</v>
      </c>
      <c r="AC99" s="158" t="str">
        <f>法术大全!J656</f>
        <v>-</v>
      </c>
      <c r="AD99" s="143" t="str">
        <f>法术大全!K656</f>
        <v>-</v>
      </c>
      <c r="AE99" s="143"/>
      <c r="AF99" s="143"/>
      <c r="AG99" s="143"/>
      <c r="AH99" s="143"/>
      <c r="AI99" s="143"/>
      <c r="AJ99" s="143"/>
      <c r="AK99" s="148" t="s">
        <v>106</v>
      </c>
      <c r="AL99" s="161"/>
      <c r="AM99" s="161"/>
      <c r="AN99" s="161"/>
      <c r="AO99" s="161"/>
      <c r="AP99" s="161"/>
      <c r="AQ99" s="161"/>
      <c r="AR99" s="161"/>
      <c r="AS99" s="161"/>
      <c r="AT99" s="161"/>
    </row>
    <row r="100" ht="16.5" customHeight="1" spans="1:46">
      <c r="A100" s="140"/>
      <c r="B100" s="140" t="s">
        <v>231</v>
      </c>
      <c r="C100" s="141" t="s">
        <v>232</v>
      </c>
      <c r="D100" s="142" t="str">
        <f>法术大全!C657</f>
        <v>-</v>
      </c>
      <c r="E100" s="142" t="str">
        <f>法术大全!D657</f>
        <v>-</v>
      </c>
      <c r="F100" s="142"/>
      <c r="G100" s="142"/>
      <c r="H100" s="142" t="str">
        <f>法术大全!E657</f>
        <v>-</v>
      </c>
      <c r="I100" s="142"/>
      <c r="J100" s="147"/>
      <c r="K100" s="147"/>
      <c r="L100" s="147"/>
      <c r="M100" s="147"/>
      <c r="N100" s="147"/>
      <c r="O100" s="148" t="s">
        <v>106</v>
      </c>
      <c r="P100" s="149" t="str">
        <f>法术大全!F657</f>
        <v>-</v>
      </c>
      <c r="Q100" s="149"/>
      <c r="R100" s="149" t="str">
        <f>法术大全!G657</f>
        <v>-</v>
      </c>
      <c r="S100" s="149"/>
      <c r="T100" s="149"/>
      <c r="U100" s="149" t="str">
        <f>法术大全!L657</f>
        <v>-</v>
      </c>
      <c r="V100" s="149"/>
      <c r="W100" s="149"/>
      <c r="X100" s="149"/>
      <c r="Y100" s="149"/>
      <c r="Z100" s="148" t="s">
        <v>106</v>
      </c>
      <c r="AA100" s="157" t="str">
        <f>法术大全!H657</f>
        <v>-</v>
      </c>
      <c r="AB100" s="157" t="str">
        <f>法术大全!I657</f>
        <v>-</v>
      </c>
      <c r="AC100" s="157" t="str">
        <f>法术大全!J657</f>
        <v>-</v>
      </c>
      <c r="AD100" s="142" t="str">
        <f>法术大全!K657</f>
        <v>-</v>
      </c>
      <c r="AE100" s="142"/>
      <c r="AF100" s="142"/>
      <c r="AG100" s="142"/>
      <c r="AH100" s="142"/>
      <c r="AI100" s="142"/>
      <c r="AJ100" s="142"/>
      <c r="AK100" s="148" t="s">
        <v>106</v>
      </c>
      <c r="AL100" s="162"/>
      <c r="AM100" s="162"/>
      <c r="AN100" s="162"/>
      <c r="AO100" s="162"/>
      <c r="AP100" s="162"/>
      <c r="AQ100" s="162"/>
      <c r="AR100" s="162"/>
      <c r="AS100" s="162"/>
      <c r="AT100" s="162"/>
    </row>
    <row r="101" ht="14.5" spans="1:46">
      <c r="A101" s="140"/>
      <c r="B101" s="140" t="s">
        <v>231</v>
      </c>
      <c r="C101" s="141" t="s">
        <v>232</v>
      </c>
      <c r="D101" s="143" t="str">
        <f>法术大全!C658</f>
        <v>-</v>
      </c>
      <c r="E101" s="143" t="str">
        <f>法术大全!D658</f>
        <v>-</v>
      </c>
      <c r="F101" s="143"/>
      <c r="G101" s="143"/>
      <c r="H101" s="143" t="str">
        <f>法术大全!E658</f>
        <v>-</v>
      </c>
      <c r="I101" s="143"/>
      <c r="J101" s="150"/>
      <c r="K101" s="150"/>
      <c r="L101" s="150"/>
      <c r="M101" s="150"/>
      <c r="N101" s="150"/>
      <c r="O101" s="148" t="s">
        <v>106</v>
      </c>
      <c r="P101" s="151" t="str">
        <f>法术大全!F658</f>
        <v>-</v>
      </c>
      <c r="Q101" s="151"/>
      <c r="R101" s="151" t="str">
        <f>法术大全!G658</f>
        <v>-</v>
      </c>
      <c r="S101" s="151"/>
      <c r="T101" s="151"/>
      <c r="U101" s="151" t="str">
        <f>法术大全!L658</f>
        <v>-</v>
      </c>
      <c r="V101" s="151"/>
      <c r="W101" s="151"/>
      <c r="X101" s="151"/>
      <c r="Y101" s="151"/>
      <c r="Z101" s="148" t="s">
        <v>106</v>
      </c>
      <c r="AA101" s="158" t="str">
        <f>法术大全!H658</f>
        <v>-</v>
      </c>
      <c r="AB101" s="158" t="str">
        <f>法术大全!I658</f>
        <v>-</v>
      </c>
      <c r="AC101" s="158" t="str">
        <f>法术大全!J658</f>
        <v>-</v>
      </c>
      <c r="AD101" s="143" t="str">
        <f>法术大全!K658</f>
        <v>-</v>
      </c>
      <c r="AE101" s="143"/>
      <c r="AF101" s="143"/>
      <c r="AG101" s="143"/>
      <c r="AH101" s="143"/>
      <c r="AI101" s="143"/>
      <c r="AJ101" s="143"/>
      <c r="AK101" s="148" t="s">
        <v>106</v>
      </c>
      <c r="AL101" s="161"/>
      <c r="AM101" s="161"/>
      <c r="AN101" s="161"/>
      <c r="AO101" s="161"/>
      <c r="AP101" s="161"/>
      <c r="AQ101" s="161"/>
      <c r="AR101" s="161"/>
      <c r="AS101" s="161"/>
      <c r="AT101" s="161"/>
    </row>
    <row r="102" spans="1:46">
      <c r="A102" s="137" t="s">
        <v>258</v>
      </c>
      <c r="B102" s="137"/>
      <c r="C102" s="137"/>
      <c r="D102" s="138" t="s">
        <v>42</v>
      </c>
      <c r="E102" s="137" t="s">
        <v>219</v>
      </c>
      <c r="F102" s="137"/>
      <c r="G102" s="137"/>
      <c r="H102" s="139" t="s">
        <v>220</v>
      </c>
      <c r="I102" s="139"/>
      <c r="J102" s="137" t="s">
        <v>221</v>
      </c>
      <c r="K102" s="137"/>
      <c r="L102" s="137"/>
      <c r="M102" s="137"/>
      <c r="N102" s="137"/>
      <c r="O102" s="152"/>
      <c r="P102" s="153" t="s">
        <v>222</v>
      </c>
      <c r="Q102" s="153"/>
      <c r="R102" s="153" t="s">
        <v>223</v>
      </c>
      <c r="S102" s="153"/>
      <c r="T102" s="153"/>
      <c r="U102" s="153" t="s">
        <v>224</v>
      </c>
      <c r="V102" s="153"/>
      <c r="W102" s="153"/>
      <c r="X102" s="153"/>
      <c r="Y102" s="153"/>
      <c r="Z102" s="152"/>
      <c r="AA102" s="159" t="s">
        <v>225</v>
      </c>
      <c r="AB102" s="159" t="s">
        <v>226</v>
      </c>
      <c r="AC102" s="159" t="s">
        <v>227</v>
      </c>
      <c r="AD102" s="139" t="s">
        <v>228</v>
      </c>
      <c r="AE102" s="139"/>
      <c r="AF102" s="139"/>
      <c r="AG102" s="139"/>
      <c r="AH102" s="139"/>
      <c r="AI102" s="139"/>
      <c r="AJ102" s="139"/>
      <c r="AK102" s="152"/>
      <c r="AL102" s="137" t="s">
        <v>229</v>
      </c>
      <c r="AM102" s="137"/>
      <c r="AN102" s="137"/>
      <c r="AO102" s="137"/>
      <c r="AP102" s="137"/>
      <c r="AQ102" s="137"/>
      <c r="AR102" s="137"/>
      <c r="AS102" s="137"/>
      <c r="AT102" s="137"/>
    </row>
    <row r="103" ht="14.5" spans="1:46">
      <c r="A103" s="140"/>
      <c r="B103" s="140" t="s">
        <v>231</v>
      </c>
      <c r="C103" s="141" t="s">
        <v>232</v>
      </c>
      <c r="D103" s="142" t="str">
        <f>法术大全!C660</f>
        <v>-</v>
      </c>
      <c r="E103" s="142" t="str">
        <f>法术大全!D660</f>
        <v>-</v>
      </c>
      <c r="F103" s="142"/>
      <c r="G103" s="142"/>
      <c r="H103" s="142" t="str">
        <f>法术大全!E660</f>
        <v>-</v>
      </c>
      <c r="I103" s="142"/>
      <c r="J103" s="147"/>
      <c r="K103" s="147"/>
      <c r="L103" s="147"/>
      <c r="M103" s="147"/>
      <c r="N103" s="147"/>
      <c r="O103" s="148" t="s">
        <v>106</v>
      </c>
      <c r="P103" s="149" t="str">
        <f>法术大全!F660</f>
        <v>-</v>
      </c>
      <c r="Q103" s="149"/>
      <c r="R103" s="149" t="str">
        <f>法术大全!G660</f>
        <v>-</v>
      </c>
      <c r="S103" s="149"/>
      <c r="T103" s="149"/>
      <c r="U103" s="149" t="str">
        <f>法术大全!L660</f>
        <v>-</v>
      </c>
      <c r="V103" s="149"/>
      <c r="W103" s="149"/>
      <c r="X103" s="149"/>
      <c r="Y103" s="149"/>
      <c r="Z103" s="148" t="s">
        <v>106</v>
      </c>
      <c r="AA103" s="157" t="str">
        <f>法术大全!H660</f>
        <v>-</v>
      </c>
      <c r="AB103" s="157" t="str">
        <f>法术大全!I660</f>
        <v>-</v>
      </c>
      <c r="AC103" s="157" t="str">
        <f>法术大全!J660</f>
        <v>-</v>
      </c>
      <c r="AD103" s="142" t="str">
        <f>法术大全!K660</f>
        <v>-</v>
      </c>
      <c r="AE103" s="142"/>
      <c r="AF103" s="142"/>
      <c r="AG103" s="142"/>
      <c r="AH103" s="142"/>
      <c r="AI103" s="142"/>
      <c r="AJ103" s="142"/>
      <c r="AK103" s="148" t="s">
        <v>106</v>
      </c>
      <c r="AL103" s="162"/>
      <c r="AM103" s="162"/>
      <c r="AN103" s="162"/>
      <c r="AO103" s="162"/>
      <c r="AP103" s="162"/>
      <c r="AQ103" s="162"/>
      <c r="AR103" s="162"/>
      <c r="AS103" s="162"/>
      <c r="AT103" s="162"/>
    </row>
    <row r="104" ht="14.5" spans="1:46">
      <c r="A104" s="140"/>
      <c r="B104" s="140" t="s">
        <v>231</v>
      </c>
      <c r="C104" s="141" t="s">
        <v>232</v>
      </c>
      <c r="D104" s="143" t="str">
        <f>法术大全!C661</f>
        <v>-</v>
      </c>
      <c r="E104" s="143" t="str">
        <f>法术大全!D661</f>
        <v>-</v>
      </c>
      <c r="F104" s="143"/>
      <c r="G104" s="143"/>
      <c r="H104" s="143" t="str">
        <f>法术大全!E661</f>
        <v>-</v>
      </c>
      <c r="I104" s="143"/>
      <c r="J104" s="150"/>
      <c r="K104" s="150"/>
      <c r="L104" s="150"/>
      <c r="M104" s="150"/>
      <c r="N104" s="150"/>
      <c r="O104" s="148" t="s">
        <v>106</v>
      </c>
      <c r="P104" s="151" t="str">
        <f>法术大全!F661</f>
        <v>-</v>
      </c>
      <c r="Q104" s="151"/>
      <c r="R104" s="151" t="str">
        <f>法术大全!G661</f>
        <v>-</v>
      </c>
      <c r="S104" s="151"/>
      <c r="T104" s="151"/>
      <c r="U104" s="151" t="str">
        <f>法术大全!L661</f>
        <v>-</v>
      </c>
      <c r="V104" s="151"/>
      <c r="W104" s="151"/>
      <c r="X104" s="151"/>
      <c r="Y104" s="151"/>
      <c r="Z104" s="148" t="s">
        <v>106</v>
      </c>
      <c r="AA104" s="158" t="str">
        <f>法术大全!H661</f>
        <v>-</v>
      </c>
      <c r="AB104" s="158" t="str">
        <f>法术大全!I661</f>
        <v>-</v>
      </c>
      <c r="AC104" s="158" t="str">
        <f>法术大全!J661</f>
        <v>-</v>
      </c>
      <c r="AD104" s="143" t="str">
        <f>法术大全!K661</f>
        <v>-</v>
      </c>
      <c r="AE104" s="143"/>
      <c r="AF104" s="143"/>
      <c r="AG104" s="143"/>
      <c r="AH104" s="143"/>
      <c r="AI104" s="143"/>
      <c r="AJ104" s="143"/>
      <c r="AK104" s="148" t="s">
        <v>106</v>
      </c>
      <c r="AL104" s="161"/>
      <c r="AM104" s="161"/>
      <c r="AN104" s="161"/>
      <c r="AO104" s="161"/>
      <c r="AP104" s="161"/>
      <c r="AQ104" s="161"/>
      <c r="AR104" s="161"/>
      <c r="AS104" s="161"/>
      <c r="AT104" s="161"/>
    </row>
    <row r="105" ht="14.5" spans="1:46">
      <c r="A105" s="140"/>
      <c r="B105" s="140" t="s">
        <v>231</v>
      </c>
      <c r="C105" s="141" t="s">
        <v>232</v>
      </c>
      <c r="D105" s="142" t="str">
        <f>法术大全!C662</f>
        <v>-</v>
      </c>
      <c r="E105" s="142" t="str">
        <f>法术大全!D662</f>
        <v>-</v>
      </c>
      <c r="F105" s="142"/>
      <c r="G105" s="142"/>
      <c r="H105" s="142" t="str">
        <f>法术大全!E662</f>
        <v>-</v>
      </c>
      <c r="I105" s="142"/>
      <c r="J105" s="147"/>
      <c r="K105" s="147"/>
      <c r="L105" s="147"/>
      <c r="M105" s="147"/>
      <c r="N105" s="147"/>
      <c r="O105" s="148" t="s">
        <v>106</v>
      </c>
      <c r="P105" s="149" t="str">
        <f>法术大全!F662</f>
        <v>-</v>
      </c>
      <c r="Q105" s="149"/>
      <c r="R105" s="149" t="str">
        <f>法术大全!G662</f>
        <v>-</v>
      </c>
      <c r="S105" s="149"/>
      <c r="T105" s="149"/>
      <c r="U105" s="149" t="str">
        <f>法术大全!L662</f>
        <v>-</v>
      </c>
      <c r="V105" s="149"/>
      <c r="W105" s="149"/>
      <c r="X105" s="149"/>
      <c r="Y105" s="149"/>
      <c r="Z105" s="148" t="s">
        <v>106</v>
      </c>
      <c r="AA105" s="157" t="str">
        <f>法术大全!H662</f>
        <v>-</v>
      </c>
      <c r="AB105" s="157" t="str">
        <f>法术大全!I662</f>
        <v>-</v>
      </c>
      <c r="AC105" s="157" t="str">
        <f>法术大全!J662</f>
        <v>-</v>
      </c>
      <c r="AD105" s="142" t="str">
        <f>法术大全!K662</f>
        <v>-</v>
      </c>
      <c r="AE105" s="142"/>
      <c r="AF105" s="142"/>
      <c r="AG105" s="142"/>
      <c r="AH105" s="142"/>
      <c r="AI105" s="142"/>
      <c r="AJ105" s="142"/>
      <c r="AK105" s="148" t="s">
        <v>106</v>
      </c>
      <c r="AL105" s="162"/>
      <c r="AM105" s="162"/>
      <c r="AN105" s="162"/>
      <c r="AO105" s="162"/>
      <c r="AP105" s="162"/>
      <c r="AQ105" s="162"/>
      <c r="AR105" s="162"/>
      <c r="AS105" s="162"/>
      <c r="AT105" s="162"/>
    </row>
    <row r="106" ht="14.5" spans="1:46">
      <c r="A106" s="140"/>
      <c r="B106" s="140" t="s">
        <v>231</v>
      </c>
      <c r="C106" s="141" t="s">
        <v>232</v>
      </c>
      <c r="D106" s="143" t="str">
        <f>法术大全!C663</f>
        <v>-</v>
      </c>
      <c r="E106" s="143" t="str">
        <f>法术大全!D663</f>
        <v>-</v>
      </c>
      <c r="F106" s="143"/>
      <c r="G106" s="143"/>
      <c r="H106" s="143" t="str">
        <f>法术大全!E663</f>
        <v>-</v>
      </c>
      <c r="I106" s="143"/>
      <c r="J106" s="150"/>
      <c r="K106" s="150"/>
      <c r="L106" s="150"/>
      <c r="M106" s="150"/>
      <c r="N106" s="150"/>
      <c r="O106" s="148" t="s">
        <v>106</v>
      </c>
      <c r="P106" s="151" t="str">
        <f>法术大全!F663</f>
        <v>-</v>
      </c>
      <c r="Q106" s="151"/>
      <c r="R106" s="151" t="str">
        <f>法术大全!G663</f>
        <v>-</v>
      </c>
      <c r="S106" s="151"/>
      <c r="T106" s="151"/>
      <c r="U106" s="151" t="str">
        <f>法术大全!L663</f>
        <v>-</v>
      </c>
      <c r="V106" s="151"/>
      <c r="W106" s="151"/>
      <c r="X106" s="151"/>
      <c r="Y106" s="151"/>
      <c r="Z106" s="148" t="s">
        <v>106</v>
      </c>
      <c r="AA106" s="158" t="str">
        <f>法术大全!H663</f>
        <v>-</v>
      </c>
      <c r="AB106" s="158" t="str">
        <f>法术大全!I663</f>
        <v>-</v>
      </c>
      <c r="AC106" s="158" t="str">
        <f>法术大全!J663</f>
        <v>-</v>
      </c>
      <c r="AD106" s="143" t="str">
        <f>法术大全!K663</f>
        <v>-</v>
      </c>
      <c r="AE106" s="143"/>
      <c r="AF106" s="143"/>
      <c r="AG106" s="143"/>
      <c r="AH106" s="143"/>
      <c r="AI106" s="143"/>
      <c r="AJ106" s="143"/>
      <c r="AK106" s="148" t="s">
        <v>106</v>
      </c>
      <c r="AL106" s="161"/>
      <c r="AM106" s="161"/>
      <c r="AN106" s="161"/>
      <c r="AO106" s="161"/>
      <c r="AP106" s="161"/>
      <c r="AQ106" s="161"/>
      <c r="AR106" s="161"/>
      <c r="AS106" s="161"/>
      <c r="AT106" s="161"/>
    </row>
    <row r="107" ht="14.5" spans="1:46">
      <c r="A107" s="140"/>
      <c r="B107" s="140" t="s">
        <v>231</v>
      </c>
      <c r="C107" s="141" t="s">
        <v>232</v>
      </c>
      <c r="D107" s="142" t="str">
        <f>法术大全!C664</f>
        <v>-</v>
      </c>
      <c r="E107" s="142" t="str">
        <f>法术大全!D664</f>
        <v>-</v>
      </c>
      <c r="F107" s="142"/>
      <c r="G107" s="142"/>
      <c r="H107" s="142" t="str">
        <f>法术大全!E664</f>
        <v>-</v>
      </c>
      <c r="I107" s="142"/>
      <c r="J107" s="147"/>
      <c r="K107" s="147"/>
      <c r="L107" s="147"/>
      <c r="M107" s="147"/>
      <c r="N107" s="147"/>
      <c r="O107" s="148" t="s">
        <v>106</v>
      </c>
      <c r="P107" s="149" t="str">
        <f>法术大全!F664</f>
        <v>-</v>
      </c>
      <c r="Q107" s="149"/>
      <c r="R107" s="149" t="str">
        <f>法术大全!G664</f>
        <v>-</v>
      </c>
      <c r="S107" s="149"/>
      <c r="T107" s="149"/>
      <c r="U107" s="149" t="str">
        <f>法术大全!L664</f>
        <v>-</v>
      </c>
      <c r="V107" s="149"/>
      <c r="W107" s="149"/>
      <c r="X107" s="149"/>
      <c r="Y107" s="149"/>
      <c r="Z107" s="148" t="s">
        <v>106</v>
      </c>
      <c r="AA107" s="157" t="str">
        <f>法术大全!H664</f>
        <v>-</v>
      </c>
      <c r="AB107" s="157" t="str">
        <f>法术大全!I664</f>
        <v>-</v>
      </c>
      <c r="AC107" s="157" t="str">
        <f>法术大全!J664</f>
        <v>-</v>
      </c>
      <c r="AD107" s="142" t="str">
        <f>法术大全!K664</f>
        <v>-</v>
      </c>
      <c r="AE107" s="142"/>
      <c r="AF107" s="142"/>
      <c r="AG107" s="142"/>
      <c r="AH107" s="142"/>
      <c r="AI107" s="142"/>
      <c r="AJ107" s="142"/>
      <c r="AK107" s="148" t="s">
        <v>106</v>
      </c>
      <c r="AL107" s="162"/>
      <c r="AM107" s="162"/>
      <c r="AN107" s="162"/>
      <c r="AO107" s="162"/>
      <c r="AP107" s="162"/>
      <c r="AQ107" s="162"/>
      <c r="AR107" s="162"/>
      <c r="AS107" s="162"/>
      <c r="AT107" s="162"/>
    </row>
    <row r="108" ht="14.5" spans="1:46">
      <c r="A108" s="140"/>
      <c r="B108" s="140" t="s">
        <v>231</v>
      </c>
      <c r="C108" s="141" t="s">
        <v>232</v>
      </c>
      <c r="D108" s="143" t="str">
        <f>法术大全!C665</f>
        <v>-</v>
      </c>
      <c r="E108" s="143" t="str">
        <f>法术大全!D665</f>
        <v>-</v>
      </c>
      <c r="F108" s="143"/>
      <c r="G108" s="143"/>
      <c r="H108" s="143" t="str">
        <f>法术大全!E665</f>
        <v>-</v>
      </c>
      <c r="I108" s="143"/>
      <c r="J108" s="150"/>
      <c r="K108" s="150"/>
      <c r="L108" s="150"/>
      <c r="M108" s="150"/>
      <c r="N108" s="150"/>
      <c r="O108" s="148" t="s">
        <v>106</v>
      </c>
      <c r="P108" s="151" t="str">
        <f>法术大全!F665</f>
        <v>-</v>
      </c>
      <c r="Q108" s="151"/>
      <c r="R108" s="151" t="str">
        <f>法术大全!G665</f>
        <v>-</v>
      </c>
      <c r="S108" s="151"/>
      <c r="T108" s="151"/>
      <c r="U108" s="151" t="str">
        <f>法术大全!L665</f>
        <v>-</v>
      </c>
      <c r="V108" s="151"/>
      <c r="W108" s="151"/>
      <c r="X108" s="151"/>
      <c r="Y108" s="151"/>
      <c r="Z108" s="148" t="s">
        <v>106</v>
      </c>
      <c r="AA108" s="158" t="str">
        <f>法术大全!H665</f>
        <v>-</v>
      </c>
      <c r="AB108" s="158" t="str">
        <f>法术大全!I665</f>
        <v>-</v>
      </c>
      <c r="AC108" s="158" t="str">
        <f>法术大全!J665</f>
        <v>-</v>
      </c>
      <c r="AD108" s="143" t="str">
        <f>法术大全!K665</f>
        <v>-</v>
      </c>
      <c r="AE108" s="143"/>
      <c r="AF108" s="143"/>
      <c r="AG108" s="143"/>
      <c r="AH108" s="143"/>
      <c r="AI108" s="143"/>
      <c r="AJ108" s="143"/>
      <c r="AK108" s="148" t="s">
        <v>106</v>
      </c>
      <c r="AL108" s="161"/>
      <c r="AM108" s="161"/>
      <c r="AN108" s="161"/>
      <c r="AO108" s="161"/>
      <c r="AP108" s="161"/>
      <c r="AQ108" s="161"/>
      <c r="AR108" s="161"/>
      <c r="AS108" s="161"/>
      <c r="AT108" s="161"/>
    </row>
    <row r="109" ht="14.5" spans="1:46">
      <c r="A109" s="140"/>
      <c r="B109" s="140" t="s">
        <v>231</v>
      </c>
      <c r="C109" s="141" t="s">
        <v>232</v>
      </c>
      <c r="D109" s="142" t="str">
        <f>法术大全!C666</f>
        <v>-</v>
      </c>
      <c r="E109" s="142" t="str">
        <f>法术大全!D666</f>
        <v>-</v>
      </c>
      <c r="F109" s="142"/>
      <c r="G109" s="142"/>
      <c r="H109" s="142" t="str">
        <f>法术大全!E666</f>
        <v>-</v>
      </c>
      <c r="I109" s="142"/>
      <c r="J109" s="147"/>
      <c r="K109" s="147"/>
      <c r="L109" s="147"/>
      <c r="M109" s="147"/>
      <c r="N109" s="147"/>
      <c r="O109" s="148" t="s">
        <v>106</v>
      </c>
      <c r="P109" s="149" t="str">
        <f>法术大全!F666</f>
        <v>-</v>
      </c>
      <c r="Q109" s="149"/>
      <c r="R109" s="149" t="str">
        <f>法术大全!G666</f>
        <v>-</v>
      </c>
      <c r="S109" s="149"/>
      <c r="T109" s="149"/>
      <c r="U109" s="149" t="str">
        <f>法术大全!L666</f>
        <v>-</v>
      </c>
      <c r="V109" s="149"/>
      <c r="W109" s="149"/>
      <c r="X109" s="149"/>
      <c r="Y109" s="149"/>
      <c r="Z109" s="148" t="s">
        <v>106</v>
      </c>
      <c r="AA109" s="157" t="str">
        <f>法术大全!H666</f>
        <v>-</v>
      </c>
      <c r="AB109" s="157" t="str">
        <f>法术大全!I666</f>
        <v>-</v>
      </c>
      <c r="AC109" s="157" t="str">
        <f>法术大全!J666</f>
        <v>-</v>
      </c>
      <c r="AD109" s="142" t="str">
        <f>法术大全!K666</f>
        <v>-</v>
      </c>
      <c r="AE109" s="142"/>
      <c r="AF109" s="142"/>
      <c r="AG109" s="142"/>
      <c r="AH109" s="142"/>
      <c r="AI109" s="142"/>
      <c r="AJ109" s="142"/>
      <c r="AK109" s="148" t="s">
        <v>106</v>
      </c>
      <c r="AL109" s="162"/>
      <c r="AM109" s="162"/>
      <c r="AN109" s="162"/>
      <c r="AO109" s="162"/>
      <c r="AP109" s="162"/>
      <c r="AQ109" s="162"/>
      <c r="AR109" s="162"/>
      <c r="AS109" s="162"/>
      <c r="AT109" s="162"/>
    </row>
    <row r="110" ht="14.5" spans="1:46">
      <c r="A110" s="140"/>
      <c r="B110" s="140" t="s">
        <v>231</v>
      </c>
      <c r="C110" s="141" t="s">
        <v>232</v>
      </c>
      <c r="D110" s="143" t="str">
        <f>法术大全!C667</f>
        <v>-</v>
      </c>
      <c r="E110" s="143" t="str">
        <f>法术大全!D667</f>
        <v>-</v>
      </c>
      <c r="F110" s="143"/>
      <c r="G110" s="143"/>
      <c r="H110" s="143" t="str">
        <f>法术大全!E667</f>
        <v>-</v>
      </c>
      <c r="I110" s="143"/>
      <c r="J110" s="150"/>
      <c r="K110" s="150"/>
      <c r="L110" s="150"/>
      <c r="M110" s="150"/>
      <c r="N110" s="150"/>
      <c r="O110" s="148" t="s">
        <v>106</v>
      </c>
      <c r="P110" s="151" t="str">
        <f>法术大全!F667</f>
        <v>-</v>
      </c>
      <c r="Q110" s="151"/>
      <c r="R110" s="151" t="str">
        <f>法术大全!G667</f>
        <v>-</v>
      </c>
      <c r="S110" s="151"/>
      <c r="T110" s="151"/>
      <c r="U110" s="151" t="str">
        <f>法术大全!L667</f>
        <v>-</v>
      </c>
      <c r="V110" s="151"/>
      <c r="W110" s="151"/>
      <c r="X110" s="151"/>
      <c r="Y110" s="151"/>
      <c r="Z110" s="148" t="s">
        <v>106</v>
      </c>
      <c r="AA110" s="158" t="str">
        <f>法术大全!H667</f>
        <v>-</v>
      </c>
      <c r="AB110" s="158" t="str">
        <f>法术大全!I667</f>
        <v>-</v>
      </c>
      <c r="AC110" s="158" t="str">
        <f>法术大全!J667</f>
        <v>-</v>
      </c>
      <c r="AD110" s="143" t="str">
        <f>法术大全!K667</f>
        <v>-</v>
      </c>
      <c r="AE110" s="143"/>
      <c r="AF110" s="143"/>
      <c r="AG110" s="143"/>
      <c r="AH110" s="143"/>
      <c r="AI110" s="143"/>
      <c r="AJ110" s="143"/>
      <c r="AK110" s="148" t="s">
        <v>106</v>
      </c>
      <c r="AL110" s="161"/>
      <c r="AM110" s="161"/>
      <c r="AN110" s="161"/>
      <c r="AO110" s="161"/>
      <c r="AP110" s="161"/>
      <c r="AQ110" s="161"/>
      <c r="AR110" s="161"/>
      <c r="AS110" s="161"/>
      <c r="AT110" s="161"/>
    </row>
    <row r="111" ht="14.5" spans="1:46">
      <c r="A111" s="140"/>
      <c r="B111" s="140" t="s">
        <v>231</v>
      </c>
      <c r="C111" s="141" t="s">
        <v>232</v>
      </c>
      <c r="D111" s="142" t="str">
        <f>法术大全!C668</f>
        <v>-</v>
      </c>
      <c r="E111" s="142" t="str">
        <f>法术大全!D668</f>
        <v>-</v>
      </c>
      <c r="F111" s="142"/>
      <c r="G111" s="142"/>
      <c r="H111" s="142" t="str">
        <f>法术大全!E668</f>
        <v>-</v>
      </c>
      <c r="I111" s="142"/>
      <c r="J111" s="147"/>
      <c r="K111" s="147"/>
      <c r="L111" s="147"/>
      <c r="M111" s="147"/>
      <c r="N111" s="147"/>
      <c r="O111" s="148" t="s">
        <v>106</v>
      </c>
      <c r="P111" s="149" t="str">
        <f>法术大全!F668</f>
        <v>-</v>
      </c>
      <c r="Q111" s="149"/>
      <c r="R111" s="149" t="str">
        <f>法术大全!G668</f>
        <v>-</v>
      </c>
      <c r="S111" s="149"/>
      <c r="T111" s="149"/>
      <c r="U111" s="149" t="str">
        <f>法术大全!L668</f>
        <v>-</v>
      </c>
      <c r="V111" s="149"/>
      <c r="W111" s="149"/>
      <c r="X111" s="149"/>
      <c r="Y111" s="149"/>
      <c r="Z111" s="148" t="s">
        <v>106</v>
      </c>
      <c r="AA111" s="157" t="str">
        <f>法术大全!H668</f>
        <v>-</v>
      </c>
      <c r="AB111" s="157" t="str">
        <f>法术大全!I668</f>
        <v>-</v>
      </c>
      <c r="AC111" s="157" t="str">
        <f>法术大全!J668</f>
        <v>-</v>
      </c>
      <c r="AD111" s="142" t="str">
        <f>法术大全!K668</f>
        <v>-</v>
      </c>
      <c r="AE111" s="142"/>
      <c r="AF111" s="142"/>
      <c r="AG111" s="142"/>
      <c r="AH111" s="142"/>
      <c r="AI111" s="142"/>
      <c r="AJ111" s="142"/>
      <c r="AK111" s="148" t="s">
        <v>106</v>
      </c>
      <c r="AL111" s="162"/>
      <c r="AM111" s="162"/>
      <c r="AN111" s="162"/>
      <c r="AO111" s="162"/>
      <c r="AP111" s="162"/>
      <c r="AQ111" s="162"/>
      <c r="AR111" s="162"/>
      <c r="AS111" s="162"/>
      <c r="AT111" s="162"/>
    </row>
    <row r="112" ht="14.5" spans="1:46">
      <c r="A112" s="140"/>
      <c r="B112" s="140" t="s">
        <v>231</v>
      </c>
      <c r="C112" s="141" t="s">
        <v>232</v>
      </c>
      <c r="D112" s="143" t="str">
        <f>法术大全!C669</f>
        <v>-</v>
      </c>
      <c r="E112" s="143" t="str">
        <f>法术大全!D669</f>
        <v>-</v>
      </c>
      <c r="F112" s="143"/>
      <c r="G112" s="143"/>
      <c r="H112" s="143" t="str">
        <f>法术大全!E669</f>
        <v>-</v>
      </c>
      <c r="I112" s="143"/>
      <c r="J112" s="150"/>
      <c r="K112" s="150"/>
      <c r="L112" s="150"/>
      <c r="M112" s="150"/>
      <c r="N112" s="150"/>
      <c r="O112" s="148" t="s">
        <v>106</v>
      </c>
      <c r="P112" s="151" t="str">
        <f>法术大全!F669</f>
        <v>-</v>
      </c>
      <c r="Q112" s="151"/>
      <c r="R112" s="151" t="str">
        <f>法术大全!G669</f>
        <v>-</v>
      </c>
      <c r="S112" s="151"/>
      <c r="T112" s="151"/>
      <c r="U112" s="151" t="str">
        <f>法术大全!L669</f>
        <v>-</v>
      </c>
      <c r="V112" s="151"/>
      <c r="W112" s="151"/>
      <c r="X112" s="151"/>
      <c r="Y112" s="151"/>
      <c r="Z112" s="148" t="s">
        <v>106</v>
      </c>
      <c r="AA112" s="158" t="str">
        <f>法术大全!H669</f>
        <v>-</v>
      </c>
      <c r="AB112" s="158" t="str">
        <f>法术大全!I669</f>
        <v>-</v>
      </c>
      <c r="AC112" s="158" t="str">
        <f>法术大全!J669</f>
        <v>-</v>
      </c>
      <c r="AD112" s="143" t="str">
        <f>法术大全!K669</f>
        <v>-</v>
      </c>
      <c r="AE112" s="143"/>
      <c r="AF112" s="143"/>
      <c r="AG112" s="143"/>
      <c r="AH112" s="143"/>
      <c r="AI112" s="143"/>
      <c r="AJ112" s="143"/>
      <c r="AK112" s="148" t="s">
        <v>106</v>
      </c>
      <c r="AL112" s="161"/>
      <c r="AM112" s="161"/>
      <c r="AN112" s="161"/>
      <c r="AO112" s="161"/>
      <c r="AP112" s="161"/>
      <c r="AQ112" s="161"/>
      <c r="AR112" s="161"/>
      <c r="AS112" s="161"/>
      <c r="AT112" s="161"/>
    </row>
  </sheetData>
  <mergeCells count="1030">
    <mergeCell ref="A1:AU1"/>
    <mergeCell ref="D2:G2"/>
    <mergeCell ref="H2:I2"/>
    <mergeCell ref="K2:N2"/>
    <mergeCell ref="O2:P2"/>
    <mergeCell ref="R2:U2"/>
    <mergeCell ref="V2:W2"/>
    <mergeCell ref="Y2:AB2"/>
    <mergeCell ref="AC2:AD2"/>
    <mergeCell ref="AF2:AH2"/>
    <mergeCell ref="AK2:AO2"/>
    <mergeCell ref="AW2:AZ2"/>
    <mergeCell ref="BA2:BB2"/>
    <mergeCell ref="BD2:BG2"/>
    <mergeCell ref="BH2:BI2"/>
    <mergeCell ref="BK2:BN2"/>
    <mergeCell ref="BO2:BP2"/>
    <mergeCell ref="BR2:BU2"/>
    <mergeCell ref="BV2:BW2"/>
    <mergeCell ref="BY2:CB2"/>
    <mergeCell ref="CC2:CD2"/>
    <mergeCell ref="CF2:CI2"/>
    <mergeCell ref="CJ2:CK2"/>
    <mergeCell ref="A3:C3"/>
    <mergeCell ref="E3:G3"/>
    <mergeCell ref="H3:I3"/>
    <mergeCell ref="J3:N3"/>
    <mergeCell ref="P3:Q3"/>
    <mergeCell ref="R3:T3"/>
    <mergeCell ref="U3:Y3"/>
    <mergeCell ref="AD3:AJ3"/>
    <mergeCell ref="AL3:AT3"/>
    <mergeCell ref="AV3:AW3"/>
    <mergeCell ref="AX3:BB3"/>
    <mergeCell ref="BC3:BF3"/>
    <mergeCell ref="E4:G4"/>
    <mergeCell ref="H4:I4"/>
    <mergeCell ref="J4:N4"/>
    <mergeCell ref="P4:Q4"/>
    <mergeCell ref="R4:T4"/>
    <mergeCell ref="U4:Y4"/>
    <mergeCell ref="AD4:AJ4"/>
    <mergeCell ref="AL4:AT4"/>
    <mergeCell ref="AV4:AW4"/>
    <mergeCell ref="AX4:AY4"/>
    <mergeCell ref="BA4:BB4"/>
    <mergeCell ref="BC4:BF4"/>
    <mergeCell ref="E5:G5"/>
    <mergeCell ref="H5:I5"/>
    <mergeCell ref="J5:N5"/>
    <mergeCell ref="P5:Q5"/>
    <mergeCell ref="R5:T5"/>
    <mergeCell ref="U5:Y5"/>
    <mergeCell ref="AD5:AJ5"/>
    <mergeCell ref="AL5:AT5"/>
    <mergeCell ref="AV5:AW5"/>
    <mergeCell ref="AX5:AY5"/>
    <mergeCell ref="BA5:BB5"/>
    <mergeCell ref="BC5:BF5"/>
    <mergeCell ref="E6:G6"/>
    <mergeCell ref="H6:I6"/>
    <mergeCell ref="J6:N6"/>
    <mergeCell ref="P6:Q6"/>
    <mergeCell ref="R6:T6"/>
    <mergeCell ref="U6:Y6"/>
    <mergeCell ref="AD6:AJ6"/>
    <mergeCell ref="AL6:AT6"/>
    <mergeCell ref="AV6:AW6"/>
    <mergeCell ref="AX6:AY6"/>
    <mergeCell ref="BA6:BB6"/>
    <mergeCell ref="BC6:BF6"/>
    <mergeCell ref="E7:G7"/>
    <mergeCell ref="H7:I7"/>
    <mergeCell ref="J7:N7"/>
    <mergeCell ref="P7:Q7"/>
    <mergeCell ref="R7:T7"/>
    <mergeCell ref="U7:Y7"/>
    <mergeCell ref="AD7:AJ7"/>
    <mergeCell ref="AL7:AT7"/>
    <mergeCell ref="AV7:AW7"/>
    <mergeCell ref="AX7:AY7"/>
    <mergeCell ref="BA7:BB7"/>
    <mergeCell ref="BC7:BF7"/>
    <mergeCell ref="E8:G8"/>
    <mergeCell ref="H8:I8"/>
    <mergeCell ref="J8:N8"/>
    <mergeCell ref="P8:Q8"/>
    <mergeCell ref="R8:T8"/>
    <mergeCell ref="U8:Y8"/>
    <mergeCell ref="AD8:AJ8"/>
    <mergeCell ref="AL8:AT8"/>
    <mergeCell ref="AV8:AW8"/>
    <mergeCell ref="AX8:AY8"/>
    <mergeCell ref="BA8:BB8"/>
    <mergeCell ref="BC8:BF8"/>
    <mergeCell ref="E9:G9"/>
    <mergeCell ref="H9:I9"/>
    <mergeCell ref="J9:N9"/>
    <mergeCell ref="P9:Q9"/>
    <mergeCell ref="R9:T9"/>
    <mergeCell ref="U9:Y9"/>
    <mergeCell ref="AD9:AJ9"/>
    <mergeCell ref="AL9:AT9"/>
    <mergeCell ref="AV9:AW9"/>
    <mergeCell ref="AX9:AY9"/>
    <mergeCell ref="BA9:BB9"/>
    <mergeCell ref="BC9:BF9"/>
    <mergeCell ref="E10:G10"/>
    <mergeCell ref="H10:I10"/>
    <mergeCell ref="J10:N10"/>
    <mergeCell ref="P10:Q10"/>
    <mergeCell ref="R10:T10"/>
    <mergeCell ref="U10:Y10"/>
    <mergeCell ref="AD10:AJ10"/>
    <mergeCell ref="AL10:AT10"/>
    <mergeCell ref="AV10:AW10"/>
    <mergeCell ref="AX10:AY10"/>
    <mergeCell ref="BA10:BB10"/>
    <mergeCell ref="BC10:BF10"/>
    <mergeCell ref="E11:G11"/>
    <mergeCell ref="H11:I11"/>
    <mergeCell ref="J11:N11"/>
    <mergeCell ref="P11:Q11"/>
    <mergeCell ref="R11:T11"/>
    <mergeCell ref="U11:Y11"/>
    <mergeCell ref="AD11:AJ11"/>
    <mergeCell ref="AL11:AT11"/>
    <mergeCell ref="AV11:AW11"/>
    <mergeCell ref="AX11:AY11"/>
    <mergeCell ref="BA11:BB11"/>
    <mergeCell ref="BC11:BF11"/>
    <mergeCell ref="E12:G12"/>
    <mergeCell ref="H12:I12"/>
    <mergeCell ref="J12:N12"/>
    <mergeCell ref="P12:Q12"/>
    <mergeCell ref="R12:T12"/>
    <mergeCell ref="U12:Y12"/>
    <mergeCell ref="AD12:AJ12"/>
    <mergeCell ref="AL12:AT12"/>
    <mergeCell ref="AV12:AW12"/>
    <mergeCell ref="AX12:AY12"/>
    <mergeCell ref="BA12:BB12"/>
    <mergeCell ref="BC12:BF12"/>
    <mergeCell ref="E13:G13"/>
    <mergeCell ref="H13:I13"/>
    <mergeCell ref="J13:N13"/>
    <mergeCell ref="P13:Q13"/>
    <mergeCell ref="R13:T13"/>
    <mergeCell ref="U13:Y13"/>
    <mergeCell ref="AD13:AJ13"/>
    <mergeCell ref="AL13:AT13"/>
    <mergeCell ref="AV13:AW13"/>
    <mergeCell ref="AX13:AY13"/>
    <mergeCell ref="BA13:BB13"/>
    <mergeCell ref="BC13:BF13"/>
    <mergeCell ref="A14:C14"/>
    <mergeCell ref="E14:G14"/>
    <mergeCell ref="H14:I14"/>
    <mergeCell ref="J14:N14"/>
    <mergeCell ref="P14:Q14"/>
    <mergeCell ref="R14:T14"/>
    <mergeCell ref="U14:Y14"/>
    <mergeCell ref="AD14:AJ14"/>
    <mergeCell ref="AL14:AT14"/>
    <mergeCell ref="AV14:BB14"/>
    <mergeCell ref="BC14:BD14"/>
    <mergeCell ref="BE14:BF14"/>
    <mergeCell ref="E15:G15"/>
    <mergeCell ref="H15:I15"/>
    <mergeCell ref="J15:N15"/>
    <mergeCell ref="P15:Q15"/>
    <mergeCell ref="R15:T15"/>
    <mergeCell ref="U15:Y15"/>
    <mergeCell ref="AD15:AJ15"/>
    <mergeCell ref="AL15:AT15"/>
    <mergeCell ref="E16:G16"/>
    <mergeCell ref="H16:I16"/>
    <mergeCell ref="J16:N16"/>
    <mergeCell ref="P16:Q16"/>
    <mergeCell ref="R16:T16"/>
    <mergeCell ref="U16:Y16"/>
    <mergeCell ref="AD16:AJ16"/>
    <mergeCell ref="AL16:AT16"/>
    <mergeCell ref="AV16:BF16"/>
    <mergeCell ref="E17:G17"/>
    <mergeCell ref="H17:I17"/>
    <mergeCell ref="J17:N17"/>
    <mergeCell ref="P17:Q17"/>
    <mergeCell ref="R17:T17"/>
    <mergeCell ref="U17:Y17"/>
    <mergeCell ref="AD17:AJ17"/>
    <mergeCell ref="AL17:AT17"/>
    <mergeCell ref="AV17:BA17"/>
    <mergeCell ref="BB17:BF17"/>
    <mergeCell ref="E18:G18"/>
    <mergeCell ref="H18:I18"/>
    <mergeCell ref="J18:N18"/>
    <mergeCell ref="P18:Q18"/>
    <mergeCell ref="R18:T18"/>
    <mergeCell ref="U18:Y18"/>
    <mergeCell ref="AD18:AJ18"/>
    <mergeCell ref="AL18:AT18"/>
    <mergeCell ref="AV18:BA18"/>
    <mergeCell ref="BB18:BF18"/>
    <mergeCell ref="E19:G19"/>
    <mergeCell ref="H19:I19"/>
    <mergeCell ref="J19:N19"/>
    <mergeCell ref="P19:Q19"/>
    <mergeCell ref="R19:T19"/>
    <mergeCell ref="U19:Y19"/>
    <mergeCell ref="AD19:AJ19"/>
    <mergeCell ref="AL19:AT19"/>
    <mergeCell ref="E20:G20"/>
    <mergeCell ref="H20:I20"/>
    <mergeCell ref="J20:N20"/>
    <mergeCell ref="P20:Q20"/>
    <mergeCell ref="R20:T20"/>
    <mergeCell ref="U20:Y20"/>
    <mergeCell ref="AD20:AJ20"/>
    <mergeCell ref="AL20:AT20"/>
    <mergeCell ref="AV20:AW20"/>
    <mergeCell ref="AX20:BA20"/>
    <mergeCell ref="BB20:BE20"/>
    <mergeCell ref="E21:G21"/>
    <mergeCell ref="H21:I21"/>
    <mergeCell ref="J21:N21"/>
    <mergeCell ref="P21:Q21"/>
    <mergeCell ref="R21:T21"/>
    <mergeCell ref="U21:Y21"/>
    <mergeCell ref="AD21:AJ21"/>
    <mergeCell ref="AL21:AT21"/>
    <mergeCell ref="AV21:AW21"/>
    <mergeCell ref="AX21:BA21"/>
    <mergeCell ref="BB21:BE21"/>
    <mergeCell ref="E22:G22"/>
    <mergeCell ref="H22:I22"/>
    <mergeCell ref="J22:N22"/>
    <mergeCell ref="P22:Q22"/>
    <mergeCell ref="R22:T22"/>
    <mergeCell ref="U22:Y22"/>
    <mergeCell ref="AD22:AJ22"/>
    <mergeCell ref="AL22:AT22"/>
    <mergeCell ref="AV22:AW22"/>
    <mergeCell ref="AX22:BA22"/>
    <mergeCell ref="BB22:BE22"/>
    <mergeCell ref="E23:G23"/>
    <mergeCell ref="H23:I23"/>
    <mergeCell ref="J23:N23"/>
    <mergeCell ref="P23:Q23"/>
    <mergeCell ref="R23:T23"/>
    <mergeCell ref="U23:Y23"/>
    <mergeCell ref="AD23:AJ23"/>
    <mergeCell ref="AL23:AT23"/>
    <mergeCell ref="AV23:AW23"/>
    <mergeCell ref="AX23:BA23"/>
    <mergeCell ref="BB23:BE23"/>
    <mergeCell ref="E24:G24"/>
    <mergeCell ref="H24:I24"/>
    <mergeCell ref="J24:N24"/>
    <mergeCell ref="P24:Q24"/>
    <mergeCell ref="R24:T24"/>
    <mergeCell ref="U24:Y24"/>
    <mergeCell ref="AD24:AJ24"/>
    <mergeCell ref="AL24:AT24"/>
    <mergeCell ref="AV24:AW24"/>
    <mergeCell ref="AX24:BA24"/>
    <mergeCell ref="BB24:BE24"/>
    <mergeCell ref="A25:C25"/>
    <mergeCell ref="E25:G25"/>
    <mergeCell ref="H25:I25"/>
    <mergeCell ref="J25:N25"/>
    <mergeCell ref="P25:Q25"/>
    <mergeCell ref="R25:T25"/>
    <mergeCell ref="U25:Y25"/>
    <mergeCell ref="AD25:AJ25"/>
    <mergeCell ref="AL25:AT25"/>
    <mergeCell ref="AV25:AW25"/>
    <mergeCell ref="AX25:BA25"/>
    <mergeCell ref="BB25:BE25"/>
    <mergeCell ref="E26:G26"/>
    <mergeCell ref="H26:I26"/>
    <mergeCell ref="J26:N26"/>
    <mergeCell ref="P26:Q26"/>
    <mergeCell ref="R26:T26"/>
    <mergeCell ref="U26:Y26"/>
    <mergeCell ref="AD26:AJ26"/>
    <mergeCell ref="AL26:AT26"/>
    <mergeCell ref="AV26:AW26"/>
    <mergeCell ref="AX26:BA26"/>
    <mergeCell ref="BB26:BE26"/>
    <mergeCell ref="E27:G27"/>
    <mergeCell ref="H27:I27"/>
    <mergeCell ref="J27:N27"/>
    <mergeCell ref="P27:Q27"/>
    <mergeCell ref="R27:T27"/>
    <mergeCell ref="U27:Y27"/>
    <mergeCell ref="AD27:AJ27"/>
    <mergeCell ref="AL27:AT27"/>
    <mergeCell ref="AV27:AW27"/>
    <mergeCell ref="AX27:BA27"/>
    <mergeCell ref="BB27:BE27"/>
    <mergeCell ref="E28:G28"/>
    <mergeCell ref="H28:I28"/>
    <mergeCell ref="J28:N28"/>
    <mergeCell ref="P28:Q28"/>
    <mergeCell ref="R28:T28"/>
    <mergeCell ref="U28:Y28"/>
    <mergeCell ref="AD28:AJ28"/>
    <mergeCell ref="AL28:AT28"/>
    <mergeCell ref="AV28:AW28"/>
    <mergeCell ref="AX28:BA28"/>
    <mergeCell ref="BB28:BE28"/>
    <mergeCell ref="E29:G29"/>
    <mergeCell ref="H29:I29"/>
    <mergeCell ref="J29:N29"/>
    <mergeCell ref="P29:Q29"/>
    <mergeCell ref="R29:T29"/>
    <mergeCell ref="U29:Y29"/>
    <mergeCell ref="AD29:AJ29"/>
    <mergeCell ref="AL29:AT29"/>
    <mergeCell ref="AV29:AW29"/>
    <mergeCell ref="AX29:BA29"/>
    <mergeCell ref="BB29:BE29"/>
    <mergeCell ref="E30:G30"/>
    <mergeCell ref="H30:I30"/>
    <mergeCell ref="J30:N30"/>
    <mergeCell ref="P30:Q30"/>
    <mergeCell ref="R30:T30"/>
    <mergeCell ref="U30:Y30"/>
    <mergeCell ref="AD30:AJ30"/>
    <mergeCell ref="AL30:AT30"/>
    <mergeCell ref="AV30:AW30"/>
    <mergeCell ref="AX30:BA30"/>
    <mergeCell ref="BB30:BE30"/>
    <mergeCell ref="E31:G31"/>
    <mergeCell ref="H31:I31"/>
    <mergeCell ref="J31:N31"/>
    <mergeCell ref="P31:Q31"/>
    <mergeCell ref="R31:T31"/>
    <mergeCell ref="U31:Y31"/>
    <mergeCell ref="AD31:AJ31"/>
    <mergeCell ref="AL31:AT31"/>
    <mergeCell ref="AV31:AW31"/>
    <mergeCell ref="AX31:BA31"/>
    <mergeCell ref="BB31:BE31"/>
    <mergeCell ref="E32:G32"/>
    <mergeCell ref="H32:I32"/>
    <mergeCell ref="J32:N32"/>
    <mergeCell ref="P32:Q32"/>
    <mergeCell ref="R32:T32"/>
    <mergeCell ref="U32:Y32"/>
    <mergeCell ref="AD32:AJ32"/>
    <mergeCell ref="AL32:AT32"/>
    <mergeCell ref="AV32:AW32"/>
    <mergeCell ref="AX32:BA32"/>
    <mergeCell ref="BB32:BE32"/>
    <mergeCell ref="E33:G33"/>
    <mergeCell ref="H33:I33"/>
    <mergeCell ref="J33:N33"/>
    <mergeCell ref="P33:Q33"/>
    <mergeCell ref="R33:T33"/>
    <mergeCell ref="U33:Y33"/>
    <mergeCell ref="AD33:AJ33"/>
    <mergeCell ref="AL33:AT33"/>
    <mergeCell ref="AV33:AW33"/>
    <mergeCell ref="AX33:BA33"/>
    <mergeCell ref="BB33:BE33"/>
    <mergeCell ref="E34:G34"/>
    <mergeCell ref="H34:I34"/>
    <mergeCell ref="J34:N34"/>
    <mergeCell ref="P34:Q34"/>
    <mergeCell ref="R34:T34"/>
    <mergeCell ref="U34:Y34"/>
    <mergeCell ref="AD34:AJ34"/>
    <mergeCell ref="AL34:AT34"/>
    <mergeCell ref="AV34:AW34"/>
    <mergeCell ref="AX34:BA34"/>
    <mergeCell ref="BB34:BE34"/>
    <mergeCell ref="E35:G35"/>
    <mergeCell ref="H35:I35"/>
    <mergeCell ref="J35:N35"/>
    <mergeCell ref="P35:Q35"/>
    <mergeCell ref="R35:T35"/>
    <mergeCell ref="U35:Y35"/>
    <mergeCell ref="AD35:AJ35"/>
    <mergeCell ref="AL35:AT35"/>
    <mergeCell ref="AV35:AW35"/>
    <mergeCell ref="AX35:BA35"/>
    <mergeCell ref="BB35:BE35"/>
    <mergeCell ref="A36:C36"/>
    <mergeCell ref="E36:G36"/>
    <mergeCell ref="H36:I36"/>
    <mergeCell ref="J36:N36"/>
    <mergeCell ref="P36:Q36"/>
    <mergeCell ref="R36:T36"/>
    <mergeCell ref="U36:Y36"/>
    <mergeCell ref="AD36:AJ36"/>
    <mergeCell ref="AL36:AT36"/>
    <mergeCell ref="AV36:AW36"/>
    <mergeCell ref="AX36:BA36"/>
    <mergeCell ref="BB36:BE36"/>
    <mergeCell ref="E37:G37"/>
    <mergeCell ref="H37:I37"/>
    <mergeCell ref="J37:N37"/>
    <mergeCell ref="P37:Q37"/>
    <mergeCell ref="R37:T37"/>
    <mergeCell ref="U37:Y37"/>
    <mergeCell ref="AD37:AJ37"/>
    <mergeCell ref="AL37:AT37"/>
    <mergeCell ref="AV37:AW37"/>
    <mergeCell ref="AX37:BA37"/>
    <mergeCell ref="BB37:BE37"/>
    <mergeCell ref="E38:G38"/>
    <mergeCell ref="H38:I38"/>
    <mergeCell ref="J38:N38"/>
    <mergeCell ref="P38:Q38"/>
    <mergeCell ref="R38:T38"/>
    <mergeCell ref="U38:Y38"/>
    <mergeCell ref="AD38:AJ38"/>
    <mergeCell ref="AL38:AT38"/>
    <mergeCell ref="AV38:AW38"/>
    <mergeCell ref="AX38:BA38"/>
    <mergeCell ref="BB38:BE38"/>
    <mergeCell ref="E39:G39"/>
    <mergeCell ref="H39:I39"/>
    <mergeCell ref="J39:N39"/>
    <mergeCell ref="P39:Q39"/>
    <mergeCell ref="R39:T39"/>
    <mergeCell ref="U39:Y39"/>
    <mergeCell ref="AD39:AJ39"/>
    <mergeCell ref="AL39:AT39"/>
    <mergeCell ref="AV39:AW39"/>
    <mergeCell ref="AX39:BA39"/>
    <mergeCell ref="BB39:BE39"/>
    <mergeCell ref="E40:G40"/>
    <mergeCell ref="H40:I40"/>
    <mergeCell ref="J40:N40"/>
    <mergeCell ref="P40:Q40"/>
    <mergeCell ref="R40:T40"/>
    <mergeCell ref="U40:Y40"/>
    <mergeCell ref="AD40:AJ40"/>
    <mergeCell ref="AL40:AT40"/>
    <mergeCell ref="AV40:AW40"/>
    <mergeCell ref="AX40:BA40"/>
    <mergeCell ref="BB40:BE40"/>
    <mergeCell ref="E41:G41"/>
    <mergeCell ref="H41:I41"/>
    <mergeCell ref="J41:N41"/>
    <mergeCell ref="P41:Q41"/>
    <mergeCell ref="R41:T41"/>
    <mergeCell ref="U41:Y41"/>
    <mergeCell ref="AD41:AJ41"/>
    <mergeCell ref="AL41:AT41"/>
    <mergeCell ref="AV41:AW41"/>
    <mergeCell ref="AX41:BA41"/>
    <mergeCell ref="BB41:BE41"/>
    <mergeCell ref="E42:G42"/>
    <mergeCell ref="H42:I42"/>
    <mergeCell ref="J42:N42"/>
    <mergeCell ref="P42:Q42"/>
    <mergeCell ref="R42:T42"/>
    <mergeCell ref="U42:Y42"/>
    <mergeCell ref="AD42:AJ42"/>
    <mergeCell ref="AL42:AT42"/>
    <mergeCell ref="E43:G43"/>
    <mergeCell ref="H43:I43"/>
    <mergeCell ref="J43:N43"/>
    <mergeCell ref="P43:Q43"/>
    <mergeCell ref="R43:T43"/>
    <mergeCell ref="U43:Y43"/>
    <mergeCell ref="AD43:AJ43"/>
    <mergeCell ref="AL43:AT43"/>
    <mergeCell ref="E44:G44"/>
    <mergeCell ref="H44:I44"/>
    <mergeCell ref="J44:N44"/>
    <mergeCell ref="P44:Q44"/>
    <mergeCell ref="R44:T44"/>
    <mergeCell ref="U44:Y44"/>
    <mergeCell ref="AD44:AJ44"/>
    <mergeCell ref="AL44:AT44"/>
    <mergeCell ref="E45:G45"/>
    <mergeCell ref="H45:I45"/>
    <mergeCell ref="J45:N45"/>
    <mergeCell ref="P45:Q45"/>
    <mergeCell ref="R45:T45"/>
    <mergeCell ref="U45:Y45"/>
    <mergeCell ref="AD45:AJ45"/>
    <mergeCell ref="AL45:AT45"/>
    <mergeCell ref="E46:G46"/>
    <mergeCell ref="H46:I46"/>
    <mergeCell ref="J46:N46"/>
    <mergeCell ref="P46:Q46"/>
    <mergeCell ref="R46:T46"/>
    <mergeCell ref="U46:Y46"/>
    <mergeCell ref="AD46:AJ46"/>
    <mergeCell ref="AL46:AT46"/>
    <mergeCell ref="A47:C47"/>
    <mergeCell ref="E47:G47"/>
    <mergeCell ref="H47:I47"/>
    <mergeCell ref="J47:N47"/>
    <mergeCell ref="P47:Q47"/>
    <mergeCell ref="R47:T47"/>
    <mergeCell ref="U47:Y47"/>
    <mergeCell ref="AD47:AJ47"/>
    <mergeCell ref="AL47:AT47"/>
    <mergeCell ref="E48:G48"/>
    <mergeCell ref="H48:I48"/>
    <mergeCell ref="J48:N48"/>
    <mergeCell ref="P48:Q48"/>
    <mergeCell ref="R48:T48"/>
    <mergeCell ref="U48:Y48"/>
    <mergeCell ref="AD48:AJ48"/>
    <mergeCell ref="AL48:AT48"/>
    <mergeCell ref="E49:G49"/>
    <mergeCell ref="H49:I49"/>
    <mergeCell ref="J49:N49"/>
    <mergeCell ref="P49:Q49"/>
    <mergeCell ref="R49:T49"/>
    <mergeCell ref="U49:Y49"/>
    <mergeCell ref="AD49:AJ49"/>
    <mergeCell ref="AL49:AT49"/>
    <mergeCell ref="E50:G50"/>
    <mergeCell ref="H50:I50"/>
    <mergeCell ref="J50:N50"/>
    <mergeCell ref="P50:Q50"/>
    <mergeCell ref="R50:T50"/>
    <mergeCell ref="U50:Y50"/>
    <mergeCell ref="AD50:AJ50"/>
    <mergeCell ref="AL50:AT50"/>
    <mergeCell ref="E51:G51"/>
    <mergeCell ref="H51:I51"/>
    <mergeCell ref="J51:N51"/>
    <mergeCell ref="P51:Q51"/>
    <mergeCell ref="R51:T51"/>
    <mergeCell ref="U51:Y51"/>
    <mergeCell ref="AD51:AJ51"/>
    <mergeCell ref="AL51:AT51"/>
    <mergeCell ref="E52:G52"/>
    <mergeCell ref="H52:I52"/>
    <mergeCell ref="J52:N52"/>
    <mergeCell ref="P52:Q52"/>
    <mergeCell ref="R52:T52"/>
    <mergeCell ref="U52:Y52"/>
    <mergeCell ref="AD52:AJ52"/>
    <mergeCell ref="AL52:AT52"/>
    <mergeCell ref="E53:G53"/>
    <mergeCell ref="H53:I53"/>
    <mergeCell ref="J53:N53"/>
    <mergeCell ref="P53:Q53"/>
    <mergeCell ref="R53:T53"/>
    <mergeCell ref="U53:Y53"/>
    <mergeCell ref="AD53:AJ53"/>
    <mergeCell ref="AL53:AT53"/>
    <mergeCell ref="E54:G54"/>
    <mergeCell ref="H54:I54"/>
    <mergeCell ref="J54:N54"/>
    <mergeCell ref="P54:Q54"/>
    <mergeCell ref="R54:T54"/>
    <mergeCell ref="U54:Y54"/>
    <mergeCell ref="AD54:AJ54"/>
    <mergeCell ref="AL54:AT54"/>
    <mergeCell ref="E55:G55"/>
    <mergeCell ref="H55:I55"/>
    <mergeCell ref="J55:N55"/>
    <mergeCell ref="P55:Q55"/>
    <mergeCell ref="R55:T55"/>
    <mergeCell ref="U55:Y55"/>
    <mergeCell ref="AD55:AJ55"/>
    <mergeCell ref="AL55:AT55"/>
    <mergeCell ref="E56:G56"/>
    <mergeCell ref="H56:I56"/>
    <mergeCell ref="J56:N56"/>
    <mergeCell ref="P56:Q56"/>
    <mergeCell ref="R56:T56"/>
    <mergeCell ref="U56:Y56"/>
    <mergeCell ref="AD56:AJ56"/>
    <mergeCell ref="AL56:AT56"/>
    <mergeCell ref="E57:G57"/>
    <mergeCell ref="H57:I57"/>
    <mergeCell ref="J57:N57"/>
    <mergeCell ref="P57:Q57"/>
    <mergeCell ref="R57:T57"/>
    <mergeCell ref="U57:Y57"/>
    <mergeCell ref="AD57:AJ57"/>
    <mergeCell ref="AL57:AT57"/>
    <mergeCell ref="A58:C58"/>
    <mergeCell ref="E58:G58"/>
    <mergeCell ref="H58:I58"/>
    <mergeCell ref="J58:N58"/>
    <mergeCell ref="P58:Q58"/>
    <mergeCell ref="R58:T58"/>
    <mergeCell ref="U58:Y58"/>
    <mergeCell ref="AD58:AJ58"/>
    <mergeCell ref="AL58:AT58"/>
    <mergeCell ref="E59:G59"/>
    <mergeCell ref="H59:I59"/>
    <mergeCell ref="J59:N59"/>
    <mergeCell ref="P59:Q59"/>
    <mergeCell ref="R59:T59"/>
    <mergeCell ref="U59:Y59"/>
    <mergeCell ref="AD59:AJ59"/>
    <mergeCell ref="AL59:AT59"/>
    <mergeCell ref="E60:G60"/>
    <mergeCell ref="H60:I60"/>
    <mergeCell ref="J60:N60"/>
    <mergeCell ref="P60:Q60"/>
    <mergeCell ref="R60:T60"/>
    <mergeCell ref="U60:Y60"/>
    <mergeCell ref="AD60:AJ60"/>
    <mergeCell ref="AL60:AT60"/>
    <mergeCell ref="E61:G61"/>
    <mergeCell ref="H61:I61"/>
    <mergeCell ref="J61:N61"/>
    <mergeCell ref="P61:Q61"/>
    <mergeCell ref="R61:T61"/>
    <mergeCell ref="U61:Y61"/>
    <mergeCell ref="AD61:AJ61"/>
    <mergeCell ref="AL61:AT61"/>
    <mergeCell ref="E62:G62"/>
    <mergeCell ref="H62:I62"/>
    <mergeCell ref="J62:N62"/>
    <mergeCell ref="P62:Q62"/>
    <mergeCell ref="R62:T62"/>
    <mergeCell ref="U62:Y62"/>
    <mergeCell ref="AD62:AJ62"/>
    <mergeCell ref="AL62:AT62"/>
    <mergeCell ref="E63:G63"/>
    <mergeCell ref="H63:I63"/>
    <mergeCell ref="J63:N63"/>
    <mergeCell ref="P63:Q63"/>
    <mergeCell ref="R63:T63"/>
    <mergeCell ref="U63:Y63"/>
    <mergeCell ref="AD63:AJ63"/>
    <mergeCell ref="AL63:AT63"/>
    <mergeCell ref="E64:G64"/>
    <mergeCell ref="H64:I64"/>
    <mergeCell ref="J64:N64"/>
    <mergeCell ref="P64:Q64"/>
    <mergeCell ref="R64:T64"/>
    <mergeCell ref="U64:Y64"/>
    <mergeCell ref="AD64:AJ64"/>
    <mergeCell ref="AL64:AT64"/>
    <mergeCell ref="E65:G65"/>
    <mergeCell ref="H65:I65"/>
    <mergeCell ref="J65:N65"/>
    <mergeCell ref="P65:Q65"/>
    <mergeCell ref="R65:T65"/>
    <mergeCell ref="U65:Y65"/>
    <mergeCell ref="AD65:AJ65"/>
    <mergeCell ref="AL65:AT65"/>
    <mergeCell ref="E66:G66"/>
    <mergeCell ref="H66:I66"/>
    <mergeCell ref="J66:N66"/>
    <mergeCell ref="P66:Q66"/>
    <mergeCell ref="R66:T66"/>
    <mergeCell ref="U66:Y66"/>
    <mergeCell ref="AD66:AJ66"/>
    <mergeCell ref="AL66:AT66"/>
    <mergeCell ref="E67:G67"/>
    <mergeCell ref="H67:I67"/>
    <mergeCell ref="J67:N67"/>
    <mergeCell ref="P67:Q67"/>
    <mergeCell ref="R67:T67"/>
    <mergeCell ref="U67:Y67"/>
    <mergeCell ref="AD67:AJ67"/>
    <mergeCell ref="AL67:AT67"/>
    <mergeCell ref="E68:G68"/>
    <mergeCell ref="H68:I68"/>
    <mergeCell ref="J68:N68"/>
    <mergeCell ref="P68:Q68"/>
    <mergeCell ref="R68:T68"/>
    <mergeCell ref="U68:Y68"/>
    <mergeCell ref="AD68:AJ68"/>
    <mergeCell ref="AL68:AT68"/>
    <mergeCell ref="A69:C69"/>
    <mergeCell ref="E69:G69"/>
    <mergeCell ref="H69:I69"/>
    <mergeCell ref="J69:N69"/>
    <mergeCell ref="P69:Q69"/>
    <mergeCell ref="R69:T69"/>
    <mergeCell ref="U69:Y69"/>
    <mergeCell ref="AD69:AJ69"/>
    <mergeCell ref="AL69:AT69"/>
    <mergeCell ref="E70:G70"/>
    <mergeCell ref="H70:I70"/>
    <mergeCell ref="J70:N70"/>
    <mergeCell ref="P70:Q70"/>
    <mergeCell ref="R70:T70"/>
    <mergeCell ref="U70:Y70"/>
    <mergeCell ref="AD70:AJ70"/>
    <mergeCell ref="AL70:AT70"/>
    <mergeCell ref="E71:G71"/>
    <mergeCell ref="H71:I71"/>
    <mergeCell ref="J71:N71"/>
    <mergeCell ref="P71:Q71"/>
    <mergeCell ref="R71:T71"/>
    <mergeCell ref="U71:Y71"/>
    <mergeCell ref="AD71:AJ71"/>
    <mergeCell ref="AL71:AT71"/>
    <mergeCell ref="E72:G72"/>
    <mergeCell ref="H72:I72"/>
    <mergeCell ref="J72:N72"/>
    <mergeCell ref="P72:Q72"/>
    <mergeCell ref="R72:T72"/>
    <mergeCell ref="U72:Y72"/>
    <mergeCell ref="AD72:AJ72"/>
    <mergeCell ref="AL72:AT72"/>
    <mergeCell ref="E73:G73"/>
    <mergeCell ref="H73:I73"/>
    <mergeCell ref="J73:N73"/>
    <mergeCell ref="P73:Q73"/>
    <mergeCell ref="R73:T73"/>
    <mergeCell ref="U73:Y73"/>
    <mergeCell ref="AD73:AJ73"/>
    <mergeCell ref="AL73:AT73"/>
    <mergeCell ref="E74:G74"/>
    <mergeCell ref="H74:I74"/>
    <mergeCell ref="J74:N74"/>
    <mergeCell ref="P74:Q74"/>
    <mergeCell ref="R74:T74"/>
    <mergeCell ref="U74:Y74"/>
    <mergeCell ref="AD74:AJ74"/>
    <mergeCell ref="AL74:AT74"/>
    <mergeCell ref="E75:G75"/>
    <mergeCell ref="H75:I75"/>
    <mergeCell ref="J75:N75"/>
    <mergeCell ref="P75:Q75"/>
    <mergeCell ref="R75:T75"/>
    <mergeCell ref="U75:Y75"/>
    <mergeCell ref="AD75:AJ75"/>
    <mergeCell ref="AL75:AT75"/>
    <mergeCell ref="E76:G76"/>
    <mergeCell ref="H76:I76"/>
    <mergeCell ref="J76:N76"/>
    <mergeCell ref="P76:Q76"/>
    <mergeCell ref="R76:T76"/>
    <mergeCell ref="U76:Y76"/>
    <mergeCell ref="AD76:AJ76"/>
    <mergeCell ref="AL76:AT76"/>
    <mergeCell ref="E77:G77"/>
    <mergeCell ref="H77:I77"/>
    <mergeCell ref="J77:N77"/>
    <mergeCell ref="P77:Q77"/>
    <mergeCell ref="R77:T77"/>
    <mergeCell ref="U77:Y77"/>
    <mergeCell ref="AD77:AJ77"/>
    <mergeCell ref="AL77:AT77"/>
    <mergeCell ref="E78:G78"/>
    <mergeCell ref="H78:I78"/>
    <mergeCell ref="J78:N78"/>
    <mergeCell ref="P78:Q78"/>
    <mergeCell ref="R78:T78"/>
    <mergeCell ref="U78:Y78"/>
    <mergeCell ref="AD78:AJ78"/>
    <mergeCell ref="AL78:AT78"/>
    <mergeCell ref="E79:G79"/>
    <mergeCell ref="H79:I79"/>
    <mergeCell ref="J79:N79"/>
    <mergeCell ref="P79:Q79"/>
    <mergeCell ref="R79:T79"/>
    <mergeCell ref="U79:Y79"/>
    <mergeCell ref="AD79:AJ79"/>
    <mergeCell ref="AL79:AT79"/>
    <mergeCell ref="A80:C80"/>
    <mergeCell ref="E80:G80"/>
    <mergeCell ref="H80:I80"/>
    <mergeCell ref="J80:N80"/>
    <mergeCell ref="P80:Q80"/>
    <mergeCell ref="R80:T80"/>
    <mergeCell ref="U80:Y80"/>
    <mergeCell ref="AD80:AJ80"/>
    <mergeCell ref="AL80:AT80"/>
    <mergeCell ref="E81:G81"/>
    <mergeCell ref="H81:I81"/>
    <mergeCell ref="J81:N81"/>
    <mergeCell ref="P81:Q81"/>
    <mergeCell ref="R81:T81"/>
    <mergeCell ref="U81:Y81"/>
    <mergeCell ref="AD81:AJ81"/>
    <mergeCell ref="AL81:AT81"/>
    <mergeCell ref="E82:G82"/>
    <mergeCell ref="H82:I82"/>
    <mergeCell ref="J82:N82"/>
    <mergeCell ref="P82:Q82"/>
    <mergeCell ref="R82:T82"/>
    <mergeCell ref="U82:Y82"/>
    <mergeCell ref="AD82:AJ82"/>
    <mergeCell ref="AL82:AT82"/>
    <mergeCell ref="E83:G83"/>
    <mergeCell ref="H83:I83"/>
    <mergeCell ref="J83:N83"/>
    <mergeCell ref="P83:Q83"/>
    <mergeCell ref="R83:T83"/>
    <mergeCell ref="U83:Y83"/>
    <mergeCell ref="AD83:AJ83"/>
    <mergeCell ref="AL83:AT83"/>
    <mergeCell ref="E84:G84"/>
    <mergeCell ref="H84:I84"/>
    <mergeCell ref="J84:N84"/>
    <mergeCell ref="P84:Q84"/>
    <mergeCell ref="R84:T84"/>
    <mergeCell ref="U84:Y84"/>
    <mergeCell ref="AD84:AJ84"/>
    <mergeCell ref="AL84:AT84"/>
    <mergeCell ref="E85:G85"/>
    <mergeCell ref="H85:I85"/>
    <mergeCell ref="J85:N85"/>
    <mergeCell ref="P85:Q85"/>
    <mergeCell ref="R85:T85"/>
    <mergeCell ref="U85:Y85"/>
    <mergeCell ref="AD85:AJ85"/>
    <mergeCell ref="AL85:AT85"/>
    <mergeCell ref="E86:G86"/>
    <mergeCell ref="H86:I86"/>
    <mergeCell ref="J86:N86"/>
    <mergeCell ref="P86:Q86"/>
    <mergeCell ref="R86:T86"/>
    <mergeCell ref="U86:Y86"/>
    <mergeCell ref="AD86:AJ86"/>
    <mergeCell ref="AL86:AT86"/>
    <mergeCell ref="E87:G87"/>
    <mergeCell ref="H87:I87"/>
    <mergeCell ref="J87:N87"/>
    <mergeCell ref="P87:Q87"/>
    <mergeCell ref="R87:T87"/>
    <mergeCell ref="U87:Y87"/>
    <mergeCell ref="AD87:AJ87"/>
    <mergeCell ref="AL87:AT87"/>
    <mergeCell ref="E88:G88"/>
    <mergeCell ref="H88:I88"/>
    <mergeCell ref="J88:N88"/>
    <mergeCell ref="P88:Q88"/>
    <mergeCell ref="R88:T88"/>
    <mergeCell ref="U88:Y88"/>
    <mergeCell ref="AD88:AJ88"/>
    <mergeCell ref="AL88:AT88"/>
    <mergeCell ref="E89:G89"/>
    <mergeCell ref="H89:I89"/>
    <mergeCell ref="J89:N89"/>
    <mergeCell ref="P89:Q89"/>
    <mergeCell ref="R89:T89"/>
    <mergeCell ref="U89:Y89"/>
    <mergeCell ref="AD89:AJ89"/>
    <mergeCell ref="AL89:AT89"/>
    <mergeCell ref="E90:G90"/>
    <mergeCell ref="H90:I90"/>
    <mergeCell ref="J90:N90"/>
    <mergeCell ref="P90:Q90"/>
    <mergeCell ref="R90:T90"/>
    <mergeCell ref="U90:Y90"/>
    <mergeCell ref="AD90:AJ90"/>
    <mergeCell ref="AL90:AT90"/>
    <mergeCell ref="A91:C91"/>
    <mergeCell ref="E91:G91"/>
    <mergeCell ref="H91:I91"/>
    <mergeCell ref="J91:N91"/>
    <mergeCell ref="P91:Q91"/>
    <mergeCell ref="R91:T91"/>
    <mergeCell ref="U91:Y91"/>
    <mergeCell ref="AD91:AJ91"/>
    <mergeCell ref="AL91:AT91"/>
    <mergeCell ref="E92:G92"/>
    <mergeCell ref="H92:I92"/>
    <mergeCell ref="J92:N92"/>
    <mergeCell ref="P92:Q92"/>
    <mergeCell ref="R92:T92"/>
    <mergeCell ref="U92:Y92"/>
    <mergeCell ref="AD92:AJ92"/>
    <mergeCell ref="AL92:AT92"/>
    <mergeCell ref="E93:G93"/>
    <mergeCell ref="H93:I93"/>
    <mergeCell ref="J93:N93"/>
    <mergeCell ref="P93:Q93"/>
    <mergeCell ref="R93:T93"/>
    <mergeCell ref="U93:Y93"/>
    <mergeCell ref="AD93:AJ93"/>
    <mergeCell ref="AL93:AT93"/>
    <mergeCell ref="E94:G94"/>
    <mergeCell ref="H94:I94"/>
    <mergeCell ref="J94:N94"/>
    <mergeCell ref="P94:Q94"/>
    <mergeCell ref="R94:T94"/>
    <mergeCell ref="U94:Y94"/>
    <mergeCell ref="AD94:AJ94"/>
    <mergeCell ref="AL94:AT94"/>
    <mergeCell ref="E95:G95"/>
    <mergeCell ref="H95:I95"/>
    <mergeCell ref="J95:N95"/>
    <mergeCell ref="P95:Q95"/>
    <mergeCell ref="R95:T95"/>
    <mergeCell ref="U95:Y95"/>
    <mergeCell ref="AD95:AJ95"/>
    <mergeCell ref="AL95:AT95"/>
    <mergeCell ref="E96:G96"/>
    <mergeCell ref="H96:I96"/>
    <mergeCell ref="J96:N96"/>
    <mergeCell ref="P96:Q96"/>
    <mergeCell ref="R96:T96"/>
    <mergeCell ref="U96:Y96"/>
    <mergeCell ref="AD96:AJ96"/>
    <mergeCell ref="AL96:AT96"/>
    <mergeCell ref="E97:G97"/>
    <mergeCell ref="H97:I97"/>
    <mergeCell ref="J97:N97"/>
    <mergeCell ref="P97:Q97"/>
    <mergeCell ref="R97:T97"/>
    <mergeCell ref="U97:Y97"/>
    <mergeCell ref="AD97:AJ97"/>
    <mergeCell ref="AL97:AT97"/>
    <mergeCell ref="E98:G98"/>
    <mergeCell ref="H98:I98"/>
    <mergeCell ref="J98:N98"/>
    <mergeCell ref="P98:Q98"/>
    <mergeCell ref="R98:T98"/>
    <mergeCell ref="U98:Y98"/>
    <mergeCell ref="AD98:AJ98"/>
    <mergeCell ref="AL98:AT98"/>
    <mergeCell ref="E99:G99"/>
    <mergeCell ref="H99:I99"/>
    <mergeCell ref="J99:N99"/>
    <mergeCell ref="P99:Q99"/>
    <mergeCell ref="R99:T99"/>
    <mergeCell ref="U99:Y99"/>
    <mergeCell ref="AD99:AJ99"/>
    <mergeCell ref="AL99:AT99"/>
    <mergeCell ref="E100:G100"/>
    <mergeCell ref="H100:I100"/>
    <mergeCell ref="J100:N100"/>
    <mergeCell ref="P100:Q100"/>
    <mergeCell ref="R100:T100"/>
    <mergeCell ref="U100:Y100"/>
    <mergeCell ref="AD100:AJ100"/>
    <mergeCell ref="AL100:AT100"/>
    <mergeCell ref="E101:G101"/>
    <mergeCell ref="H101:I101"/>
    <mergeCell ref="J101:N101"/>
    <mergeCell ref="P101:Q101"/>
    <mergeCell ref="R101:T101"/>
    <mergeCell ref="U101:Y101"/>
    <mergeCell ref="AD101:AJ101"/>
    <mergeCell ref="AL101:AT101"/>
    <mergeCell ref="A102:C102"/>
    <mergeCell ref="E102:G102"/>
    <mergeCell ref="H102:I102"/>
    <mergeCell ref="J102:N102"/>
    <mergeCell ref="P102:Q102"/>
    <mergeCell ref="R102:T102"/>
    <mergeCell ref="U102:Y102"/>
    <mergeCell ref="AD102:AJ102"/>
    <mergeCell ref="AL102:AT102"/>
    <mergeCell ref="E103:G103"/>
    <mergeCell ref="H103:I103"/>
    <mergeCell ref="J103:N103"/>
    <mergeCell ref="P103:Q103"/>
    <mergeCell ref="R103:T103"/>
    <mergeCell ref="U103:Y103"/>
    <mergeCell ref="AD103:AJ103"/>
    <mergeCell ref="AL103:AT103"/>
    <mergeCell ref="E104:G104"/>
    <mergeCell ref="H104:I104"/>
    <mergeCell ref="J104:N104"/>
    <mergeCell ref="P104:Q104"/>
    <mergeCell ref="R104:T104"/>
    <mergeCell ref="U104:Y104"/>
    <mergeCell ref="AD104:AJ104"/>
    <mergeCell ref="AL104:AT104"/>
    <mergeCell ref="E105:G105"/>
    <mergeCell ref="H105:I105"/>
    <mergeCell ref="J105:N105"/>
    <mergeCell ref="P105:Q105"/>
    <mergeCell ref="R105:T105"/>
    <mergeCell ref="U105:Y105"/>
    <mergeCell ref="AD105:AJ105"/>
    <mergeCell ref="AL105:AT105"/>
    <mergeCell ref="E106:G106"/>
    <mergeCell ref="H106:I106"/>
    <mergeCell ref="J106:N106"/>
    <mergeCell ref="P106:Q106"/>
    <mergeCell ref="R106:T106"/>
    <mergeCell ref="U106:Y106"/>
    <mergeCell ref="AD106:AJ106"/>
    <mergeCell ref="AL106:AT106"/>
    <mergeCell ref="E107:G107"/>
    <mergeCell ref="H107:I107"/>
    <mergeCell ref="J107:N107"/>
    <mergeCell ref="P107:Q107"/>
    <mergeCell ref="R107:T107"/>
    <mergeCell ref="U107:Y107"/>
    <mergeCell ref="AD107:AJ107"/>
    <mergeCell ref="AL107:AT107"/>
    <mergeCell ref="E108:G108"/>
    <mergeCell ref="H108:I108"/>
    <mergeCell ref="J108:N108"/>
    <mergeCell ref="P108:Q108"/>
    <mergeCell ref="R108:T108"/>
    <mergeCell ref="U108:Y108"/>
    <mergeCell ref="AD108:AJ108"/>
    <mergeCell ref="AL108:AT108"/>
    <mergeCell ref="E109:G109"/>
    <mergeCell ref="H109:I109"/>
    <mergeCell ref="J109:N109"/>
    <mergeCell ref="P109:Q109"/>
    <mergeCell ref="R109:T109"/>
    <mergeCell ref="U109:Y109"/>
    <mergeCell ref="AD109:AJ109"/>
    <mergeCell ref="AL109:AT109"/>
    <mergeCell ref="E110:G110"/>
    <mergeCell ref="H110:I110"/>
    <mergeCell ref="J110:N110"/>
    <mergeCell ref="P110:Q110"/>
    <mergeCell ref="R110:T110"/>
    <mergeCell ref="U110:Y110"/>
    <mergeCell ref="AD110:AJ110"/>
    <mergeCell ref="AL110:AT110"/>
    <mergeCell ref="E111:G111"/>
    <mergeCell ref="H111:I111"/>
    <mergeCell ref="J111:N111"/>
    <mergeCell ref="P111:Q111"/>
    <mergeCell ref="R111:T111"/>
    <mergeCell ref="U111:Y111"/>
    <mergeCell ref="AD111:AJ111"/>
    <mergeCell ref="AL111:AT111"/>
    <mergeCell ref="E112:G112"/>
    <mergeCell ref="H112:I112"/>
    <mergeCell ref="J112:N112"/>
    <mergeCell ref="P112:Q112"/>
    <mergeCell ref="R112:T112"/>
    <mergeCell ref="U112:Y112"/>
    <mergeCell ref="AD112:AJ112"/>
    <mergeCell ref="AL112:AT112"/>
  </mergeCells>
  <conditionalFormatting sqref="B4:B13 B15:B24 B26:B35 B37:B46 B48:B57 B59:B68 B70:B79 B81:B90 B92:B101 B103:B112">
    <cfRule type="expression" dxfId="2" priority="2">
      <formula>IF(C4="√",1,0)</formula>
    </cfRule>
  </conditionalFormatting>
  <pageMargins left="0.699305555555556" right="0.699305555555556" top="0.75" bottom="0.75" header="0.511811023622047" footer="0.511811023622047"/>
  <pageSetup paperSize="9" orientation="portrait" horizontalDpi="300" verticalDpi="3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92D050"/>
  </sheetPr>
  <dimension ref="A1:AA669"/>
  <sheetViews>
    <sheetView workbookViewId="0">
      <pane ySplit="1" topLeftCell="A2" activePane="bottomLeft" state="frozen"/>
      <selection/>
      <selection pane="bottomLeft" activeCell="K95" sqref="K95"/>
    </sheetView>
  </sheetViews>
  <sheetFormatPr defaultColWidth="8.87272727272727" defaultRowHeight="14"/>
  <cols>
    <col min="1" max="1" width="8.99090909090909" customWidth="1"/>
    <col min="2" max="2" width="14.9818181818182" style="62" customWidth="1"/>
    <col min="3" max="3" width="6.61818181818182" style="62" customWidth="1"/>
    <col min="4" max="5" width="6.5" style="62" customWidth="1"/>
    <col min="6" max="6" width="10.7545454545455" style="63" customWidth="1"/>
    <col min="7" max="7" width="10.8636363636364" style="62" customWidth="1"/>
    <col min="8" max="10" width="4.25454545454545" style="62" customWidth="1"/>
    <col min="11" max="11" width="29.9636363636364" style="63" customWidth="1"/>
    <col min="12" max="12" width="17.2272727272727" style="62" customWidth="1"/>
    <col min="13" max="13" width="61.3" style="64" customWidth="1"/>
    <col min="14" max="14" width="11.4818181818182" style="28" customWidth="1"/>
    <col min="15" max="15" width="18.2272727272727" style="28" customWidth="1"/>
    <col min="16" max="16" width="10.8636363636364" customWidth="1"/>
    <col min="17" max="17" width="7.36363636363636" style="62" customWidth="1"/>
    <col min="18" max="19" width="8.87272727272727" style="62"/>
    <col min="20" max="20" width="7.25454545454545" style="62" customWidth="1"/>
    <col min="21" max="21" width="7.11818181818182" style="62" customWidth="1"/>
    <col min="22" max="22" width="8.87272727272727" style="62"/>
    <col min="23" max="23" width="7.73636363636364" style="62" customWidth="1"/>
    <col min="24" max="16384" width="8.87272727272727" style="62"/>
  </cols>
  <sheetData>
    <row r="1" ht="14.25" customHeight="1" spans="1:27">
      <c r="A1" t="str">
        <f>施法!J3</f>
        <v>法术名</v>
      </c>
      <c r="B1" s="65" t="s">
        <v>221</v>
      </c>
      <c r="C1" s="65" t="s">
        <v>156</v>
      </c>
      <c r="D1" s="65" t="s">
        <v>219</v>
      </c>
      <c r="E1" s="65" t="s">
        <v>220</v>
      </c>
      <c r="F1" s="65" t="s">
        <v>222</v>
      </c>
      <c r="G1" s="65" t="s">
        <v>223</v>
      </c>
      <c r="H1" s="65" t="s">
        <v>259</v>
      </c>
      <c r="I1" s="65" t="s">
        <v>260</v>
      </c>
      <c r="J1" s="65" t="s">
        <v>261</v>
      </c>
      <c r="K1" s="65" t="s">
        <v>262</v>
      </c>
      <c r="L1" s="65" t="s">
        <v>224</v>
      </c>
      <c r="M1" s="74" t="s">
        <v>263</v>
      </c>
      <c r="N1" s="65" t="s">
        <v>264</v>
      </c>
      <c r="O1" s="65" t="s">
        <v>265</v>
      </c>
      <c r="P1" s="65" t="s">
        <v>266</v>
      </c>
      <c r="Q1" s="65" t="s">
        <v>267</v>
      </c>
      <c r="R1" s="65" t="s">
        <v>268</v>
      </c>
      <c r="S1" s="65" t="s">
        <v>269</v>
      </c>
      <c r="T1" s="65" t="s">
        <v>270</v>
      </c>
      <c r="U1" s="65" t="s">
        <v>271</v>
      </c>
      <c r="V1" s="65" t="s">
        <v>47</v>
      </c>
      <c r="W1" s="65" t="s">
        <v>272</v>
      </c>
      <c r="X1" s="65" t="s">
        <v>273</v>
      </c>
      <c r="Y1" s="65" t="s">
        <v>274</v>
      </c>
      <c r="Z1" s="65" t="s">
        <v>275</v>
      </c>
      <c r="AA1" s="65" t="s">
        <v>276</v>
      </c>
    </row>
    <row r="2" ht="14.25" hidden="1" customHeight="1" spans="1:27">
      <c r="A2" t="str">
        <f>施法!J4</f>
        <v>魔能爆</v>
      </c>
      <c r="B2" s="66" t="s">
        <v>277</v>
      </c>
      <c r="C2" s="66">
        <v>0</v>
      </c>
      <c r="D2" s="66" t="s">
        <v>278</v>
      </c>
      <c r="E2" s="66" t="s">
        <v>205</v>
      </c>
      <c r="F2" s="66" t="s">
        <v>279</v>
      </c>
      <c r="G2" s="66" t="s">
        <v>280</v>
      </c>
      <c r="H2" s="66" t="s">
        <v>225</v>
      </c>
      <c r="I2" s="66" t="s">
        <v>226</v>
      </c>
      <c r="J2" s="66" t="s">
        <v>281</v>
      </c>
      <c r="K2" s="66" t="s">
        <v>281</v>
      </c>
      <c r="L2" s="66" t="s">
        <v>282</v>
      </c>
      <c r="M2" s="75" t="s">
        <v>283</v>
      </c>
      <c r="N2" s="66" t="s">
        <v>277</v>
      </c>
      <c r="O2" s="66" t="s">
        <v>284</v>
      </c>
      <c r="P2" s="66"/>
      <c r="Q2" s="66"/>
      <c r="R2" s="66"/>
      <c r="S2" s="66"/>
      <c r="T2" s="66"/>
      <c r="U2" s="66" t="s">
        <v>285</v>
      </c>
      <c r="V2" s="66"/>
      <c r="W2" s="66" t="s">
        <v>285</v>
      </c>
      <c r="X2" s="66" t="s">
        <v>285</v>
      </c>
      <c r="Y2" s="66"/>
      <c r="Z2" s="66"/>
      <c r="AA2" s="92" t="s">
        <v>286</v>
      </c>
    </row>
    <row r="3" ht="14.25" customHeight="1" spans="1:27">
      <c r="A3" t="str">
        <f>施法!J5</f>
        <v>次级幻影</v>
      </c>
      <c r="B3" s="67" t="s">
        <v>287</v>
      </c>
      <c r="C3" s="67">
        <v>0</v>
      </c>
      <c r="D3" s="67" t="s">
        <v>288</v>
      </c>
      <c r="E3" s="67" t="s">
        <v>205</v>
      </c>
      <c r="F3" s="67" t="s">
        <v>279</v>
      </c>
      <c r="G3" s="67" t="s">
        <v>289</v>
      </c>
      <c r="H3" s="67" t="s">
        <v>225</v>
      </c>
      <c r="I3" s="67" t="s">
        <v>226</v>
      </c>
      <c r="J3" s="67" t="s">
        <v>281</v>
      </c>
      <c r="K3" s="67" t="s">
        <v>281</v>
      </c>
      <c r="L3" s="67" t="s">
        <v>290</v>
      </c>
      <c r="M3" s="76" t="s">
        <v>291</v>
      </c>
      <c r="N3" s="67" t="s">
        <v>287</v>
      </c>
      <c r="O3" s="67" t="s">
        <v>292</v>
      </c>
      <c r="P3" s="67" t="s">
        <v>285</v>
      </c>
      <c r="Q3" s="67"/>
      <c r="R3" s="67"/>
      <c r="S3" s="67"/>
      <c r="T3" s="67"/>
      <c r="U3" s="67" t="s">
        <v>285</v>
      </c>
      <c r="V3" s="67" t="s">
        <v>285</v>
      </c>
      <c r="W3" s="67" t="s">
        <v>285</v>
      </c>
      <c r="X3" s="67"/>
      <c r="Y3" s="67"/>
      <c r="Z3" s="67"/>
      <c r="AA3" s="92" t="s">
        <v>286</v>
      </c>
    </row>
    <row r="4" ht="14.25" hidden="1" customHeight="1" spans="1:27">
      <c r="A4" t="str">
        <f>施法!J6</f>
        <v>法师之手</v>
      </c>
      <c r="B4" s="68" t="s">
        <v>293</v>
      </c>
      <c r="C4" s="68">
        <v>0</v>
      </c>
      <c r="D4" s="68" t="s">
        <v>294</v>
      </c>
      <c r="E4" s="68" t="s">
        <v>205</v>
      </c>
      <c r="F4" s="68" t="s">
        <v>279</v>
      </c>
      <c r="G4" s="68" t="s">
        <v>295</v>
      </c>
      <c r="H4" s="68" t="s">
        <v>281</v>
      </c>
      <c r="I4" s="68" t="s">
        <v>226</v>
      </c>
      <c r="J4" s="68" t="s">
        <v>227</v>
      </c>
      <c r="K4" s="68" t="s">
        <v>296</v>
      </c>
      <c r="L4" s="68" t="s">
        <v>290</v>
      </c>
      <c r="M4" s="77" t="s">
        <v>297</v>
      </c>
      <c r="N4" s="68" t="s">
        <v>293</v>
      </c>
      <c r="O4" s="68" t="s">
        <v>298</v>
      </c>
      <c r="P4" s="68"/>
      <c r="Q4" s="68"/>
      <c r="R4" s="68"/>
      <c r="S4" s="68"/>
      <c r="T4" s="68"/>
      <c r="U4" s="68" t="s">
        <v>285</v>
      </c>
      <c r="V4" s="68" t="s">
        <v>285</v>
      </c>
      <c r="W4" s="68" t="s">
        <v>285</v>
      </c>
      <c r="X4" s="68" t="s">
        <v>285</v>
      </c>
      <c r="Y4" s="68"/>
      <c r="Z4" s="68"/>
      <c r="AA4" s="92" t="s">
        <v>299</v>
      </c>
    </row>
    <row r="5" ht="14.25" customHeight="1" spans="1:27">
      <c r="A5" t="str">
        <f>施法!J7</f>
        <v>迷踪步</v>
      </c>
      <c r="B5" s="69" t="s">
        <v>300</v>
      </c>
      <c r="C5" s="69">
        <v>0</v>
      </c>
      <c r="D5" s="69" t="s">
        <v>301</v>
      </c>
      <c r="E5" s="69" t="s">
        <v>205</v>
      </c>
      <c r="F5" s="69" t="s">
        <v>279</v>
      </c>
      <c r="G5" s="69" t="s">
        <v>302</v>
      </c>
      <c r="H5" s="69" t="s">
        <v>225</v>
      </c>
      <c r="I5" s="69" t="s">
        <v>226</v>
      </c>
      <c r="J5" s="69" t="s">
        <v>281</v>
      </c>
      <c r="K5" s="69" t="s">
        <v>281</v>
      </c>
      <c r="L5" s="69" t="s">
        <v>290</v>
      </c>
      <c r="M5" s="78" t="s">
        <v>303</v>
      </c>
      <c r="N5" s="69" t="s">
        <v>300</v>
      </c>
      <c r="O5" s="69" t="s">
        <v>304</v>
      </c>
      <c r="P5" s="69"/>
      <c r="Q5" s="69"/>
      <c r="R5" s="69"/>
      <c r="S5" s="69"/>
      <c r="T5" s="69"/>
      <c r="U5" s="69" t="s">
        <v>285</v>
      </c>
      <c r="V5" s="69" t="s">
        <v>285</v>
      </c>
      <c r="W5" s="69" t="s">
        <v>285</v>
      </c>
      <c r="X5" s="69"/>
      <c r="Y5" s="69"/>
      <c r="Z5" s="69"/>
      <c r="AA5" s="92" t="s">
        <v>286</v>
      </c>
    </row>
    <row r="6" ht="14.25" hidden="1" customHeight="1" spans="1:27">
      <c r="A6" t="str">
        <f>施法!J8</f>
        <v>暗示术</v>
      </c>
      <c r="B6" s="70" t="s">
        <v>305</v>
      </c>
      <c r="C6" s="70">
        <v>0</v>
      </c>
      <c r="D6" s="70" t="s">
        <v>306</v>
      </c>
      <c r="E6" s="70" t="s">
        <v>205</v>
      </c>
      <c r="F6" s="70" t="s">
        <v>279</v>
      </c>
      <c r="G6" s="70" t="s">
        <v>280</v>
      </c>
      <c r="H6" s="70" t="s">
        <v>281</v>
      </c>
      <c r="I6" s="70" t="s">
        <v>226</v>
      </c>
      <c r="J6" s="70" t="s">
        <v>281</v>
      </c>
      <c r="K6" s="70" t="s">
        <v>281</v>
      </c>
      <c r="L6" s="70" t="s">
        <v>307</v>
      </c>
      <c r="M6" s="79" t="s">
        <v>308</v>
      </c>
      <c r="N6" s="70" t="s">
        <v>305</v>
      </c>
      <c r="O6" s="70" t="s">
        <v>309</v>
      </c>
      <c r="P6" s="70"/>
      <c r="Q6" s="70"/>
      <c r="R6" s="70" t="s">
        <v>285</v>
      </c>
      <c r="S6" s="70"/>
      <c r="T6" s="70"/>
      <c r="U6" s="70" t="s">
        <v>285</v>
      </c>
      <c r="V6" s="70"/>
      <c r="W6" s="70" t="s">
        <v>285</v>
      </c>
      <c r="X6" s="70"/>
      <c r="Y6" s="70"/>
      <c r="Z6" s="70"/>
      <c r="AA6" s="92" t="s">
        <v>310</v>
      </c>
    </row>
    <row r="7" ht="14.25" hidden="1" customHeight="1" spans="1:27">
      <c r="A7" t="str">
        <f>施法!J9</f>
        <v>隐形术</v>
      </c>
      <c r="B7" s="66" t="s">
        <v>311</v>
      </c>
      <c r="C7" s="66">
        <v>0</v>
      </c>
      <c r="D7" s="66" t="s">
        <v>278</v>
      </c>
      <c r="E7" s="66" t="s">
        <v>205</v>
      </c>
      <c r="F7" s="66" t="s">
        <v>279</v>
      </c>
      <c r="G7" s="66" t="s">
        <v>280</v>
      </c>
      <c r="H7" s="66" t="s">
        <v>225</v>
      </c>
      <c r="I7" s="66" t="s">
        <v>226</v>
      </c>
      <c r="J7" s="66" t="s">
        <v>281</v>
      </c>
      <c r="K7" s="66" t="s">
        <v>281</v>
      </c>
      <c r="L7" s="66" t="s">
        <v>312</v>
      </c>
      <c r="M7" s="80" t="s">
        <v>313</v>
      </c>
      <c r="N7" s="66" t="s">
        <v>311</v>
      </c>
      <c r="O7" s="66" t="s">
        <v>314</v>
      </c>
      <c r="P7" s="66"/>
      <c r="Q7" s="66"/>
      <c r="R7" s="66" t="s">
        <v>285</v>
      </c>
      <c r="S7" s="66"/>
      <c r="T7" s="66"/>
      <c r="U7" s="66" t="s">
        <v>285</v>
      </c>
      <c r="V7" s="66" t="s">
        <v>285</v>
      </c>
      <c r="W7" s="66" t="s">
        <v>285</v>
      </c>
      <c r="X7" s="66" t="s">
        <v>285</v>
      </c>
      <c r="Y7" s="66"/>
      <c r="Z7" s="66"/>
      <c r="AA7" s="92" t="s">
        <v>310</v>
      </c>
    </row>
    <row r="8" ht="14.25" hidden="1" customHeight="1" spans="1:27">
      <c r="A8" t="str">
        <f>施法!J10</f>
        <v>人类定身术</v>
      </c>
      <c r="B8" s="68" t="s">
        <v>315</v>
      </c>
      <c r="C8" s="68">
        <v>0</v>
      </c>
      <c r="D8" s="68" t="s">
        <v>294</v>
      </c>
      <c r="E8" s="68" t="s">
        <v>205</v>
      </c>
      <c r="F8" s="68" t="s">
        <v>279</v>
      </c>
      <c r="G8" s="68" t="s">
        <v>302</v>
      </c>
      <c r="H8" s="68" t="s">
        <v>225</v>
      </c>
      <c r="I8" s="68" t="s">
        <v>226</v>
      </c>
      <c r="J8" s="68" t="s">
        <v>227</v>
      </c>
      <c r="K8" s="68" t="s">
        <v>316</v>
      </c>
      <c r="L8" s="68" t="s">
        <v>312</v>
      </c>
      <c r="M8" s="77" t="s">
        <v>317</v>
      </c>
      <c r="N8" s="68" t="s">
        <v>315</v>
      </c>
      <c r="O8" s="68" t="s">
        <v>318</v>
      </c>
      <c r="P8" s="68" t="s">
        <v>285</v>
      </c>
      <c r="Q8" s="68"/>
      <c r="R8" s="68"/>
      <c r="S8" s="68"/>
      <c r="T8" s="68"/>
      <c r="U8" s="68" t="s">
        <v>285</v>
      </c>
      <c r="V8" s="68"/>
      <c r="W8" s="68" t="s">
        <v>285</v>
      </c>
      <c r="X8" s="68" t="s">
        <v>285</v>
      </c>
      <c r="Y8" s="68"/>
      <c r="Z8" s="68"/>
      <c r="AA8" s="92" t="s">
        <v>286</v>
      </c>
    </row>
    <row r="9" ht="14.25" hidden="1" customHeight="1" spans="1:27">
      <c r="A9" t="str">
        <f>施法!J11</f>
        <v>隐形仆役</v>
      </c>
      <c r="B9" s="70" t="s">
        <v>319</v>
      </c>
      <c r="C9" s="70">
        <v>0</v>
      </c>
      <c r="D9" s="70" t="s">
        <v>306</v>
      </c>
      <c r="E9" s="70" t="s">
        <v>205</v>
      </c>
      <c r="F9" s="70" t="s">
        <v>279</v>
      </c>
      <c r="G9" s="70" t="s">
        <v>320</v>
      </c>
      <c r="H9" s="70" t="s">
        <v>225</v>
      </c>
      <c r="I9" s="70" t="s">
        <v>226</v>
      </c>
      <c r="J9" s="70" t="s">
        <v>281</v>
      </c>
      <c r="K9" s="70" t="s">
        <v>281</v>
      </c>
      <c r="L9" s="70" t="s">
        <v>282</v>
      </c>
      <c r="M9" s="79" t="s">
        <v>321</v>
      </c>
      <c r="N9" s="70" t="s">
        <v>319</v>
      </c>
      <c r="O9" s="70" t="s">
        <v>322</v>
      </c>
      <c r="P9" s="70"/>
      <c r="Q9" s="70"/>
      <c r="R9" s="70" t="s">
        <v>285</v>
      </c>
      <c r="S9" s="70"/>
      <c r="T9" s="70"/>
      <c r="U9" s="70"/>
      <c r="V9" s="70"/>
      <c r="W9" s="70"/>
      <c r="X9" s="70"/>
      <c r="Y9" s="70"/>
      <c r="Z9" s="70"/>
      <c r="AA9" s="92" t="s">
        <v>286</v>
      </c>
    </row>
    <row r="10" ht="14.25" customHeight="1" spans="1:27">
      <c r="A10" t="str">
        <f>施法!J12</f>
        <v>修复术</v>
      </c>
      <c r="B10" s="68" t="s">
        <v>233</v>
      </c>
      <c r="C10" s="68">
        <v>0</v>
      </c>
      <c r="D10" s="68" t="s">
        <v>294</v>
      </c>
      <c r="E10" s="68" t="s">
        <v>205</v>
      </c>
      <c r="F10" s="68" t="s">
        <v>279</v>
      </c>
      <c r="G10" s="68" t="s">
        <v>302</v>
      </c>
      <c r="H10" s="68" t="s">
        <v>225</v>
      </c>
      <c r="I10" s="68" t="s">
        <v>226</v>
      </c>
      <c r="J10" s="68" t="s">
        <v>281</v>
      </c>
      <c r="K10" s="68" t="s">
        <v>281</v>
      </c>
      <c r="L10" s="68" t="s">
        <v>282</v>
      </c>
      <c r="M10" s="77" t="s">
        <v>323</v>
      </c>
      <c r="N10" s="68" t="s">
        <v>233</v>
      </c>
      <c r="O10" s="68" t="s">
        <v>324</v>
      </c>
      <c r="P10" s="68"/>
      <c r="Q10" s="68"/>
      <c r="R10" s="68"/>
      <c r="S10" s="68"/>
      <c r="T10" s="68"/>
      <c r="U10" s="68"/>
      <c r="V10" s="68" t="s">
        <v>285</v>
      </c>
      <c r="W10" s="68"/>
      <c r="X10" s="68"/>
      <c r="Y10" s="68"/>
      <c r="Z10" s="68"/>
      <c r="AA10" s="92" t="s">
        <v>286</v>
      </c>
    </row>
    <row r="11" ht="14.25" hidden="1" customHeight="1" spans="1:27">
      <c r="A11" t="str">
        <f>施法!J13</f>
        <v>亡灵召唤术</v>
      </c>
      <c r="B11" s="68" t="s">
        <v>325</v>
      </c>
      <c r="C11" s="68">
        <v>0</v>
      </c>
      <c r="D11" s="68" t="s">
        <v>294</v>
      </c>
      <c r="E11" s="68" t="s">
        <v>205</v>
      </c>
      <c r="F11" s="68" t="s">
        <v>279</v>
      </c>
      <c r="G11" s="68" t="s">
        <v>302</v>
      </c>
      <c r="H11" s="68" t="s">
        <v>225</v>
      </c>
      <c r="I11" s="68" t="s">
        <v>226</v>
      </c>
      <c r="J11" s="68" t="s">
        <v>281</v>
      </c>
      <c r="K11" s="68" t="s">
        <v>281</v>
      </c>
      <c r="L11" s="68" t="s">
        <v>282</v>
      </c>
      <c r="M11" s="77" t="s">
        <v>326</v>
      </c>
      <c r="N11" s="68" t="s">
        <v>325</v>
      </c>
      <c r="O11" s="68" t="s">
        <v>327</v>
      </c>
      <c r="P11" s="68"/>
      <c r="Q11" s="68"/>
      <c r="R11" s="68"/>
      <c r="S11" s="68"/>
      <c r="T11" s="68"/>
      <c r="U11" s="68" t="s">
        <v>285</v>
      </c>
      <c r="V11" s="68"/>
      <c r="W11" s="68" t="s">
        <v>285</v>
      </c>
      <c r="X11" s="68" t="s">
        <v>285</v>
      </c>
      <c r="Y11" s="68"/>
      <c r="Z11" s="68"/>
      <c r="AA11" s="92" t="s">
        <v>286</v>
      </c>
    </row>
    <row r="12" ht="14.25" customHeight="1" spans="1:27">
      <c r="A12" t="str">
        <f>施法!J14</f>
        <v>法术名</v>
      </c>
      <c r="B12" s="71" t="s">
        <v>328</v>
      </c>
      <c r="C12" s="71">
        <v>0</v>
      </c>
      <c r="D12" s="71" t="s">
        <v>329</v>
      </c>
      <c r="E12" s="71" t="s">
        <v>205</v>
      </c>
      <c r="F12" s="71" t="s">
        <v>279</v>
      </c>
      <c r="G12" s="71" t="s">
        <v>289</v>
      </c>
      <c r="H12" s="71" t="s">
        <v>281</v>
      </c>
      <c r="I12" s="71" t="s">
        <v>226</v>
      </c>
      <c r="J12" s="71" t="s">
        <v>227</v>
      </c>
      <c r="K12" s="71" t="s">
        <v>330</v>
      </c>
      <c r="L12" s="71" t="s">
        <v>312</v>
      </c>
      <c r="M12" s="81" t="s">
        <v>331</v>
      </c>
      <c r="N12" s="71" t="s">
        <v>328</v>
      </c>
      <c r="O12" s="71" t="s">
        <v>332</v>
      </c>
      <c r="P12" s="71" t="s">
        <v>285</v>
      </c>
      <c r="Q12" s="71"/>
      <c r="R12" s="71"/>
      <c r="S12" s="71"/>
      <c r="T12" s="71"/>
      <c r="U12" s="71" t="s">
        <v>285</v>
      </c>
      <c r="V12" s="71" t="s">
        <v>285</v>
      </c>
      <c r="W12" s="71" t="s">
        <v>285</v>
      </c>
      <c r="X12" s="71"/>
      <c r="Y12" s="71"/>
      <c r="Z12" s="71"/>
      <c r="AA12" s="92" t="s">
        <v>286</v>
      </c>
    </row>
    <row r="13" ht="14.25" hidden="1" customHeight="1" spans="1:27">
      <c r="A13">
        <f>施法!J15</f>
        <v>0</v>
      </c>
      <c r="B13" s="68" t="s">
        <v>333</v>
      </c>
      <c r="C13" s="68">
        <v>0</v>
      </c>
      <c r="D13" s="68" t="s">
        <v>294</v>
      </c>
      <c r="E13" s="68" t="s">
        <v>205</v>
      </c>
      <c r="F13" s="68" t="s">
        <v>279</v>
      </c>
      <c r="G13" s="68" t="s">
        <v>280</v>
      </c>
      <c r="H13" s="68" t="s">
        <v>225</v>
      </c>
      <c r="I13" s="68" t="s">
        <v>226</v>
      </c>
      <c r="J13" s="68" t="s">
        <v>281</v>
      </c>
      <c r="K13" s="68" t="s">
        <v>281</v>
      </c>
      <c r="L13" s="68" t="s">
        <v>282</v>
      </c>
      <c r="M13" s="82" t="s">
        <v>334</v>
      </c>
      <c r="N13" s="68" t="s">
        <v>333</v>
      </c>
      <c r="O13" s="68" t="s">
        <v>335</v>
      </c>
      <c r="P13" s="68"/>
      <c r="Q13" s="68"/>
      <c r="R13" s="68" t="s">
        <v>285</v>
      </c>
      <c r="S13" s="68"/>
      <c r="T13" s="68"/>
      <c r="U13" s="68" t="s">
        <v>285</v>
      </c>
      <c r="V13" s="68" t="s">
        <v>285</v>
      </c>
      <c r="W13" s="68" t="s">
        <v>285</v>
      </c>
      <c r="X13" s="68" t="s">
        <v>285</v>
      </c>
      <c r="Y13" s="68"/>
      <c r="Z13" s="68"/>
      <c r="AA13" s="92" t="s">
        <v>310</v>
      </c>
    </row>
    <row r="14" ht="14.25" hidden="1" customHeight="1" spans="1:27">
      <c r="A14">
        <f>施法!J16</f>
        <v>0</v>
      </c>
      <c r="B14" s="68" t="s">
        <v>336</v>
      </c>
      <c r="C14" s="68">
        <v>0</v>
      </c>
      <c r="D14" s="68" t="s">
        <v>294</v>
      </c>
      <c r="E14" s="68" t="s">
        <v>205</v>
      </c>
      <c r="F14" s="68" t="s">
        <v>279</v>
      </c>
      <c r="G14" s="68" t="s">
        <v>295</v>
      </c>
      <c r="H14" s="68" t="s">
        <v>281</v>
      </c>
      <c r="I14" s="68" t="s">
        <v>226</v>
      </c>
      <c r="J14" s="68" t="s">
        <v>227</v>
      </c>
      <c r="K14" s="68" t="s">
        <v>296</v>
      </c>
      <c r="L14" s="68" t="s">
        <v>282</v>
      </c>
      <c r="M14" s="77" t="s">
        <v>337</v>
      </c>
      <c r="N14" s="68" t="s">
        <v>336</v>
      </c>
      <c r="O14" s="68" t="s">
        <v>338</v>
      </c>
      <c r="P14" s="68"/>
      <c r="Q14" s="68"/>
      <c r="R14" s="68"/>
      <c r="S14" s="68"/>
      <c r="T14" s="68"/>
      <c r="U14" s="68" t="s">
        <v>285</v>
      </c>
      <c r="V14" s="68" t="s">
        <v>285</v>
      </c>
      <c r="W14" s="68" t="s">
        <v>285</v>
      </c>
      <c r="X14" s="68" t="s">
        <v>285</v>
      </c>
      <c r="Y14" s="68"/>
      <c r="Z14" s="68"/>
      <c r="AA14" s="92" t="s">
        <v>299</v>
      </c>
    </row>
    <row r="15" ht="14.25" hidden="1" customHeight="1" spans="1:27">
      <c r="A15">
        <f>施法!J17</f>
        <v>0</v>
      </c>
      <c r="B15" s="72" t="s">
        <v>339</v>
      </c>
      <c r="C15" s="72">
        <v>0</v>
      </c>
      <c r="D15" s="72" t="s">
        <v>340</v>
      </c>
      <c r="E15" s="72" t="s">
        <v>205</v>
      </c>
      <c r="F15" s="72" t="s">
        <v>279</v>
      </c>
      <c r="G15" s="72" t="s">
        <v>341</v>
      </c>
      <c r="H15" s="72" t="s">
        <v>225</v>
      </c>
      <c r="I15" s="72" t="s">
        <v>226</v>
      </c>
      <c r="J15" s="72" t="s">
        <v>281</v>
      </c>
      <c r="K15" s="72" t="s">
        <v>281</v>
      </c>
      <c r="L15" s="72" t="s">
        <v>312</v>
      </c>
      <c r="M15" s="83" t="s">
        <v>342</v>
      </c>
      <c r="N15" s="72" t="s">
        <v>339</v>
      </c>
      <c r="O15" s="72" t="s">
        <v>343</v>
      </c>
      <c r="P15" s="72"/>
      <c r="Q15" s="72" t="s">
        <v>285</v>
      </c>
      <c r="R15" s="72" t="s">
        <v>285</v>
      </c>
      <c r="S15" s="72"/>
      <c r="T15" s="72"/>
      <c r="U15" s="72"/>
      <c r="V15" s="72"/>
      <c r="W15" s="72"/>
      <c r="X15" s="72" t="s">
        <v>285</v>
      </c>
      <c r="Y15" s="72"/>
      <c r="Z15" s="72"/>
      <c r="AA15" s="92" t="s">
        <v>286</v>
      </c>
    </row>
    <row r="16" ht="14.25" hidden="1" customHeight="1" spans="1:27">
      <c r="A16">
        <f>施法!J18</f>
        <v>0</v>
      </c>
      <c r="B16" s="70" t="s">
        <v>344</v>
      </c>
      <c r="C16" s="70">
        <v>0</v>
      </c>
      <c r="D16" s="70" t="s">
        <v>306</v>
      </c>
      <c r="E16" s="70" t="s">
        <v>205</v>
      </c>
      <c r="F16" s="70" t="s">
        <v>279</v>
      </c>
      <c r="G16" s="70" t="s">
        <v>320</v>
      </c>
      <c r="H16" s="70" t="s">
        <v>225</v>
      </c>
      <c r="I16" s="70" t="s">
        <v>226</v>
      </c>
      <c r="J16" s="70" t="s">
        <v>281</v>
      </c>
      <c r="K16" s="70" t="s">
        <v>281</v>
      </c>
      <c r="L16" s="70" t="s">
        <v>282</v>
      </c>
      <c r="M16" s="84" t="s">
        <v>345</v>
      </c>
      <c r="N16" s="70" t="s">
        <v>344</v>
      </c>
      <c r="O16" s="70" t="s">
        <v>346</v>
      </c>
      <c r="P16" s="70"/>
      <c r="Q16" s="70"/>
      <c r="R16" s="70" t="s">
        <v>285</v>
      </c>
      <c r="S16" s="70"/>
      <c r="T16" s="70"/>
      <c r="U16" s="70" t="s">
        <v>285</v>
      </c>
      <c r="V16" s="70"/>
      <c r="W16" s="70" t="s">
        <v>285</v>
      </c>
      <c r="X16" s="70"/>
      <c r="Y16" s="70"/>
      <c r="Z16" s="70"/>
      <c r="AA16" s="92" t="s">
        <v>310</v>
      </c>
    </row>
    <row r="17" ht="14.25" hidden="1" customHeight="1" spans="1:27">
      <c r="A17">
        <f>施法!J19</f>
        <v>0</v>
      </c>
      <c r="B17" s="66" t="s">
        <v>347</v>
      </c>
      <c r="C17" s="66">
        <v>0</v>
      </c>
      <c r="D17" s="66" t="s">
        <v>278</v>
      </c>
      <c r="E17" s="66" t="s">
        <v>205</v>
      </c>
      <c r="F17" s="66" t="s">
        <v>279</v>
      </c>
      <c r="G17" s="66" t="s">
        <v>320</v>
      </c>
      <c r="H17" s="66" t="s">
        <v>225</v>
      </c>
      <c r="I17" s="66" t="s">
        <v>226</v>
      </c>
      <c r="J17" s="66" t="s">
        <v>227</v>
      </c>
      <c r="K17" s="66" t="s">
        <v>348</v>
      </c>
      <c r="L17" s="66" t="s">
        <v>282</v>
      </c>
      <c r="M17" s="75" t="s">
        <v>349</v>
      </c>
      <c r="N17" s="66" t="s">
        <v>347</v>
      </c>
      <c r="O17" s="66" t="s">
        <v>350</v>
      </c>
      <c r="P17" s="66"/>
      <c r="Q17" s="66"/>
      <c r="R17" s="66" t="s">
        <v>285</v>
      </c>
      <c r="S17" s="66"/>
      <c r="T17" s="66"/>
      <c r="U17" s="66" t="s">
        <v>285</v>
      </c>
      <c r="V17" s="66" t="s">
        <v>285</v>
      </c>
      <c r="W17" s="66" t="s">
        <v>285</v>
      </c>
      <c r="X17" s="66"/>
      <c r="Y17" s="66"/>
      <c r="Z17" s="66"/>
      <c r="AA17" s="92" t="s">
        <v>310</v>
      </c>
    </row>
    <row r="18" ht="14.25" hidden="1" customHeight="1" spans="1:27">
      <c r="A18">
        <f>施法!J20</f>
        <v>0</v>
      </c>
      <c r="B18" s="68" t="s">
        <v>351</v>
      </c>
      <c r="C18" s="68">
        <v>0</v>
      </c>
      <c r="D18" s="68" t="s">
        <v>294</v>
      </c>
      <c r="E18" s="68" t="s">
        <v>205</v>
      </c>
      <c r="F18" s="68" t="s">
        <v>279</v>
      </c>
      <c r="G18" s="68" t="s">
        <v>341</v>
      </c>
      <c r="H18" s="68" t="s">
        <v>225</v>
      </c>
      <c r="I18" s="68" t="s">
        <v>281</v>
      </c>
      <c r="J18" s="68" t="s">
        <v>227</v>
      </c>
      <c r="K18" s="68" t="s">
        <v>352</v>
      </c>
      <c r="L18" s="68" t="s">
        <v>353</v>
      </c>
      <c r="M18" s="82" t="s">
        <v>354</v>
      </c>
      <c r="N18" s="68" t="s">
        <v>351</v>
      </c>
      <c r="O18" s="68" t="s">
        <v>355</v>
      </c>
      <c r="P18" s="68" t="s">
        <v>285</v>
      </c>
      <c r="Q18" s="68" t="s">
        <v>285</v>
      </c>
      <c r="R18" s="68"/>
      <c r="S18" s="68"/>
      <c r="T18" s="68"/>
      <c r="U18" s="68" t="s">
        <v>285</v>
      </c>
      <c r="V18" s="68"/>
      <c r="W18" s="68" t="s">
        <v>285</v>
      </c>
      <c r="X18" s="68" t="s">
        <v>285</v>
      </c>
      <c r="Y18" s="68"/>
      <c r="Z18" s="68"/>
      <c r="AA18" s="92" t="s">
        <v>286</v>
      </c>
    </row>
    <row r="19" ht="14.25" hidden="1" customHeight="1" spans="1:27">
      <c r="A19">
        <f>施法!J21</f>
        <v>0</v>
      </c>
      <c r="B19" s="68" t="s">
        <v>356</v>
      </c>
      <c r="C19" s="68">
        <v>0</v>
      </c>
      <c r="D19" s="68" t="s">
        <v>294</v>
      </c>
      <c r="E19" s="68" t="s">
        <v>205</v>
      </c>
      <c r="F19" s="68" t="s">
        <v>279</v>
      </c>
      <c r="G19" s="68" t="s">
        <v>357</v>
      </c>
      <c r="H19" s="68" t="s">
        <v>225</v>
      </c>
      <c r="I19" s="68" t="s">
        <v>281</v>
      </c>
      <c r="J19" s="68" t="s">
        <v>281</v>
      </c>
      <c r="K19" s="68" t="s">
        <v>281</v>
      </c>
      <c r="L19" s="68" t="s">
        <v>282</v>
      </c>
      <c r="M19" s="77" t="s">
        <v>358</v>
      </c>
      <c r="N19" s="68" t="s">
        <v>356</v>
      </c>
      <c r="O19" s="68" t="s">
        <v>359</v>
      </c>
      <c r="P19" s="68"/>
      <c r="Q19" s="68"/>
      <c r="R19" s="68"/>
      <c r="S19" s="68"/>
      <c r="T19" s="68"/>
      <c r="U19" s="68" t="s">
        <v>285</v>
      </c>
      <c r="V19" s="68" t="s">
        <v>285</v>
      </c>
      <c r="W19" s="68" t="s">
        <v>285</v>
      </c>
      <c r="X19" s="68" t="s">
        <v>285</v>
      </c>
      <c r="Y19" s="68"/>
      <c r="Z19" s="68"/>
      <c r="AA19" s="92" t="s">
        <v>299</v>
      </c>
    </row>
    <row r="20" s="61" customFormat="1" ht="14.25" customHeight="1" spans="1:27">
      <c r="A20" s="61">
        <f>施法!J22</f>
        <v>0</v>
      </c>
      <c r="B20" s="66" t="s">
        <v>236</v>
      </c>
      <c r="C20" s="66">
        <v>0</v>
      </c>
      <c r="D20" s="66" t="s">
        <v>278</v>
      </c>
      <c r="E20" s="66" t="s">
        <v>205</v>
      </c>
      <c r="F20" s="66" t="s">
        <v>279</v>
      </c>
      <c r="G20" s="66" t="s">
        <v>320</v>
      </c>
      <c r="H20" s="66" t="s">
        <v>225</v>
      </c>
      <c r="I20" s="66" t="s">
        <v>226</v>
      </c>
      <c r="J20" s="66" t="s">
        <v>281</v>
      </c>
      <c r="K20" s="66" t="s">
        <v>281</v>
      </c>
      <c r="L20" s="66" t="s">
        <v>360</v>
      </c>
      <c r="M20" s="75" t="s">
        <v>361</v>
      </c>
      <c r="N20" s="66" t="s">
        <v>236</v>
      </c>
      <c r="O20" s="66" t="s">
        <v>362</v>
      </c>
      <c r="P20" s="66" t="s">
        <v>285</v>
      </c>
      <c r="Q20" s="66"/>
      <c r="R20" s="66"/>
      <c r="S20" s="66"/>
      <c r="T20" s="66"/>
      <c r="U20" s="66" t="s">
        <v>285</v>
      </c>
      <c r="V20" s="66" t="s">
        <v>285</v>
      </c>
      <c r="W20" s="66" t="s">
        <v>285</v>
      </c>
      <c r="X20" s="66" t="s">
        <v>285</v>
      </c>
      <c r="Y20" s="66"/>
      <c r="Z20" s="66"/>
      <c r="AA20" s="92" t="s">
        <v>286</v>
      </c>
    </row>
    <row r="21" ht="14.25" hidden="1" customHeight="1" spans="1:27">
      <c r="A21">
        <f>施法!J23</f>
        <v>0</v>
      </c>
      <c r="B21" s="70" t="s">
        <v>363</v>
      </c>
      <c r="C21" s="70">
        <v>0</v>
      </c>
      <c r="D21" s="70" t="s">
        <v>306</v>
      </c>
      <c r="E21" s="70" t="s">
        <v>205</v>
      </c>
      <c r="F21" s="70" t="s">
        <v>364</v>
      </c>
      <c r="G21" s="70" t="s">
        <v>341</v>
      </c>
      <c r="H21" s="70" t="s">
        <v>225</v>
      </c>
      <c r="I21" s="70" t="s">
        <v>226</v>
      </c>
      <c r="J21" s="70" t="s">
        <v>281</v>
      </c>
      <c r="K21" s="70" t="s">
        <v>281</v>
      </c>
      <c r="L21" s="70" t="s">
        <v>360</v>
      </c>
      <c r="M21" s="84" t="s">
        <v>365</v>
      </c>
      <c r="N21" s="70" t="s">
        <v>363</v>
      </c>
      <c r="O21" s="70" t="s">
        <v>366</v>
      </c>
      <c r="P21" s="70"/>
      <c r="Q21" s="70"/>
      <c r="R21" s="70" t="s">
        <v>285</v>
      </c>
      <c r="S21" s="70"/>
      <c r="T21" s="70"/>
      <c r="U21" s="70"/>
      <c r="V21" s="70" t="s">
        <v>285</v>
      </c>
      <c r="W21" s="70"/>
      <c r="X21" s="70" t="s">
        <v>285</v>
      </c>
      <c r="Y21" s="70"/>
      <c r="Z21" s="70"/>
      <c r="AA21" s="92" t="s">
        <v>310</v>
      </c>
    </row>
    <row r="22" ht="14.25" hidden="1" customHeight="1" spans="1:27">
      <c r="A22">
        <f>施法!J24</f>
        <v>0</v>
      </c>
      <c r="B22" s="70" t="s">
        <v>242</v>
      </c>
      <c r="C22" s="70">
        <v>0</v>
      </c>
      <c r="D22" s="70" t="s">
        <v>306</v>
      </c>
      <c r="E22" s="70" t="s">
        <v>205</v>
      </c>
      <c r="F22" s="70" t="s">
        <v>360</v>
      </c>
      <c r="G22" s="70" t="s">
        <v>341</v>
      </c>
      <c r="H22" s="70" t="s">
        <v>225</v>
      </c>
      <c r="I22" s="70" t="s">
        <v>226</v>
      </c>
      <c r="J22" s="70" t="s">
        <v>227</v>
      </c>
      <c r="K22" s="70" t="s">
        <v>367</v>
      </c>
      <c r="L22" s="70" t="s">
        <v>282</v>
      </c>
      <c r="M22" s="79" t="s">
        <v>368</v>
      </c>
      <c r="N22" s="70" t="s">
        <v>242</v>
      </c>
      <c r="O22" s="70" t="s">
        <v>369</v>
      </c>
      <c r="P22" s="70" t="s">
        <v>285</v>
      </c>
      <c r="Q22" s="70" t="s">
        <v>285</v>
      </c>
      <c r="R22" s="70" t="s">
        <v>285</v>
      </c>
      <c r="S22" s="70"/>
      <c r="T22" s="70"/>
      <c r="U22" s="70" t="s">
        <v>285</v>
      </c>
      <c r="V22" s="70"/>
      <c r="W22" s="70" t="s">
        <v>285</v>
      </c>
      <c r="X22" s="70" t="s">
        <v>285</v>
      </c>
      <c r="Y22" s="70"/>
      <c r="Z22" s="70"/>
      <c r="AA22" s="92" t="s">
        <v>286</v>
      </c>
    </row>
    <row r="23" ht="14.25" hidden="1" customHeight="1" spans="1:27">
      <c r="A23" t="str">
        <f>施法!J25</f>
        <v>法术名</v>
      </c>
      <c r="B23" s="70" t="s">
        <v>370</v>
      </c>
      <c r="C23" s="70">
        <v>0</v>
      </c>
      <c r="D23" s="70" t="s">
        <v>306</v>
      </c>
      <c r="E23" s="70" t="s">
        <v>205</v>
      </c>
      <c r="F23" s="70" t="s">
        <v>279</v>
      </c>
      <c r="G23" s="70" t="s">
        <v>302</v>
      </c>
      <c r="H23" s="70" t="s">
        <v>225</v>
      </c>
      <c r="I23" s="70" t="s">
        <v>226</v>
      </c>
      <c r="J23" s="70" t="s">
        <v>227</v>
      </c>
      <c r="K23" s="70" t="s">
        <v>371</v>
      </c>
      <c r="L23" s="70" t="s">
        <v>290</v>
      </c>
      <c r="M23" s="79" t="s">
        <v>372</v>
      </c>
      <c r="N23" s="70" t="s">
        <v>370</v>
      </c>
      <c r="O23" s="70" t="s">
        <v>373</v>
      </c>
      <c r="P23" s="70" t="s">
        <v>285</v>
      </c>
      <c r="Q23" s="70"/>
      <c r="R23" s="70"/>
      <c r="S23" s="70"/>
      <c r="T23" s="70"/>
      <c r="U23" s="70" t="s">
        <v>285</v>
      </c>
      <c r="V23" s="70"/>
      <c r="W23" s="70" t="s">
        <v>285</v>
      </c>
      <c r="X23" s="70" t="s">
        <v>285</v>
      </c>
      <c r="Y23" s="70"/>
      <c r="Z23" s="70"/>
      <c r="AA23" s="92" t="s">
        <v>286</v>
      </c>
    </row>
    <row r="24" ht="14.25" hidden="1" customHeight="1" spans="1:27">
      <c r="A24">
        <f>施法!J26</f>
        <v>0</v>
      </c>
      <c r="B24" s="71" t="s">
        <v>374</v>
      </c>
      <c r="C24" s="71">
        <v>0</v>
      </c>
      <c r="D24" s="71" t="s">
        <v>329</v>
      </c>
      <c r="E24" s="71" t="s">
        <v>205</v>
      </c>
      <c r="F24" s="71" t="s">
        <v>279</v>
      </c>
      <c r="G24" s="71" t="s">
        <v>280</v>
      </c>
      <c r="H24" s="71" t="s">
        <v>225</v>
      </c>
      <c r="I24" s="71" t="s">
        <v>281</v>
      </c>
      <c r="J24" s="71" t="s">
        <v>281</v>
      </c>
      <c r="K24" s="71" t="s">
        <v>281</v>
      </c>
      <c r="L24" s="71" t="s">
        <v>290</v>
      </c>
      <c r="M24" s="85" t="s">
        <v>375</v>
      </c>
      <c r="N24" s="71" t="s">
        <v>374</v>
      </c>
      <c r="O24" s="71" t="s">
        <v>376</v>
      </c>
      <c r="P24" s="71"/>
      <c r="Q24" s="71"/>
      <c r="R24" s="71"/>
      <c r="S24" s="71"/>
      <c r="T24" s="71"/>
      <c r="U24" s="71" t="s">
        <v>285</v>
      </c>
      <c r="V24" s="71" t="s">
        <v>285</v>
      </c>
      <c r="W24" s="71" t="s">
        <v>285</v>
      </c>
      <c r="X24" s="71"/>
      <c r="Y24" s="93"/>
      <c r="Z24" s="93"/>
      <c r="AA24" s="92" t="s">
        <v>377</v>
      </c>
    </row>
    <row r="25" ht="14.25" customHeight="1" spans="1:27">
      <c r="A25">
        <f>施法!J27</f>
        <v>0</v>
      </c>
      <c r="B25" s="73" t="s">
        <v>235</v>
      </c>
      <c r="C25" s="73">
        <v>0</v>
      </c>
      <c r="D25" s="73" t="s">
        <v>378</v>
      </c>
      <c r="E25" s="73" t="s">
        <v>205</v>
      </c>
      <c r="F25" s="73" t="s">
        <v>279</v>
      </c>
      <c r="G25" s="73" t="s">
        <v>320</v>
      </c>
      <c r="H25" s="73" t="s">
        <v>281</v>
      </c>
      <c r="I25" s="73" t="s">
        <v>226</v>
      </c>
      <c r="J25" s="73" t="s">
        <v>227</v>
      </c>
      <c r="K25" s="73" t="s">
        <v>379</v>
      </c>
      <c r="L25" s="73" t="s">
        <v>360</v>
      </c>
      <c r="M25" s="86" t="s">
        <v>380</v>
      </c>
      <c r="N25" s="73" t="s">
        <v>235</v>
      </c>
      <c r="O25" s="73" t="s">
        <v>381</v>
      </c>
      <c r="P25" s="73" t="s">
        <v>285</v>
      </c>
      <c r="Q25" s="73"/>
      <c r="R25" s="73"/>
      <c r="S25" s="73"/>
      <c r="T25" s="73"/>
      <c r="U25" s="73" t="s">
        <v>285</v>
      </c>
      <c r="V25" s="73" t="s">
        <v>285</v>
      </c>
      <c r="W25" s="73" t="s">
        <v>285</v>
      </c>
      <c r="X25" s="73"/>
      <c r="Y25" s="73"/>
      <c r="Z25" s="73"/>
      <c r="AA25" s="92" t="s">
        <v>286</v>
      </c>
    </row>
    <row r="26" ht="14.25" hidden="1" customHeight="1" spans="1:27">
      <c r="A26">
        <f>施法!J28</f>
        <v>0</v>
      </c>
      <c r="B26" s="70" t="s">
        <v>382</v>
      </c>
      <c r="C26" s="70">
        <v>0</v>
      </c>
      <c r="D26" s="70" t="s">
        <v>306</v>
      </c>
      <c r="E26" s="70" t="s">
        <v>205</v>
      </c>
      <c r="F26" s="70" t="s">
        <v>279</v>
      </c>
      <c r="G26" s="70" t="s">
        <v>320</v>
      </c>
      <c r="H26" s="70" t="s">
        <v>281</v>
      </c>
      <c r="I26" s="70" t="s">
        <v>226</v>
      </c>
      <c r="J26" s="70" t="s">
        <v>281</v>
      </c>
      <c r="K26" s="70" t="s">
        <v>281</v>
      </c>
      <c r="L26" s="70" t="s">
        <v>307</v>
      </c>
      <c r="M26" s="84" t="s">
        <v>383</v>
      </c>
      <c r="N26" s="70" t="s">
        <v>382</v>
      </c>
      <c r="O26" s="70" t="s">
        <v>384</v>
      </c>
      <c r="P26" s="70"/>
      <c r="Q26" s="70"/>
      <c r="R26" s="70" t="s">
        <v>285</v>
      </c>
      <c r="S26" s="70"/>
      <c r="T26" s="70"/>
      <c r="U26" s="70" t="s">
        <v>285</v>
      </c>
      <c r="V26" s="70"/>
      <c r="W26" s="70" t="s">
        <v>285</v>
      </c>
      <c r="X26" s="70"/>
      <c r="Y26" s="70"/>
      <c r="Z26" s="70"/>
      <c r="AA26" s="92" t="s">
        <v>310</v>
      </c>
    </row>
    <row r="27" ht="14.25" customHeight="1" spans="1:27">
      <c r="A27">
        <f>施法!J29</f>
        <v>0</v>
      </c>
      <c r="B27" s="66" t="s">
        <v>385</v>
      </c>
      <c r="C27" s="66">
        <v>0</v>
      </c>
      <c r="D27" s="66" t="s">
        <v>278</v>
      </c>
      <c r="E27" s="66" t="s">
        <v>205</v>
      </c>
      <c r="F27" s="66" t="s">
        <v>279</v>
      </c>
      <c r="G27" s="66" t="s">
        <v>386</v>
      </c>
      <c r="H27" s="66" t="s">
        <v>225</v>
      </c>
      <c r="I27" s="66" t="s">
        <v>226</v>
      </c>
      <c r="J27" s="66" t="s">
        <v>281</v>
      </c>
      <c r="K27" s="66" t="s">
        <v>281</v>
      </c>
      <c r="L27" s="66" t="s">
        <v>282</v>
      </c>
      <c r="M27" s="75" t="s">
        <v>387</v>
      </c>
      <c r="N27" s="66" t="s">
        <v>385</v>
      </c>
      <c r="O27" s="66" t="s">
        <v>388</v>
      </c>
      <c r="P27" s="66"/>
      <c r="Q27" s="66"/>
      <c r="R27" s="66" t="s">
        <v>285</v>
      </c>
      <c r="S27" s="66"/>
      <c r="T27" s="66"/>
      <c r="U27" s="66" t="s">
        <v>285</v>
      </c>
      <c r="V27" s="66" t="s">
        <v>285</v>
      </c>
      <c r="W27" s="66" t="s">
        <v>285</v>
      </c>
      <c r="X27" s="66" t="s">
        <v>285</v>
      </c>
      <c r="Y27" s="66"/>
      <c r="Z27" s="66"/>
      <c r="AA27" s="92" t="s">
        <v>286</v>
      </c>
    </row>
    <row r="28" ht="14.25" customHeight="1" spans="1:27">
      <c r="A28">
        <f>施法!J30</f>
        <v>0</v>
      </c>
      <c r="B28" s="70" t="s">
        <v>389</v>
      </c>
      <c r="C28" s="70">
        <v>0</v>
      </c>
      <c r="D28" s="70" t="s">
        <v>306</v>
      </c>
      <c r="E28" s="70" t="s">
        <v>205</v>
      </c>
      <c r="F28" s="70" t="s">
        <v>279</v>
      </c>
      <c r="G28" s="70" t="s">
        <v>386</v>
      </c>
      <c r="H28" s="70" t="s">
        <v>225</v>
      </c>
      <c r="I28" s="70" t="s">
        <v>226</v>
      </c>
      <c r="J28" s="70" t="s">
        <v>281</v>
      </c>
      <c r="K28" s="70" t="s">
        <v>281</v>
      </c>
      <c r="L28" s="70" t="s">
        <v>390</v>
      </c>
      <c r="M28" s="84" t="s">
        <v>391</v>
      </c>
      <c r="N28" s="70" t="s">
        <v>389</v>
      </c>
      <c r="O28" s="70" t="s">
        <v>392</v>
      </c>
      <c r="P28" s="70" t="s">
        <v>285</v>
      </c>
      <c r="Q28" s="70"/>
      <c r="R28" s="70"/>
      <c r="S28" s="70"/>
      <c r="T28" s="70"/>
      <c r="U28" s="70" t="s">
        <v>285</v>
      </c>
      <c r="V28" s="70" t="s">
        <v>285</v>
      </c>
      <c r="W28" s="70" t="s">
        <v>285</v>
      </c>
      <c r="X28" s="70" t="s">
        <v>285</v>
      </c>
      <c r="Y28" s="70"/>
      <c r="Z28" s="70"/>
      <c r="AA28" s="92" t="s">
        <v>286</v>
      </c>
    </row>
    <row r="29" ht="14.25" hidden="1" customHeight="1" spans="1:27">
      <c r="A29">
        <f>施法!J31</f>
        <v>0</v>
      </c>
      <c r="B29" s="70" t="s">
        <v>393</v>
      </c>
      <c r="C29" s="70">
        <v>0</v>
      </c>
      <c r="D29" s="70" t="s">
        <v>306</v>
      </c>
      <c r="E29" s="70" t="s">
        <v>205</v>
      </c>
      <c r="F29" s="70" t="s">
        <v>279</v>
      </c>
      <c r="G29" s="70" t="s">
        <v>289</v>
      </c>
      <c r="H29" s="70" t="s">
        <v>281</v>
      </c>
      <c r="I29" s="70" t="s">
        <v>226</v>
      </c>
      <c r="J29" s="70" t="s">
        <v>281</v>
      </c>
      <c r="K29" s="70" t="s">
        <v>281</v>
      </c>
      <c r="L29" s="70" t="s">
        <v>282</v>
      </c>
      <c r="M29" s="79" t="s">
        <v>394</v>
      </c>
      <c r="N29" s="70" t="s">
        <v>393</v>
      </c>
      <c r="O29" s="70" t="s">
        <v>395</v>
      </c>
      <c r="P29" s="70"/>
      <c r="Q29" s="70"/>
      <c r="R29" s="70" t="s">
        <v>285</v>
      </c>
      <c r="S29" s="70"/>
      <c r="T29" s="70"/>
      <c r="U29" s="70"/>
      <c r="V29" s="70"/>
      <c r="W29" s="70"/>
      <c r="X29" s="70"/>
      <c r="Y29" s="70"/>
      <c r="Z29" s="70"/>
      <c r="AA29" s="92" t="s">
        <v>310</v>
      </c>
    </row>
    <row r="30" ht="14.25" hidden="1" customHeight="1" spans="1:27">
      <c r="A30">
        <f>施法!J32</f>
        <v>0</v>
      </c>
      <c r="B30" s="66" t="s">
        <v>396</v>
      </c>
      <c r="C30" s="66">
        <v>0</v>
      </c>
      <c r="D30" s="66" t="s">
        <v>278</v>
      </c>
      <c r="E30" s="66" t="s">
        <v>205</v>
      </c>
      <c r="F30" s="66" t="s">
        <v>279</v>
      </c>
      <c r="G30" s="66" t="s">
        <v>289</v>
      </c>
      <c r="H30" s="66" t="s">
        <v>225</v>
      </c>
      <c r="I30" s="66" t="s">
        <v>226</v>
      </c>
      <c r="J30" s="66" t="s">
        <v>281</v>
      </c>
      <c r="K30" s="66" t="s">
        <v>281</v>
      </c>
      <c r="L30" s="66" t="s">
        <v>397</v>
      </c>
      <c r="M30" s="75" t="s">
        <v>398</v>
      </c>
      <c r="N30" s="66" t="s">
        <v>396</v>
      </c>
      <c r="O30" s="66" t="s">
        <v>399</v>
      </c>
      <c r="P30" s="66"/>
      <c r="Q30" s="66"/>
      <c r="R30" s="66" t="s">
        <v>285</v>
      </c>
      <c r="S30" s="66"/>
      <c r="T30" s="66"/>
      <c r="U30" s="66"/>
      <c r="V30" s="66"/>
      <c r="W30" s="66"/>
      <c r="X30" s="66"/>
      <c r="Y30" s="66"/>
      <c r="Z30" s="66"/>
      <c r="AA30" s="92" t="s">
        <v>286</v>
      </c>
    </row>
    <row r="31" ht="14.25" hidden="1" customHeight="1" spans="1:27">
      <c r="A31">
        <f>施法!J33</f>
        <v>0</v>
      </c>
      <c r="B31" s="68" t="s">
        <v>400</v>
      </c>
      <c r="C31" s="68">
        <v>0</v>
      </c>
      <c r="D31" s="68" t="s">
        <v>294</v>
      </c>
      <c r="E31" s="68" t="s">
        <v>205</v>
      </c>
      <c r="F31" s="68" t="s">
        <v>279</v>
      </c>
      <c r="G31" s="68" t="s">
        <v>280</v>
      </c>
      <c r="H31" s="68" t="s">
        <v>225</v>
      </c>
      <c r="I31" s="68" t="s">
        <v>226</v>
      </c>
      <c r="J31" s="68" t="s">
        <v>281</v>
      </c>
      <c r="K31" s="68" t="s">
        <v>281</v>
      </c>
      <c r="L31" s="68" t="s">
        <v>282</v>
      </c>
      <c r="M31" s="77" t="s">
        <v>401</v>
      </c>
      <c r="N31" s="68" t="s">
        <v>400</v>
      </c>
      <c r="O31" s="68" t="s">
        <v>402</v>
      </c>
      <c r="P31" s="68"/>
      <c r="Q31" s="68"/>
      <c r="R31" s="68"/>
      <c r="S31" s="68"/>
      <c r="T31" s="68"/>
      <c r="U31" s="68" t="s">
        <v>285</v>
      </c>
      <c r="V31" s="68"/>
      <c r="W31" s="68" t="s">
        <v>285</v>
      </c>
      <c r="X31" s="68" t="s">
        <v>285</v>
      </c>
      <c r="Y31" s="68"/>
      <c r="Z31" s="68"/>
      <c r="AA31" s="92" t="s">
        <v>286</v>
      </c>
    </row>
    <row r="32" ht="14.25" hidden="1" customHeight="1" spans="1:27">
      <c r="A32">
        <f>施法!J34</f>
        <v>0</v>
      </c>
      <c r="B32" s="67" t="s">
        <v>403</v>
      </c>
      <c r="C32" s="67">
        <v>0</v>
      </c>
      <c r="D32" s="67" t="s">
        <v>288</v>
      </c>
      <c r="E32" s="67" t="s">
        <v>205</v>
      </c>
      <c r="F32" s="67" t="s">
        <v>279</v>
      </c>
      <c r="G32" s="67" t="s">
        <v>341</v>
      </c>
      <c r="H32" s="67" t="s">
        <v>225</v>
      </c>
      <c r="I32" s="67" t="s">
        <v>226</v>
      </c>
      <c r="J32" s="67" t="s">
        <v>227</v>
      </c>
      <c r="K32" s="67" t="s">
        <v>404</v>
      </c>
      <c r="L32" s="67" t="s">
        <v>312</v>
      </c>
      <c r="M32" s="76" t="s">
        <v>405</v>
      </c>
      <c r="N32" s="67" t="s">
        <v>403</v>
      </c>
      <c r="O32" s="67" t="s">
        <v>406</v>
      </c>
      <c r="P32" s="67"/>
      <c r="Q32" s="67" t="s">
        <v>285</v>
      </c>
      <c r="R32" s="67" t="s">
        <v>285</v>
      </c>
      <c r="S32" s="67"/>
      <c r="T32" s="67"/>
      <c r="U32" s="67"/>
      <c r="V32" s="67"/>
      <c r="W32" s="67"/>
      <c r="X32" s="67" t="s">
        <v>285</v>
      </c>
      <c r="Y32" s="67"/>
      <c r="Z32" s="67"/>
      <c r="AA32" s="92" t="s">
        <v>286</v>
      </c>
    </row>
    <row r="33" ht="14.25" hidden="1" customHeight="1" spans="1:27">
      <c r="A33">
        <f>施法!J35</f>
        <v>0</v>
      </c>
      <c r="B33" s="68" t="s">
        <v>407</v>
      </c>
      <c r="C33" s="68">
        <v>0</v>
      </c>
      <c r="D33" s="68" t="s">
        <v>294</v>
      </c>
      <c r="E33" s="68" t="s">
        <v>205</v>
      </c>
      <c r="F33" s="68" t="s">
        <v>279</v>
      </c>
      <c r="G33" s="68" t="s">
        <v>280</v>
      </c>
      <c r="H33" s="68" t="s">
        <v>225</v>
      </c>
      <c r="I33" s="68" t="s">
        <v>226</v>
      </c>
      <c r="J33" s="68" t="s">
        <v>281</v>
      </c>
      <c r="K33" s="68" t="s">
        <v>281</v>
      </c>
      <c r="L33" s="68" t="s">
        <v>282</v>
      </c>
      <c r="M33" s="82" t="s">
        <v>408</v>
      </c>
      <c r="N33" s="68" t="s">
        <v>407</v>
      </c>
      <c r="O33" s="68" t="s">
        <v>409</v>
      </c>
      <c r="P33" s="68"/>
      <c r="Q33" s="68" t="s">
        <v>285</v>
      </c>
      <c r="R33" s="68"/>
      <c r="S33" s="68"/>
      <c r="T33" s="68"/>
      <c r="U33" s="68"/>
      <c r="V33" s="68"/>
      <c r="W33" s="68"/>
      <c r="X33" s="68"/>
      <c r="Y33" s="68"/>
      <c r="Z33" s="68"/>
      <c r="AA33" s="92" t="s">
        <v>286</v>
      </c>
    </row>
    <row r="34" ht="14.25" hidden="1" customHeight="1" spans="1:27">
      <c r="A34" t="str">
        <f>施法!J36</f>
        <v>法术名</v>
      </c>
      <c r="B34" s="69" t="s">
        <v>410</v>
      </c>
      <c r="C34" s="69">
        <v>0</v>
      </c>
      <c r="D34" s="69" t="s">
        <v>301</v>
      </c>
      <c r="E34" s="69" t="s">
        <v>205</v>
      </c>
      <c r="F34" s="69" t="s">
        <v>279</v>
      </c>
      <c r="G34" s="69" t="s">
        <v>320</v>
      </c>
      <c r="H34" s="69" t="s">
        <v>225</v>
      </c>
      <c r="I34" s="69" t="s">
        <v>226</v>
      </c>
      <c r="J34" s="69" t="s">
        <v>281</v>
      </c>
      <c r="K34" s="69" t="s">
        <v>281</v>
      </c>
      <c r="L34" s="69" t="s">
        <v>282</v>
      </c>
      <c r="M34" s="87" t="s">
        <v>411</v>
      </c>
      <c r="N34" s="69" t="s">
        <v>410</v>
      </c>
      <c r="O34" s="69" t="s">
        <v>412</v>
      </c>
      <c r="P34" s="69"/>
      <c r="Q34" s="69"/>
      <c r="R34" s="69"/>
      <c r="S34" s="69"/>
      <c r="T34" s="69"/>
      <c r="U34" s="69"/>
      <c r="V34" s="69"/>
      <c r="W34" s="69"/>
      <c r="X34" s="69"/>
      <c r="Y34" s="69" t="s">
        <v>285</v>
      </c>
      <c r="Z34" s="69" t="s">
        <v>285</v>
      </c>
      <c r="AA34" s="92" t="s">
        <v>413</v>
      </c>
    </row>
    <row r="35" ht="14.25" hidden="1" customHeight="1" spans="1:27">
      <c r="A35">
        <f>施法!J37</f>
        <v>0</v>
      </c>
      <c r="B35" s="70" t="s">
        <v>414</v>
      </c>
      <c r="C35" s="70">
        <v>0</v>
      </c>
      <c r="D35" s="70" t="s">
        <v>306</v>
      </c>
      <c r="E35" s="70" t="s">
        <v>205</v>
      </c>
      <c r="F35" s="70" t="s">
        <v>279</v>
      </c>
      <c r="G35" s="70" t="s">
        <v>320</v>
      </c>
      <c r="H35" s="70" t="s">
        <v>281</v>
      </c>
      <c r="I35" s="70" t="s">
        <v>226</v>
      </c>
      <c r="J35" s="70" t="s">
        <v>281</v>
      </c>
      <c r="K35" s="70" t="s">
        <v>281</v>
      </c>
      <c r="L35" s="70" t="s">
        <v>307</v>
      </c>
      <c r="M35" s="79" t="s">
        <v>415</v>
      </c>
      <c r="N35" s="70" t="s">
        <v>414</v>
      </c>
      <c r="O35" s="70" t="s">
        <v>416</v>
      </c>
      <c r="P35" s="70"/>
      <c r="Q35" s="70"/>
      <c r="R35" s="70" t="s">
        <v>285</v>
      </c>
      <c r="S35" s="70"/>
      <c r="T35" s="70"/>
      <c r="U35" s="70" t="s">
        <v>285</v>
      </c>
      <c r="V35" s="70"/>
      <c r="W35" s="70" t="s">
        <v>285</v>
      </c>
      <c r="X35" s="70"/>
      <c r="Y35" s="70"/>
      <c r="Z35" s="70"/>
      <c r="AA35" s="92" t="s">
        <v>310</v>
      </c>
    </row>
    <row r="36" ht="14.25" hidden="1" customHeight="1" spans="1:27">
      <c r="A36">
        <f>施法!J38</f>
        <v>0</v>
      </c>
      <c r="B36" s="70" t="s">
        <v>417</v>
      </c>
      <c r="C36" s="70">
        <v>0</v>
      </c>
      <c r="D36" s="70" t="s">
        <v>306</v>
      </c>
      <c r="E36" s="70" t="s">
        <v>205</v>
      </c>
      <c r="F36" s="70" t="s">
        <v>364</v>
      </c>
      <c r="G36" s="70" t="s">
        <v>341</v>
      </c>
      <c r="H36" s="70" t="s">
        <v>225</v>
      </c>
      <c r="I36" s="70" t="s">
        <v>226</v>
      </c>
      <c r="J36" s="70" t="s">
        <v>227</v>
      </c>
      <c r="K36" s="70" t="s">
        <v>418</v>
      </c>
      <c r="L36" s="70" t="s">
        <v>360</v>
      </c>
      <c r="M36" s="79" t="s">
        <v>419</v>
      </c>
      <c r="N36" s="70" t="s">
        <v>417</v>
      </c>
      <c r="O36" s="70" t="s">
        <v>420</v>
      </c>
      <c r="P36" s="70"/>
      <c r="Q36" s="70"/>
      <c r="R36" s="70" t="s">
        <v>285</v>
      </c>
      <c r="S36" s="70"/>
      <c r="T36" s="70"/>
      <c r="U36" s="70"/>
      <c r="V36" s="70"/>
      <c r="W36" s="70"/>
      <c r="X36" s="70"/>
      <c r="Y36" s="70"/>
      <c r="Z36" s="70"/>
      <c r="AA36" s="92" t="s">
        <v>286</v>
      </c>
    </row>
    <row r="37" ht="14.25" hidden="1" customHeight="1" spans="1:27">
      <c r="A37">
        <f>施法!J39</f>
        <v>0</v>
      </c>
      <c r="B37" s="68" t="s">
        <v>421</v>
      </c>
      <c r="C37" s="68">
        <v>0</v>
      </c>
      <c r="D37" s="68" t="s">
        <v>294</v>
      </c>
      <c r="E37" s="68" t="s">
        <v>205</v>
      </c>
      <c r="F37" s="68" t="s">
        <v>279</v>
      </c>
      <c r="G37" s="68" t="s">
        <v>341</v>
      </c>
      <c r="H37" s="68" t="s">
        <v>225</v>
      </c>
      <c r="I37" s="68" t="s">
        <v>226</v>
      </c>
      <c r="J37" s="68" t="s">
        <v>281</v>
      </c>
      <c r="K37" s="68" t="s">
        <v>281</v>
      </c>
      <c r="L37" s="68" t="s">
        <v>282</v>
      </c>
      <c r="M37" s="82" t="s">
        <v>422</v>
      </c>
      <c r="N37" s="68" t="s">
        <v>421</v>
      </c>
      <c r="O37" s="68" t="s">
        <v>423</v>
      </c>
      <c r="P37" s="68"/>
      <c r="Q37" s="68"/>
      <c r="R37" s="68"/>
      <c r="S37" s="68"/>
      <c r="T37" s="68"/>
      <c r="U37" s="68" t="s">
        <v>285</v>
      </c>
      <c r="V37" s="68"/>
      <c r="W37" s="68" t="s">
        <v>285</v>
      </c>
      <c r="X37" s="68" t="s">
        <v>285</v>
      </c>
      <c r="Y37" s="68"/>
      <c r="Z37" s="68"/>
      <c r="AA37" s="92" t="s">
        <v>286</v>
      </c>
    </row>
    <row r="38" ht="14.25" hidden="1" customHeight="1" spans="1:27">
      <c r="A38">
        <f>施法!J40</f>
        <v>0</v>
      </c>
      <c r="B38" s="69" t="s">
        <v>424</v>
      </c>
      <c r="C38" s="69">
        <v>0</v>
      </c>
      <c r="D38" s="69" t="s">
        <v>301</v>
      </c>
      <c r="E38" s="69" t="s">
        <v>205</v>
      </c>
      <c r="F38" s="69" t="s">
        <v>279</v>
      </c>
      <c r="G38" s="69" t="s">
        <v>341</v>
      </c>
      <c r="H38" s="69" t="s">
        <v>225</v>
      </c>
      <c r="I38" s="69" t="s">
        <v>226</v>
      </c>
      <c r="J38" s="69" t="s">
        <v>281</v>
      </c>
      <c r="K38" s="69" t="s">
        <v>281</v>
      </c>
      <c r="L38" s="69" t="s">
        <v>282</v>
      </c>
      <c r="M38" s="88" t="s">
        <v>425</v>
      </c>
      <c r="N38" s="69" t="s">
        <v>424</v>
      </c>
      <c r="O38" s="69" t="s">
        <v>426</v>
      </c>
      <c r="P38" s="69"/>
      <c r="Q38" s="69" t="s">
        <v>285</v>
      </c>
      <c r="R38" s="69"/>
      <c r="S38" s="69"/>
      <c r="T38" s="69"/>
      <c r="U38" s="69"/>
      <c r="V38" s="69"/>
      <c r="W38" s="69"/>
      <c r="X38" s="69" t="s">
        <v>285</v>
      </c>
      <c r="Y38" s="69"/>
      <c r="Z38" s="69"/>
      <c r="AA38" s="92" t="s">
        <v>286</v>
      </c>
    </row>
    <row r="39" ht="14.25" hidden="1" customHeight="1" spans="1:27">
      <c r="A39">
        <f>施法!J41</f>
        <v>0</v>
      </c>
      <c r="B39" s="66" t="s">
        <v>427</v>
      </c>
      <c r="C39" s="66">
        <v>0</v>
      </c>
      <c r="D39" s="66" t="s">
        <v>278</v>
      </c>
      <c r="E39" s="66" t="s">
        <v>205</v>
      </c>
      <c r="F39" s="66" t="s">
        <v>279</v>
      </c>
      <c r="G39" s="66" t="s">
        <v>295</v>
      </c>
      <c r="H39" s="66" t="s">
        <v>225</v>
      </c>
      <c r="I39" s="66" t="s">
        <v>281</v>
      </c>
      <c r="J39" s="66" t="s">
        <v>281</v>
      </c>
      <c r="K39" s="66" t="s">
        <v>281</v>
      </c>
      <c r="L39" s="66" t="s">
        <v>282</v>
      </c>
      <c r="M39" s="80" t="s">
        <v>428</v>
      </c>
      <c r="N39" s="66" t="s">
        <v>427</v>
      </c>
      <c r="O39" s="66" t="s">
        <v>429</v>
      </c>
      <c r="P39" s="66"/>
      <c r="Q39" s="66"/>
      <c r="R39" s="66"/>
      <c r="S39" s="66"/>
      <c r="T39" s="66"/>
      <c r="U39" s="66" t="s">
        <v>285</v>
      </c>
      <c r="V39" s="66" t="s">
        <v>285</v>
      </c>
      <c r="W39" s="66" t="s">
        <v>285</v>
      </c>
      <c r="X39" s="66" t="s">
        <v>285</v>
      </c>
      <c r="Y39" s="66"/>
      <c r="Z39" s="66"/>
      <c r="AA39" s="92" t="s">
        <v>299</v>
      </c>
    </row>
    <row r="40" ht="14.25" hidden="1" customHeight="1" spans="1:27">
      <c r="A40">
        <f>施法!J42</f>
        <v>0</v>
      </c>
      <c r="B40" s="70" t="s">
        <v>430</v>
      </c>
      <c r="C40" s="70">
        <v>0</v>
      </c>
      <c r="D40" s="70" t="s">
        <v>306</v>
      </c>
      <c r="E40" s="70" t="s">
        <v>205</v>
      </c>
      <c r="F40" s="70" t="s">
        <v>279</v>
      </c>
      <c r="G40" s="70" t="s">
        <v>320</v>
      </c>
      <c r="H40" s="70" t="s">
        <v>225</v>
      </c>
      <c r="I40" s="70" t="s">
        <v>281</v>
      </c>
      <c r="J40" s="70" t="s">
        <v>281</v>
      </c>
      <c r="K40" s="70" t="s">
        <v>281</v>
      </c>
      <c r="L40" s="70" t="s">
        <v>431</v>
      </c>
      <c r="M40" s="84" t="s">
        <v>432</v>
      </c>
      <c r="N40" s="70" t="s">
        <v>430</v>
      </c>
      <c r="O40" s="70" t="s">
        <v>433</v>
      </c>
      <c r="P40" s="70"/>
      <c r="Q40" s="70" t="s">
        <v>285</v>
      </c>
      <c r="R40" s="70"/>
      <c r="S40" s="70"/>
      <c r="T40" s="70"/>
      <c r="U40" s="70"/>
      <c r="V40" s="70"/>
      <c r="W40" s="70"/>
      <c r="X40" s="70"/>
      <c r="Y40" s="70"/>
      <c r="Z40" s="70"/>
      <c r="AA40" s="92" t="s">
        <v>286</v>
      </c>
    </row>
    <row r="41" ht="14.25" hidden="1" customHeight="1" spans="1:27">
      <c r="A41">
        <f>施法!J43</f>
        <v>0</v>
      </c>
      <c r="B41" s="70" t="s">
        <v>434</v>
      </c>
      <c r="C41" s="70">
        <v>0</v>
      </c>
      <c r="D41" s="70" t="s">
        <v>306</v>
      </c>
      <c r="E41" s="70" t="s">
        <v>205</v>
      </c>
      <c r="F41" s="70" t="s">
        <v>279</v>
      </c>
      <c r="G41" s="70" t="s">
        <v>320</v>
      </c>
      <c r="H41" s="70" t="s">
        <v>225</v>
      </c>
      <c r="I41" s="70" t="s">
        <v>226</v>
      </c>
      <c r="J41" s="70" t="s">
        <v>227</v>
      </c>
      <c r="K41" s="70" t="s">
        <v>435</v>
      </c>
      <c r="L41" s="70" t="s">
        <v>282</v>
      </c>
      <c r="M41" s="84" t="s">
        <v>436</v>
      </c>
      <c r="N41" s="70" t="s">
        <v>434</v>
      </c>
      <c r="O41" s="70" t="s">
        <v>437</v>
      </c>
      <c r="P41" s="70"/>
      <c r="Q41" s="70"/>
      <c r="R41" s="70" t="s">
        <v>285</v>
      </c>
      <c r="S41" s="70"/>
      <c r="T41" s="70"/>
      <c r="U41" s="70"/>
      <c r="V41" s="70"/>
      <c r="W41" s="70"/>
      <c r="X41" s="70" t="s">
        <v>285</v>
      </c>
      <c r="Y41" s="70"/>
      <c r="Z41" s="70"/>
      <c r="AA41" s="92" t="s">
        <v>286</v>
      </c>
    </row>
    <row r="42" ht="14.25" hidden="1" customHeight="1" spans="1:27">
      <c r="A42">
        <f>施法!J44</f>
        <v>0</v>
      </c>
      <c r="B42" s="68" t="s">
        <v>438</v>
      </c>
      <c r="C42" s="68">
        <v>0</v>
      </c>
      <c r="D42" s="68" t="s">
        <v>294</v>
      </c>
      <c r="E42" s="68" t="s">
        <v>205</v>
      </c>
      <c r="F42" s="68" t="s">
        <v>279</v>
      </c>
      <c r="G42" s="68" t="s">
        <v>439</v>
      </c>
      <c r="H42" s="68" t="s">
        <v>281</v>
      </c>
      <c r="I42" s="68" t="s">
        <v>226</v>
      </c>
      <c r="J42" s="68" t="s">
        <v>281</v>
      </c>
      <c r="K42" s="68" t="s">
        <v>281</v>
      </c>
      <c r="L42" s="68" t="s">
        <v>282</v>
      </c>
      <c r="M42" s="82" t="s">
        <v>440</v>
      </c>
      <c r="N42" s="68" t="s">
        <v>438</v>
      </c>
      <c r="O42" s="68" t="s">
        <v>441</v>
      </c>
      <c r="P42" s="68" t="s">
        <v>285</v>
      </c>
      <c r="Q42" s="68"/>
      <c r="R42" s="68" t="s">
        <v>285</v>
      </c>
      <c r="S42" s="68"/>
      <c r="T42" s="68"/>
      <c r="U42" s="68" t="s">
        <v>285</v>
      </c>
      <c r="V42" s="68" t="s">
        <v>285</v>
      </c>
      <c r="W42" s="68" t="s">
        <v>285</v>
      </c>
      <c r="X42" s="68" t="s">
        <v>285</v>
      </c>
      <c r="Y42" s="68"/>
      <c r="Z42" s="68"/>
      <c r="AA42" s="92" t="s">
        <v>310</v>
      </c>
    </row>
    <row r="43" ht="14.25" hidden="1" customHeight="1" spans="1:27">
      <c r="A43">
        <f>施法!J45</f>
        <v>0</v>
      </c>
      <c r="B43" s="69" t="s">
        <v>442</v>
      </c>
      <c r="C43" s="69">
        <v>0</v>
      </c>
      <c r="D43" s="69" t="s">
        <v>301</v>
      </c>
      <c r="E43" s="69" t="s">
        <v>205</v>
      </c>
      <c r="F43" s="69" t="s">
        <v>279</v>
      </c>
      <c r="G43" s="69" t="s">
        <v>280</v>
      </c>
      <c r="H43" s="69" t="s">
        <v>225</v>
      </c>
      <c r="I43" s="69" t="s">
        <v>226</v>
      </c>
      <c r="J43" s="69" t="s">
        <v>281</v>
      </c>
      <c r="K43" s="69" t="s">
        <v>281</v>
      </c>
      <c r="L43" s="69" t="s">
        <v>282</v>
      </c>
      <c r="M43" s="78" t="s">
        <v>443</v>
      </c>
      <c r="N43" s="69" t="s">
        <v>442</v>
      </c>
      <c r="O43" s="69" t="s">
        <v>444</v>
      </c>
      <c r="P43" s="69"/>
      <c r="Q43" s="69" t="s">
        <v>285</v>
      </c>
      <c r="R43" s="69"/>
      <c r="S43" s="69"/>
      <c r="T43" s="69"/>
      <c r="U43" s="69"/>
      <c r="V43" s="69" t="s">
        <v>285</v>
      </c>
      <c r="W43" s="69" t="s">
        <v>285</v>
      </c>
      <c r="X43" s="69"/>
      <c r="Y43" s="69"/>
      <c r="Z43" s="69"/>
      <c r="AA43" s="92" t="s">
        <v>310</v>
      </c>
    </row>
    <row r="44" ht="14.25" customHeight="1" spans="1:27">
      <c r="A44">
        <f>施法!J46</f>
        <v>0</v>
      </c>
      <c r="B44" s="72" t="s">
        <v>445</v>
      </c>
      <c r="C44" s="72">
        <v>0</v>
      </c>
      <c r="D44" s="72" t="s">
        <v>340</v>
      </c>
      <c r="E44" s="72" t="s">
        <v>205</v>
      </c>
      <c r="F44" s="72" t="s">
        <v>279</v>
      </c>
      <c r="G44" s="72" t="s">
        <v>320</v>
      </c>
      <c r="H44" s="72" t="s">
        <v>281</v>
      </c>
      <c r="I44" s="72" t="s">
        <v>226</v>
      </c>
      <c r="J44" s="72" t="s">
        <v>281</v>
      </c>
      <c r="K44" s="72" t="s">
        <v>281</v>
      </c>
      <c r="L44" s="72" t="s">
        <v>446</v>
      </c>
      <c r="M44" s="83" t="s">
        <v>447</v>
      </c>
      <c r="N44" s="72" t="s">
        <v>445</v>
      </c>
      <c r="O44" s="72" t="s">
        <v>448</v>
      </c>
      <c r="P44" s="72" t="s">
        <v>285</v>
      </c>
      <c r="Q44" s="72"/>
      <c r="R44" s="72"/>
      <c r="S44" s="72"/>
      <c r="T44" s="72"/>
      <c r="U44" s="72" t="s">
        <v>285</v>
      </c>
      <c r="V44" s="72" t="s">
        <v>285</v>
      </c>
      <c r="W44" s="72" t="s">
        <v>285</v>
      </c>
      <c r="X44" s="72"/>
      <c r="Y44" s="72"/>
      <c r="Z44" s="72"/>
      <c r="AA44" s="92" t="s">
        <v>286</v>
      </c>
    </row>
    <row r="45" ht="14.25" hidden="1" customHeight="1" spans="1:27">
      <c r="A45" t="str">
        <f>施法!J47</f>
        <v>法术名</v>
      </c>
      <c r="B45" s="71" t="s">
        <v>449</v>
      </c>
      <c r="C45" s="71">
        <v>0</v>
      </c>
      <c r="D45" s="71" t="s">
        <v>329</v>
      </c>
      <c r="E45" s="71" t="s">
        <v>205</v>
      </c>
      <c r="F45" s="71" t="s">
        <v>279</v>
      </c>
      <c r="G45" s="71" t="s">
        <v>280</v>
      </c>
      <c r="H45" s="71" t="s">
        <v>225</v>
      </c>
      <c r="I45" s="71" t="s">
        <v>281</v>
      </c>
      <c r="J45" s="71" t="s">
        <v>281</v>
      </c>
      <c r="K45" s="71" t="s">
        <v>281</v>
      </c>
      <c r="L45" s="71" t="s">
        <v>282</v>
      </c>
      <c r="M45" s="89" t="s">
        <v>450</v>
      </c>
      <c r="N45" s="71" t="s">
        <v>449</v>
      </c>
      <c r="O45" s="71" t="s">
        <v>451</v>
      </c>
      <c r="P45" s="71" t="s">
        <v>285</v>
      </c>
      <c r="Q45" s="71"/>
      <c r="R45" s="71"/>
      <c r="S45" s="71"/>
      <c r="T45" s="71"/>
      <c r="U45" s="71"/>
      <c r="V45" s="71"/>
      <c r="W45" s="71"/>
      <c r="X45" s="71"/>
      <c r="Y45" s="71"/>
      <c r="Z45" s="71"/>
      <c r="AA45" s="92" t="s">
        <v>286</v>
      </c>
    </row>
    <row r="46" ht="14.25" hidden="1" customHeight="1" spans="1:27">
      <c r="A46">
        <f>施法!J48</f>
        <v>0</v>
      </c>
      <c r="B46" s="68" t="s">
        <v>452</v>
      </c>
      <c r="C46" s="68">
        <v>0</v>
      </c>
      <c r="D46" s="68" t="s">
        <v>294</v>
      </c>
      <c r="E46" s="68" t="s">
        <v>205</v>
      </c>
      <c r="F46" s="68" t="s">
        <v>279</v>
      </c>
      <c r="G46" s="68" t="s">
        <v>439</v>
      </c>
      <c r="H46" s="68" t="s">
        <v>225</v>
      </c>
      <c r="I46" s="68" t="s">
        <v>281</v>
      </c>
      <c r="J46" s="68" t="s">
        <v>227</v>
      </c>
      <c r="K46" s="68" t="s">
        <v>453</v>
      </c>
      <c r="L46" s="68" t="s">
        <v>282</v>
      </c>
      <c r="M46" s="77" t="s">
        <v>454</v>
      </c>
      <c r="N46" s="68" t="s">
        <v>452</v>
      </c>
      <c r="O46" s="68" t="s">
        <v>455</v>
      </c>
      <c r="P46" s="68"/>
      <c r="Q46" s="68" t="s">
        <v>285</v>
      </c>
      <c r="R46" s="68"/>
      <c r="S46" s="68"/>
      <c r="T46" s="68"/>
      <c r="U46" s="68"/>
      <c r="V46" s="68"/>
      <c r="W46" s="68"/>
      <c r="X46" s="68"/>
      <c r="Y46" s="68"/>
      <c r="Z46" s="68"/>
      <c r="AA46" s="92" t="s">
        <v>310</v>
      </c>
    </row>
    <row r="47" ht="14.25" hidden="1" customHeight="1" spans="1:27">
      <c r="A47">
        <f>施法!J49</f>
        <v>0</v>
      </c>
      <c r="B47" s="67" t="s">
        <v>456</v>
      </c>
      <c r="C47" s="67">
        <v>1</v>
      </c>
      <c r="D47" s="67" t="s">
        <v>288</v>
      </c>
      <c r="E47" s="67" t="s">
        <v>205</v>
      </c>
      <c r="F47" s="67" t="s">
        <v>457</v>
      </c>
      <c r="G47" s="67" t="s">
        <v>289</v>
      </c>
      <c r="H47" s="67" t="s">
        <v>281</v>
      </c>
      <c r="I47" s="67" t="s">
        <v>226</v>
      </c>
      <c r="J47" s="67" t="s">
        <v>281</v>
      </c>
      <c r="K47" s="67" t="s">
        <v>281</v>
      </c>
      <c r="L47" s="67" t="s">
        <v>290</v>
      </c>
      <c r="M47" s="90" t="s">
        <v>458</v>
      </c>
      <c r="N47" s="67" t="s">
        <v>456</v>
      </c>
      <c r="O47" s="67" t="s">
        <v>459</v>
      </c>
      <c r="P47" s="67"/>
      <c r="Q47" s="67"/>
      <c r="R47" s="67" t="s">
        <v>285</v>
      </c>
      <c r="S47" s="67"/>
      <c r="T47" s="67" t="s">
        <v>285</v>
      </c>
      <c r="U47" s="67" t="s">
        <v>285</v>
      </c>
      <c r="V47" s="67"/>
      <c r="W47" s="67" t="s">
        <v>285</v>
      </c>
      <c r="X47" s="67" t="s">
        <v>285</v>
      </c>
      <c r="Y47" s="67"/>
      <c r="Z47" s="67"/>
      <c r="AA47" s="92" t="s">
        <v>310</v>
      </c>
    </row>
    <row r="48" ht="14.25" hidden="1" customHeight="1" spans="1:27">
      <c r="A48">
        <f>施法!J50</f>
        <v>0</v>
      </c>
      <c r="B48" s="67" t="s">
        <v>460</v>
      </c>
      <c r="C48" s="67">
        <v>1</v>
      </c>
      <c r="D48" s="67" t="s">
        <v>288</v>
      </c>
      <c r="E48" s="67" t="s">
        <v>285</v>
      </c>
      <c r="F48" s="67" t="s">
        <v>360</v>
      </c>
      <c r="G48" s="67" t="s">
        <v>320</v>
      </c>
      <c r="H48" s="67" t="s">
        <v>225</v>
      </c>
      <c r="I48" s="67" t="s">
        <v>226</v>
      </c>
      <c r="J48" s="67" t="s">
        <v>227</v>
      </c>
      <c r="K48" s="67" t="s">
        <v>461</v>
      </c>
      <c r="L48" s="67" t="s">
        <v>462</v>
      </c>
      <c r="M48" s="90" t="s">
        <v>463</v>
      </c>
      <c r="N48" s="67" t="s">
        <v>460</v>
      </c>
      <c r="O48" s="67" t="s">
        <v>464</v>
      </c>
      <c r="P48" s="67"/>
      <c r="Q48" s="67"/>
      <c r="R48" s="67"/>
      <c r="S48" s="67"/>
      <c r="T48" s="67" t="s">
        <v>285</v>
      </c>
      <c r="U48" s="67"/>
      <c r="V48" s="67"/>
      <c r="W48" s="67" t="s">
        <v>285</v>
      </c>
      <c r="X48" s="67" t="s">
        <v>285</v>
      </c>
      <c r="Y48" s="67"/>
      <c r="Z48" s="67"/>
      <c r="AA48" s="92" t="s">
        <v>286</v>
      </c>
    </row>
    <row r="49" ht="14.25" hidden="1" customHeight="1" spans="1:27">
      <c r="A49">
        <f>施法!J51</f>
        <v>0</v>
      </c>
      <c r="B49" s="71" t="s">
        <v>465</v>
      </c>
      <c r="C49" s="71">
        <v>1</v>
      </c>
      <c r="D49" s="71" t="s">
        <v>329</v>
      </c>
      <c r="E49" s="71" t="s">
        <v>205</v>
      </c>
      <c r="F49" s="71" t="s">
        <v>279</v>
      </c>
      <c r="G49" s="71" t="s">
        <v>320</v>
      </c>
      <c r="H49" s="71" t="s">
        <v>225</v>
      </c>
      <c r="I49" s="71" t="s">
        <v>226</v>
      </c>
      <c r="J49" s="71" t="s">
        <v>227</v>
      </c>
      <c r="K49" s="71" t="s">
        <v>466</v>
      </c>
      <c r="L49" s="71" t="s">
        <v>467</v>
      </c>
      <c r="M49" s="89" t="s">
        <v>468</v>
      </c>
      <c r="N49" s="71" t="s">
        <v>465</v>
      </c>
      <c r="O49" s="71" t="s">
        <v>469</v>
      </c>
      <c r="P49" s="71" t="s">
        <v>285</v>
      </c>
      <c r="Q49" s="71"/>
      <c r="R49" s="71" t="s">
        <v>285</v>
      </c>
      <c r="S49" s="71"/>
      <c r="T49" s="71" t="s">
        <v>285</v>
      </c>
      <c r="U49" s="71"/>
      <c r="V49" s="71"/>
      <c r="W49" s="71"/>
      <c r="X49" s="71"/>
      <c r="Y49" s="71"/>
      <c r="Z49" s="71"/>
      <c r="AA49" s="92" t="s">
        <v>286</v>
      </c>
    </row>
    <row r="50" ht="14.25" customHeight="1" spans="1:27">
      <c r="A50">
        <f>施法!J52</f>
        <v>0</v>
      </c>
      <c r="B50" s="67" t="s">
        <v>470</v>
      </c>
      <c r="C50" s="67">
        <v>1</v>
      </c>
      <c r="D50" s="67" t="s">
        <v>288</v>
      </c>
      <c r="E50" s="67" t="s">
        <v>205</v>
      </c>
      <c r="F50" s="67" t="s">
        <v>279</v>
      </c>
      <c r="G50" s="67" t="s">
        <v>289</v>
      </c>
      <c r="H50" s="67" t="s">
        <v>225</v>
      </c>
      <c r="I50" s="67" t="s">
        <v>226</v>
      </c>
      <c r="J50" s="67" t="s">
        <v>227</v>
      </c>
      <c r="K50" s="67" t="s">
        <v>471</v>
      </c>
      <c r="L50" s="67" t="s">
        <v>353</v>
      </c>
      <c r="M50" s="90" t="s">
        <v>472</v>
      </c>
      <c r="N50" s="67" t="s">
        <v>470</v>
      </c>
      <c r="O50" s="67" t="s">
        <v>473</v>
      </c>
      <c r="P50" s="67"/>
      <c r="Q50" s="67"/>
      <c r="R50" s="67"/>
      <c r="S50" s="67"/>
      <c r="T50" s="67"/>
      <c r="U50" s="67"/>
      <c r="V50" s="67" t="s">
        <v>285</v>
      </c>
      <c r="W50" s="67"/>
      <c r="X50" s="67"/>
      <c r="Y50" s="67"/>
      <c r="Z50" s="67"/>
      <c r="AA50" s="92" t="s">
        <v>286</v>
      </c>
    </row>
    <row r="51" ht="14.25" customHeight="1" spans="1:27">
      <c r="A51">
        <f>施法!J53</f>
        <v>0</v>
      </c>
      <c r="B51" s="66" t="s">
        <v>474</v>
      </c>
      <c r="C51" s="66">
        <v>1</v>
      </c>
      <c r="D51" s="66" t="s">
        <v>278</v>
      </c>
      <c r="E51" s="66" t="s">
        <v>205</v>
      </c>
      <c r="F51" s="66" t="s">
        <v>279</v>
      </c>
      <c r="G51" s="66" t="s">
        <v>475</v>
      </c>
      <c r="H51" s="66" t="s">
        <v>225</v>
      </c>
      <c r="I51" s="66" t="s">
        <v>226</v>
      </c>
      <c r="J51" s="66" t="s">
        <v>281</v>
      </c>
      <c r="K51" s="66" t="s">
        <v>281</v>
      </c>
      <c r="L51" s="66" t="s">
        <v>282</v>
      </c>
      <c r="M51" s="80" t="s">
        <v>476</v>
      </c>
      <c r="N51" s="66" t="s">
        <v>474</v>
      </c>
      <c r="O51" s="66" t="s">
        <v>477</v>
      </c>
      <c r="P51" s="66"/>
      <c r="Q51" s="66"/>
      <c r="R51" s="66"/>
      <c r="S51" s="66"/>
      <c r="T51" s="66"/>
      <c r="U51" s="66"/>
      <c r="V51" s="66" t="s">
        <v>285</v>
      </c>
      <c r="W51" s="66"/>
      <c r="X51" s="66"/>
      <c r="Y51" s="66"/>
      <c r="Z51" s="66"/>
      <c r="AA51" s="92" t="s">
        <v>286</v>
      </c>
    </row>
    <row r="52" ht="14.25" hidden="1" customHeight="1" spans="1:27">
      <c r="A52">
        <f>施法!J54</f>
        <v>0</v>
      </c>
      <c r="B52" s="71" t="s">
        <v>478</v>
      </c>
      <c r="C52" s="71">
        <v>1</v>
      </c>
      <c r="D52" s="71" t="s">
        <v>329</v>
      </c>
      <c r="E52" s="71" t="s">
        <v>205</v>
      </c>
      <c r="F52" s="71" t="s">
        <v>279</v>
      </c>
      <c r="G52" s="71" t="s">
        <v>320</v>
      </c>
      <c r="H52" s="71" t="s">
        <v>225</v>
      </c>
      <c r="I52" s="71" t="s">
        <v>226</v>
      </c>
      <c r="J52" s="71" t="s">
        <v>227</v>
      </c>
      <c r="K52" s="71" t="s">
        <v>479</v>
      </c>
      <c r="L52" s="71" t="s">
        <v>312</v>
      </c>
      <c r="M52" s="81" t="s">
        <v>480</v>
      </c>
      <c r="N52" s="71" t="s">
        <v>478</v>
      </c>
      <c r="O52" s="71" t="s">
        <v>481</v>
      </c>
      <c r="P52" s="71" t="s">
        <v>285</v>
      </c>
      <c r="Q52" s="71" t="s">
        <v>285</v>
      </c>
      <c r="R52" s="71"/>
      <c r="S52" s="71"/>
      <c r="T52" s="71"/>
      <c r="U52" s="71"/>
      <c r="V52" s="71"/>
      <c r="W52" s="71"/>
      <c r="X52" s="71"/>
      <c r="Y52" s="71"/>
      <c r="Z52" s="71"/>
      <c r="AA52" s="92" t="s">
        <v>286</v>
      </c>
    </row>
    <row r="53" ht="14.25" hidden="1" customHeight="1" spans="1:27">
      <c r="A53">
        <f>施法!J55</f>
        <v>0</v>
      </c>
      <c r="B53" s="72" t="s">
        <v>482</v>
      </c>
      <c r="C53" s="72">
        <v>1</v>
      </c>
      <c r="D53" s="72" t="s">
        <v>340</v>
      </c>
      <c r="E53" s="72" t="s">
        <v>205</v>
      </c>
      <c r="F53" s="72" t="s">
        <v>279</v>
      </c>
      <c r="G53" s="72" t="s">
        <v>341</v>
      </c>
      <c r="H53" s="72" t="s">
        <v>225</v>
      </c>
      <c r="I53" s="72" t="s">
        <v>226</v>
      </c>
      <c r="J53" s="72" t="s">
        <v>227</v>
      </c>
      <c r="K53" s="72" t="s">
        <v>483</v>
      </c>
      <c r="L53" s="72" t="s">
        <v>484</v>
      </c>
      <c r="M53" s="83" t="s">
        <v>485</v>
      </c>
      <c r="N53" s="72" t="s">
        <v>482</v>
      </c>
      <c r="O53" s="72" t="s">
        <v>486</v>
      </c>
      <c r="P53" s="72"/>
      <c r="Q53" s="72"/>
      <c r="R53" s="72" t="s">
        <v>285</v>
      </c>
      <c r="S53" s="72"/>
      <c r="T53" s="72" t="s">
        <v>285</v>
      </c>
      <c r="U53" s="72"/>
      <c r="V53" s="72"/>
      <c r="W53" s="72"/>
      <c r="X53" s="72"/>
      <c r="Y53" s="72"/>
      <c r="Z53" s="72"/>
      <c r="AA53" s="92" t="s">
        <v>310</v>
      </c>
    </row>
    <row r="54" ht="14.25" hidden="1" customHeight="1" spans="1:27">
      <c r="A54">
        <f>施法!J56</f>
        <v>0</v>
      </c>
      <c r="B54" s="71" t="s">
        <v>487</v>
      </c>
      <c r="C54" s="71">
        <v>1</v>
      </c>
      <c r="D54" s="71" t="s">
        <v>329</v>
      </c>
      <c r="E54" s="71" t="s">
        <v>205</v>
      </c>
      <c r="F54" s="71" t="s">
        <v>279</v>
      </c>
      <c r="G54" s="71" t="s">
        <v>320</v>
      </c>
      <c r="H54" s="71" t="s">
        <v>225</v>
      </c>
      <c r="I54" s="71" t="s">
        <v>226</v>
      </c>
      <c r="J54" s="71" t="s">
        <v>227</v>
      </c>
      <c r="K54" s="71" t="s">
        <v>488</v>
      </c>
      <c r="L54" s="71" t="s">
        <v>312</v>
      </c>
      <c r="M54" s="81" t="s">
        <v>489</v>
      </c>
      <c r="N54" s="71" t="s">
        <v>487</v>
      </c>
      <c r="O54" s="71" t="s">
        <v>490</v>
      </c>
      <c r="P54" s="71"/>
      <c r="Q54" s="71" t="s">
        <v>285</v>
      </c>
      <c r="R54" s="71"/>
      <c r="S54" s="71" t="s">
        <v>285</v>
      </c>
      <c r="T54" s="71"/>
      <c r="U54" s="71"/>
      <c r="V54" s="71"/>
      <c r="W54" s="71"/>
      <c r="X54" s="71"/>
      <c r="Y54" s="71"/>
      <c r="Z54" s="71"/>
      <c r="AA54" s="92" t="s">
        <v>286</v>
      </c>
    </row>
    <row r="55" ht="14.25" hidden="1" customHeight="1" spans="1:27">
      <c r="A55">
        <f>施法!J57</f>
        <v>0</v>
      </c>
      <c r="B55" s="68" t="s">
        <v>491</v>
      </c>
      <c r="C55" s="68">
        <v>1</v>
      </c>
      <c r="D55" s="68" t="s">
        <v>294</v>
      </c>
      <c r="E55" s="68" t="s">
        <v>205</v>
      </c>
      <c r="F55" s="68" t="s">
        <v>279</v>
      </c>
      <c r="G55" s="68" t="s">
        <v>492</v>
      </c>
      <c r="H55" s="68" t="s">
        <v>225</v>
      </c>
      <c r="I55" s="68" t="s">
        <v>226</v>
      </c>
      <c r="J55" s="68" t="s">
        <v>281</v>
      </c>
      <c r="K55" s="68" t="s">
        <v>281</v>
      </c>
      <c r="L55" s="68" t="s">
        <v>282</v>
      </c>
      <c r="M55" s="77" t="s">
        <v>493</v>
      </c>
      <c r="N55" s="68" t="s">
        <v>491</v>
      </c>
      <c r="O55" s="68" t="s">
        <v>494</v>
      </c>
      <c r="P55" s="68"/>
      <c r="Q55" s="68"/>
      <c r="R55" s="68"/>
      <c r="S55" s="68"/>
      <c r="T55" s="68"/>
      <c r="U55" s="68" t="s">
        <v>285</v>
      </c>
      <c r="V55" s="68"/>
      <c r="W55" s="68" t="s">
        <v>285</v>
      </c>
      <c r="X55" s="68"/>
      <c r="Y55" s="68"/>
      <c r="Z55" s="68"/>
      <c r="AA55" s="92" t="s">
        <v>286</v>
      </c>
    </row>
    <row r="56" ht="14.25" hidden="1" customHeight="1" spans="1:27">
      <c r="A56" t="str">
        <f>施法!J58</f>
        <v>法术名</v>
      </c>
      <c r="B56" s="70" t="s">
        <v>495</v>
      </c>
      <c r="C56" s="70">
        <v>1</v>
      </c>
      <c r="D56" s="70" t="s">
        <v>306</v>
      </c>
      <c r="E56" s="70" t="s">
        <v>205</v>
      </c>
      <c r="F56" s="70" t="s">
        <v>279</v>
      </c>
      <c r="G56" s="70" t="s">
        <v>280</v>
      </c>
      <c r="H56" s="70" t="s">
        <v>281</v>
      </c>
      <c r="I56" s="70" t="s">
        <v>226</v>
      </c>
      <c r="J56" s="70" t="s">
        <v>281</v>
      </c>
      <c r="K56" s="70" t="s">
        <v>281</v>
      </c>
      <c r="L56" s="70" t="s">
        <v>282</v>
      </c>
      <c r="M56" s="84" t="s">
        <v>496</v>
      </c>
      <c r="N56" s="70" t="s">
        <v>495</v>
      </c>
      <c r="O56" s="70" t="s">
        <v>497</v>
      </c>
      <c r="P56" s="70"/>
      <c r="Q56" s="70"/>
      <c r="R56" s="70"/>
      <c r="S56" s="70"/>
      <c r="T56" s="70"/>
      <c r="U56" s="70" t="s">
        <v>285</v>
      </c>
      <c r="V56" s="70"/>
      <c r="W56" s="70" t="s">
        <v>285</v>
      </c>
      <c r="X56" s="70" t="s">
        <v>285</v>
      </c>
      <c r="Y56" s="70"/>
      <c r="Z56" s="70"/>
      <c r="AA56" s="92" t="s">
        <v>310</v>
      </c>
    </row>
    <row r="57" ht="14.25" hidden="1" customHeight="1" spans="1:27">
      <c r="A57">
        <f>施法!J59</f>
        <v>0</v>
      </c>
      <c r="B57" s="69" t="s">
        <v>498</v>
      </c>
      <c r="C57" s="69">
        <v>1</v>
      </c>
      <c r="D57" s="69" t="s">
        <v>301</v>
      </c>
      <c r="E57" s="69" t="s">
        <v>205</v>
      </c>
      <c r="F57" s="69" t="s">
        <v>279</v>
      </c>
      <c r="G57" s="69" t="s">
        <v>280</v>
      </c>
      <c r="H57" s="69" t="s">
        <v>225</v>
      </c>
      <c r="I57" s="69" t="s">
        <v>281</v>
      </c>
      <c r="J57" s="69" t="s">
        <v>281</v>
      </c>
      <c r="K57" s="69" t="s">
        <v>281</v>
      </c>
      <c r="L57" s="69" t="s">
        <v>312</v>
      </c>
      <c r="M57" s="78" t="s">
        <v>499</v>
      </c>
      <c r="N57" s="69" t="s">
        <v>498</v>
      </c>
      <c r="O57" s="69" t="s">
        <v>500</v>
      </c>
      <c r="P57" s="69"/>
      <c r="Q57" s="69"/>
      <c r="R57" s="69"/>
      <c r="S57" s="69"/>
      <c r="T57" s="69"/>
      <c r="U57" s="69"/>
      <c r="V57" s="69" t="s">
        <v>285</v>
      </c>
      <c r="W57" s="69" t="s">
        <v>285</v>
      </c>
      <c r="X57" s="69"/>
      <c r="Y57" s="69"/>
      <c r="Z57" s="69"/>
      <c r="AA57" s="92" t="s">
        <v>310</v>
      </c>
    </row>
    <row r="58" ht="14.25" hidden="1" customHeight="1" spans="1:27">
      <c r="A58">
        <f>施法!J60</f>
        <v>0</v>
      </c>
      <c r="B58" s="67" t="s">
        <v>501</v>
      </c>
      <c r="C58" s="67">
        <v>1</v>
      </c>
      <c r="D58" s="67" t="s">
        <v>288</v>
      </c>
      <c r="E58" s="67" t="s">
        <v>285</v>
      </c>
      <c r="F58" s="67" t="s">
        <v>353</v>
      </c>
      <c r="G58" s="67" t="s">
        <v>341</v>
      </c>
      <c r="H58" s="67" t="s">
        <v>225</v>
      </c>
      <c r="I58" s="67" t="s">
        <v>226</v>
      </c>
      <c r="J58" s="67" t="s">
        <v>227</v>
      </c>
      <c r="K58" s="67" t="s">
        <v>502</v>
      </c>
      <c r="L58" s="67" t="s">
        <v>282</v>
      </c>
      <c r="M58" s="90" t="s">
        <v>503</v>
      </c>
      <c r="N58" s="67" t="s">
        <v>501</v>
      </c>
      <c r="O58" s="67" t="s">
        <v>504</v>
      </c>
      <c r="P58" s="67"/>
      <c r="Q58" s="67" t="s">
        <v>285</v>
      </c>
      <c r="R58" s="67"/>
      <c r="S58" s="67" t="s">
        <v>285</v>
      </c>
      <c r="T58" s="67"/>
      <c r="U58" s="67"/>
      <c r="V58" s="67"/>
      <c r="W58" s="67"/>
      <c r="X58" s="67"/>
      <c r="Y58" s="67"/>
      <c r="Z58" s="67"/>
      <c r="AA58" s="92" t="s">
        <v>310</v>
      </c>
    </row>
    <row r="59" ht="14.25" hidden="1" customHeight="1" spans="1:27">
      <c r="A59">
        <f>施法!J61</f>
        <v>0</v>
      </c>
      <c r="B59" s="68" t="s">
        <v>505</v>
      </c>
      <c r="C59" s="68">
        <v>1</v>
      </c>
      <c r="D59" s="68" t="s">
        <v>294</v>
      </c>
      <c r="E59" s="68" t="s">
        <v>205</v>
      </c>
      <c r="F59" s="68" t="s">
        <v>279</v>
      </c>
      <c r="G59" s="68" t="s">
        <v>302</v>
      </c>
      <c r="H59" s="68" t="s">
        <v>225</v>
      </c>
      <c r="I59" s="68" t="s">
        <v>226</v>
      </c>
      <c r="J59" s="68" t="s">
        <v>281</v>
      </c>
      <c r="K59" s="68" t="s">
        <v>281</v>
      </c>
      <c r="L59" s="68" t="s">
        <v>282</v>
      </c>
      <c r="M59" s="77" t="s">
        <v>506</v>
      </c>
      <c r="N59" s="68" t="s">
        <v>505</v>
      </c>
      <c r="O59" s="68" t="s">
        <v>507</v>
      </c>
      <c r="P59" s="68"/>
      <c r="Q59" s="68"/>
      <c r="R59" s="68"/>
      <c r="S59" s="68"/>
      <c r="T59" s="68"/>
      <c r="U59" s="68" t="s">
        <v>285</v>
      </c>
      <c r="V59" s="68"/>
      <c r="W59" s="68"/>
      <c r="X59" s="68"/>
      <c r="Y59" s="68"/>
      <c r="Z59" s="68"/>
      <c r="AA59" s="92" t="s">
        <v>310</v>
      </c>
    </row>
    <row r="60" ht="14.25" customHeight="1" spans="1:27">
      <c r="A60">
        <f>施法!J62</f>
        <v>0</v>
      </c>
      <c r="B60" s="71" t="s">
        <v>508</v>
      </c>
      <c r="C60" s="71">
        <v>1</v>
      </c>
      <c r="D60" s="71" t="s">
        <v>329</v>
      </c>
      <c r="E60" s="71" t="s">
        <v>205</v>
      </c>
      <c r="F60" s="71" t="s">
        <v>279</v>
      </c>
      <c r="G60" s="71" t="s">
        <v>320</v>
      </c>
      <c r="H60" s="71" t="s">
        <v>225</v>
      </c>
      <c r="I60" s="71" t="s">
        <v>226</v>
      </c>
      <c r="J60" s="71" t="s">
        <v>281</v>
      </c>
      <c r="K60" s="71" t="s">
        <v>281</v>
      </c>
      <c r="L60" s="71" t="s">
        <v>353</v>
      </c>
      <c r="M60" s="81" t="s">
        <v>509</v>
      </c>
      <c r="N60" s="71" t="s">
        <v>508</v>
      </c>
      <c r="O60" s="71" t="s">
        <v>510</v>
      </c>
      <c r="P60" s="71" t="s">
        <v>285</v>
      </c>
      <c r="Q60" s="71"/>
      <c r="R60" s="71" t="s">
        <v>285</v>
      </c>
      <c r="S60" s="71"/>
      <c r="T60" s="71"/>
      <c r="U60" s="71" t="s">
        <v>285</v>
      </c>
      <c r="V60" s="71" t="s">
        <v>285</v>
      </c>
      <c r="W60" s="71" t="s">
        <v>285</v>
      </c>
      <c r="X60" s="71"/>
      <c r="Y60" s="71"/>
      <c r="Z60" s="71"/>
      <c r="AA60" s="92" t="s">
        <v>286</v>
      </c>
    </row>
    <row r="61" ht="14.25" hidden="1" customHeight="1" spans="1:27">
      <c r="A61">
        <f>施法!J63</f>
        <v>0</v>
      </c>
      <c r="B61" s="68" t="s">
        <v>511</v>
      </c>
      <c r="C61" s="68">
        <v>1</v>
      </c>
      <c r="D61" s="68" t="s">
        <v>294</v>
      </c>
      <c r="E61" s="68" t="s">
        <v>205</v>
      </c>
      <c r="F61" s="68" t="s">
        <v>279</v>
      </c>
      <c r="G61" s="68" t="s">
        <v>512</v>
      </c>
      <c r="H61" s="68" t="s">
        <v>225</v>
      </c>
      <c r="I61" s="68" t="s">
        <v>226</v>
      </c>
      <c r="J61" s="68" t="s">
        <v>227</v>
      </c>
      <c r="K61" s="68" t="s">
        <v>513</v>
      </c>
      <c r="L61" s="68" t="s">
        <v>282</v>
      </c>
      <c r="M61" s="82" t="s">
        <v>514</v>
      </c>
      <c r="N61" s="68" t="s">
        <v>511</v>
      </c>
      <c r="O61" s="68" t="s">
        <v>515</v>
      </c>
      <c r="P61" s="68"/>
      <c r="Q61" s="68"/>
      <c r="R61" s="68"/>
      <c r="S61" s="68"/>
      <c r="T61" s="68"/>
      <c r="U61" s="68" t="s">
        <v>285</v>
      </c>
      <c r="V61" s="68"/>
      <c r="W61" s="68" t="s">
        <v>285</v>
      </c>
      <c r="X61" s="68"/>
      <c r="Y61" s="68"/>
      <c r="Z61" s="68"/>
      <c r="AA61" s="92" t="s">
        <v>286</v>
      </c>
    </row>
    <row r="62" ht="14.25" hidden="1" customHeight="1" spans="1:27">
      <c r="A62">
        <f>施法!J64</f>
        <v>0</v>
      </c>
      <c r="B62" s="73" t="s">
        <v>516</v>
      </c>
      <c r="C62" s="73">
        <v>1</v>
      </c>
      <c r="D62" s="73" t="s">
        <v>378</v>
      </c>
      <c r="E62" s="73" t="s">
        <v>205</v>
      </c>
      <c r="F62" s="73" t="s">
        <v>279</v>
      </c>
      <c r="G62" s="73" t="s">
        <v>492</v>
      </c>
      <c r="H62" s="73" t="s">
        <v>225</v>
      </c>
      <c r="I62" s="73" t="s">
        <v>226</v>
      </c>
      <c r="J62" s="73" t="s">
        <v>227</v>
      </c>
      <c r="K62" s="73" t="s">
        <v>517</v>
      </c>
      <c r="L62" s="73" t="s">
        <v>290</v>
      </c>
      <c r="M62" s="91" t="s">
        <v>518</v>
      </c>
      <c r="N62" s="73" t="s">
        <v>516</v>
      </c>
      <c r="O62" s="73" t="s">
        <v>519</v>
      </c>
      <c r="P62" s="73"/>
      <c r="Q62" s="73"/>
      <c r="R62" s="73"/>
      <c r="S62" s="73"/>
      <c r="T62" s="73"/>
      <c r="U62" s="73" t="s">
        <v>285</v>
      </c>
      <c r="V62" s="73"/>
      <c r="W62" s="73" t="s">
        <v>285</v>
      </c>
      <c r="X62" s="73"/>
      <c r="Y62" s="73"/>
      <c r="Z62" s="73"/>
      <c r="AA62" s="92" t="s">
        <v>286</v>
      </c>
    </row>
    <row r="63" ht="14.25" hidden="1" customHeight="1" spans="1:27">
      <c r="A63">
        <f>施法!J65</f>
        <v>0</v>
      </c>
      <c r="B63" s="71" t="s">
        <v>520</v>
      </c>
      <c r="C63" s="71">
        <v>1</v>
      </c>
      <c r="D63" s="71" t="s">
        <v>329</v>
      </c>
      <c r="E63" s="71" t="s">
        <v>205</v>
      </c>
      <c r="F63" s="71" t="s">
        <v>279</v>
      </c>
      <c r="G63" s="71" t="s">
        <v>280</v>
      </c>
      <c r="H63" s="71" t="s">
        <v>225</v>
      </c>
      <c r="I63" s="71" t="s">
        <v>281</v>
      </c>
      <c r="J63" s="71" t="s">
        <v>281</v>
      </c>
      <c r="K63" s="71" t="s">
        <v>281</v>
      </c>
      <c r="L63" s="71" t="s">
        <v>290</v>
      </c>
      <c r="M63" s="81" t="s">
        <v>521</v>
      </c>
      <c r="N63" s="71" t="s">
        <v>520</v>
      </c>
      <c r="O63" s="71" t="s">
        <v>522</v>
      </c>
      <c r="P63" s="71"/>
      <c r="Q63" s="71" t="s">
        <v>285</v>
      </c>
      <c r="R63" s="71"/>
      <c r="S63" s="71" t="s">
        <v>285</v>
      </c>
      <c r="T63" s="71"/>
      <c r="U63" s="71"/>
      <c r="V63" s="71"/>
      <c r="W63" s="71"/>
      <c r="X63" s="71"/>
      <c r="Y63" s="71"/>
      <c r="Z63" s="71"/>
      <c r="AA63" s="92" t="s">
        <v>286</v>
      </c>
    </row>
    <row r="64" ht="14.25" hidden="1" customHeight="1" spans="1:27">
      <c r="A64">
        <f>施法!J66</f>
        <v>0</v>
      </c>
      <c r="B64" s="71" t="s">
        <v>523</v>
      </c>
      <c r="C64" s="71">
        <v>1</v>
      </c>
      <c r="D64" s="71" t="s">
        <v>329</v>
      </c>
      <c r="E64" s="71" t="s">
        <v>205</v>
      </c>
      <c r="F64" s="71" t="s">
        <v>364</v>
      </c>
      <c r="G64" s="71" t="s">
        <v>320</v>
      </c>
      <c r="H64" s="71" t="s">
        <v>225</v>
      </c>
      <c r="I64" s="71" t="s">
        <v>281</v>
      </c>
      <c r="J64" s="71" t="s">
        <v>281</v>
      </c>
      <c r="K64" s="71" t="s">
        <v>281</v>
      </c>
      <c r="L64" s="71" t="s">
        <v>312</v>
      </c>
      <c r="M64" s="81" t="s">
        <v>524</v>
      </c>
      <c r="N64" s="71" t="s">
        <v>523</v>
      </c>
      <c r="O64" s="71" t="s">
        <v>525</v>
      </c>
      <c r="P64" s="71"/>
      <c r="Q64" s="71"/>
      <c r="R64" s="71"/>
      <c r="S64" s="71" t="s">
        <v>285</v>
      </c>
      <c r="T64" s="71"/>
      <c r="U64" s="71"/>
      <c r="V64" s="71"/>
      <c r="W64" s="71"/>
      <c r="X64" s="71"/>
      <c r="Y64" s="71"/>
      <c r="Z64" s="71"/>
      <c r="AA64" s="92" t="s">
        <v>286</v>
      </c>
    </row>
    <row r="65" ht="14.25" customHeight="1" spans="1:27">
      <c r="A65">
        <f>施法!J67</f>
        <v>0</v>
      </c>
      <c r="B65" s="72" t="s">
        <v>526</v>
      </c>
      <c r="C65" s="72">
        <v>1</v>
      </c>
      <c r="D65" s="72" t="s">
        <v>340</v>
      </c>
      <c r="E65" s="72" t="s">
        <v>285</v>
      </c>
      <c r="F65" s="72" t="s">
        <v>279</v>
      </c>
      <c r="G65" s="72" t="s">
        <v>289</v>
      </c>
      <c r="H65" s="72" t="s">
        <v>225</v>
      </c>
      <c r="I65" s="72" t="s">
        <v>226</v>
      </c>
      <c r="J65" s="72" t="s">
        <v>227</v>
      </c>
      <c r="K65" s="72" t="s">
        <v>527</v>
      </c>
      <c r="L65" s="72" t="s">
        <v>353</v>
      </c>
      <c r="M65" s="83" t="s">
        <v>528</v>
      </c>
      <c r="N65" s="72" t="s">
        <v>526</v>
      </c>
      <c r="O65" s="72" t="s">
        <v>529</v>
      </c>
      <c r="P65" s="72" t="s">
        <v>285</v>
      </c>
      <c r="Q65" s="72"/>
      <c r="R65" s="72"/>
      <c r="S65" s="72"/>
      <c r="T65" s="72"/>
      <c r="U65" s="72" t="s">
        <v>285</v>
      </c>
      <c r="V65" s="72" t="s">
        <v>285</v>
      </c>
      <c r="W65" s="72" t="s">
        <v>285</v>
      </c>
      <c r="X65" s="72"/>
      <c r="Y65" s="72"/>
      <c r="Z65" s="72"/>
      <c r="AA65" s="92" t="s">
        <v>286</v>
      </c>
    </row>
    <row r="66" ht="14.25" hidden="1" customHeight="1" spans="1:27">
      <c r="A66">
        <f>施法!J68</f>
        <v>0</v>
      </c>
      <c r="B66" s="70" t="s">
        <v>530</v>
      </c>
      <c r="C66" s="70">
        <v>1</v>
      </c>
      <c r="D66" s="70" t="s">
        <v>306</v>
      </c>
      <c r="E66" s="70" t="s">
        <v>205</v>
      </c>
      <c r="F66" s="70" t="s">
        <v>279</v>
      </c>
      <c r="G66" s="70" t="s">
        <v>320</v>
      </c>
      <c r="H66" s="70" t="s">
        <v>225</v>
      </c>
      <c r="I66" s="70" t="s">
        <v>226</v>
      </c>
      <c r="J66" s="70" t="s">
        <v>227</v>
      </c>
      <c r="K66" s="70" t="s">
        <v>531</v>
      </c>
      <c r="L66" s="70" t="s">
        <v>282</v>
      </c>
      <c r="M66" s="84" t="s">
        <v>532</v>
      </c>
      <c r="N66" s="70" t="s">
        <v>530</v>
      </c>
      <c r="O66" s="70" t="s">
        <v>533</v>
      </c>
      <c r="P66" s="70"/>
      <c r="Q66" s="70" t="s">
        <v>285</v>
      </c>
      <c r="R66" s="70" t="s">
        <v>285</v>
      </c>
      <c r="S66" s="70"/>
      <c r="T66" s="70"/>
      <c r="U66" s="70"/>
      <c r="V66" s="70"/>
      <c r="W66" s="70"/>
      <c r="X66" s="70"/>
      <c r="Y66" s="70"/>
      <c r="Z66" s="70"/>
      <c r="AA66" s="92" t="s">
        <v>286</v>
      </c>
    </row>
    <row r="67" ht="14.25" hidden="1" customHeight="1" spans="1:27">
      <c r="A67" t="str">
        <f>施法!J69</f>
        <v>法术名</v>
      </c>
      <c r="B67" s="68" t="s">
        <v>534</v>
      </c>
      <c r="C67" s="68">
        <v>1</v>
      </c>
      <c r="D67" s="68" t="s">
        <v>294</v>
      </c>
      <c r="E67" s="68" t="s">
        <v>205</v>
      </c>
      <c r="F67" s="68" t="s">
        <v>279</v>
      </c>
      <c r="G67" s="68" t="s">
        <v>341</v>
      </c>
      <c r="H67" s="68" t="s">
        <v>225</v>
      </c>
      <c r="I67" s="68" t="s">
        <v>226</v>
      </c>
      <c r="J67" s="68" t="s">
        <v>281</v>
      </c>
      <c r="K67" s="68" t="s">
        <v>281</v>
      </c>
      <c r="L67" s="68" t="s">
        <v>282</v>
      </c>
      <c r="M67" s="77" t="s">
        <v>535</v>
      </c>
      <c r="N67" s="68" t="s">
        <v>534</v>
      </c>
      <c r="O67" s="68" t="s">
        <v>536</v>
      </c>
      <c r="P67" s="68" t="s">
        <v>285</v>
      </c>
      <c r="Q67" s="68" t="s">
        <v>285</v>
      </c>
      <c r="R67" s="68" t="s">
        <v>285</v>
      </c>
      <c r="S67" s="68" t="s">
        <v>285</v>
      </c>
      <c r="T67" s="68" t="s">
        <v>285</v>
      </c>
      <c r="U67" s="68"/>
      <c r="V67" s="68"/>
      <c r="W67" s="68"/>
      <c r="X67" s="68" t="s">
        <v>285</v>
      </c>
      <c r="Y67" s="68"/>
      <c r="Z67" s="68"/>
      <c r="AA67" s="92" t="s">
        <v>286</v>
      </c>
    </row>
    <row r="68" ht="14.25" hidden="1" customHeight="1" spans="1:27">
      <c r="A68">
        <f>施法!J70</f>
        <v>0</v>
      </c>
      <c r="B68" s="72" t="s">
        <v>537</v>
      </c>
      <c r="C68" s="72">
        <v>1</v>
      </c>
      <c r="D68" s="72" t="s">
        <v>340</v>
      </c>
      <c r="E68" s="72" t="s">
        <v>205</v>
      </c>
      <c r="F68" s="72" t="s">
        <v>279</v>
      </c>
      <c r="G68" s="72" t="s">
        <v>289</v>
      </c>
      <c r="H68" s="72" t="s">
        <v>225</v>
      </c>
      <c r="I68" s="72" t="s">
        <v>226</v>
      </c>
      <c r="J68" s="72" t="s">
        <v>281</v>
      </c>
      <c r="K68" s="72" t="s">
        <v>281</v>
      </c>
      <c r="L68" s="72" t="s">
        <v>484</v>
      </c>
      <c r="M68" s="83" t="s">
        <v>538</v>
      </c>
      <c r="N68" s="72" t="s">
        <v>537</v>
      </c>
      <c r="O68" s="72" t="s">
        <v>539</v>
      </c>
      <c r="P68" s="72"/>
      <c r="Q68" s="72" t="s">
        <v>285</v>
      </c>
      <c r="R68" s="72"/>
      <c r="S68" s="72" t="s">
        <v>285</v>
      </c>
      <c r="T68" s="72"/>
      <c r="U68" s="72"/>
      <c r="V68" s="72"/>
      <c r="W68" s="72"/>
      <c r="X68" s="72"/>
      <c r="Y68" s="72"/>
      <c r="Z68" s="72"/>
      <c r="AA68" s="92" t="s">
        <v>286</v>
      </c>
    </row>
    <row r="69" ht="14.25" hidden="1" customHeight="1" spans="1:27">
      <c r="A69">
        <f>施法!J71</f>
        <v>0</v>
      </c>
      <c r="B69" s="72" t="s">
        <v>540</v>
      </c>
      <c r="C69" s="72">
        <v>1</v>
      </c>
      <c r="D69" s="72" t="s">
        <v>340</v>
      </c>
      <c r="E69" s="72" t="s">
        <v>285</v>
      </c>
      <c r="F69" s="72" t="s">
        <v>279</v>
      </c>
      <c r="G69" s="72" t="s">
        <v>289</v>
      </c>
      <c r="H69" s="72" t="s">
        <v>225</v>
      </c>
      <c r="I69" s="72" t="s">
        <v>226</v>
      </c>
      <c r="J69" s="72" t="s">
        <v>281</v>
      </c>
      <c r="K69" s="72" t="s">
        <v>281</v>
      </c>
      <c r="L69" s="72" t="s">
        <v>484</v>
      </c>
      <c r="M69" s="95" t="s">
        <v>541</v>
      </c>
      <c r="N69" s="72" t="s">
        <v>540</v>
      </c>
      <c r="O69" s="72" t="s">
        <v>542</v>
      </c>
      <c r="P69" s="72" t="s">
        <v>285</v>
      </c>
      <c r="Q69" s="72" t="s">
        <v>285</v>
      </c>
      <c r="R69" s="72" t="s">
        <v>285</v>
      </c>
      <c r="S69" s="72" t="s">
        <v>285</v>
      </c>
      <c r="T69" s="72" t="s">
        <v>285</v>
      </c>
      <c r="U69" s="72" t="s">
        <v>285</v>
      </c>
      <c r="V69" s="72"/>
      <c r="W69" s="72" t="s">
        <v>285</v>
      </c>
      <c r="X69" s="72" t="s">
        <v>285</v>
      </c>
      <c r="Y69" s="72"/>
      <c r="Z69" s="72"/>
      <c r="AA69" s="92" t="s">
        <v>286</v>
      </c>
    </row>
    <row r="70" ht="14.25" hidden="1" customHeight="1" spans="1:27">
      <c r="A70">
        <f>施法!J72</f>
        <v>0</v>
      </c>
      <c r="B70" s="72" t="s">
        <v>543</v>
      </c>
      <c r="C70" s="72">
        <v>1</v>
      </c>
      <c r="D70" s="72" t="s">
        <v>340</v>
      </c>
      <c r="E70" s="72" t="s">
        <v>285</v>
      </c>
      <c r="F70" s="72" t="s">
        <v>279</v>
      </c>
      <c r="G70" s="72" t="s">
        <v>289</v>
      </c>
      <c r="H70" s="72" t="s">
        <v>225</v>
      </c>
      <c r="I70" s="72" t="s">
        <v>226</v>
      </c>
      <c r="J70" s="72" t="s">
        <v>227</v>
      </c>
      <c r="K70" s="72" t="s">
        <v>544</v>
      </c>
      <c r="L70" s="72" t="s">
        <v>484</v>
      </c>
      <c r="M70" s="83" t="s">
        <v>545</v>
      </c>
      <c r="N70" s="72" t="s">
        <v>543</v>
      </c>
      <c r="O70" s="72" t="s">
        <v>546</v>
      </c>
      <c r="P70" s="72"/>
      <c r="Q70" s="72" t="s">
        <v>285</v>
      </c>
      <c r="R70" s="72" t="s">
        <v>285</v>
      </c>
      <c r="S70" s="72" t="s">
        <v>285</v>
      </c>
      <c r="T70" s="72" t="s">
        <v>285</v>
      </c>
      <c r="U70" s="72"/>
      <c r="V70" s="72"/>
      <c r="W70" s="72"/>
      <c r="X70" s="72"/>
      <c r="Y70" s="72"/>
      <c r="Z70" s="72"/>
      <c r="AA70" s="92" t="s">
        <v>286</v>
      </c>
    </row>
    <row r="71" ht="14.25" hidden="1" customHeight="1" spans="1:27">
      <c r="A71">
        <f>施法!J73</f>
        <v>0</v>
      </c>
      <c r="B71" s="73" t="s">
        <v>547</v>
      </c>
      <c r="C71" s="73">
        <v>1</v>
      </c>
      <c r="D71" s="73" t="s">
        <v>378</v>
      </c>
      <c r="E71" s="73" t="s">
        <v>205</v>
      </c>
      <c r="F71" s="73" t="s">
        <v>279</v>
      </c>
      <c r="G71" s="73" t="s">
        <v>289</v>
      </c>
      <c r="H71" s="73" t="s">
        <v>225</v>
      </c>
      <c r="I71" s="73" t="s">
        <v>226</v>
      </c>
      <c r="J71" s="73" t="s">
        <v>281</v>
      </c>
      <c r="K71" s="73" t="s">
        <v>281</v>
      </c>
      <c r="L71" s="73" t="s">
        <v>353</v>
      </c>
      <c r="M71" s="91" t="s">
        <v>548</v>
      </c>
      <c r="N71" s="73" t="s">
        <v>547</v>
      </c>
      <c r="O71" s="73" t="s">
        <v>549</v>
      </c>
      <c r="P71" s="73" t="s">
        <v>285</v>
      </c>
      <c r="Q71" s="73"/>
      <c r="R71" s="73"/>
      <c r="S71" s="73"/>
      <c r="T71" s="73"/>
      <c r="U71" s="73" t="s">
        <v>285</v>
      </c>
      <c r="V71" s="73"/>
      <c r="W71" s="73" t="s">
        <v>285</v>
      </c>
      <c r="X71" s="73" t="s">
        <v>285</v>
      </c>
      <c r="Y71" s="73"/>
      <c r="Z71" s="73"/>
      <c r="AA71" s="92" t="s">
        <v>286</v>
      </c>
    </row>
    <row r="72" ht="14.25" hidden="1" customHeight="1" spans="1:27">
      <c r="A72">
        <f>施法!J74</f>
        <v>0</v>
      </c>
      <c r="B72" s="71" t="s">
        <v>550</v>
      </c>
      <c r="C72" s="71">
        <v>1</v>
      </c>
      <c r="D72" s="71" t="s">
        <v>329</v>
      </c>
      <c r="E72" s="71" t="s">
        <v>205</v>
      </c>
      <c r="F72" s="71" t="s">
        <v>279</v>
      </c>
      <c r="G72" s="71" t="s">
        <v>280</v>
      </c>
      <c r="H72" s="71" t="s">
        <v>225</v>
      </c>
      <c r="I72" s="71" t="s">
        <v>281</v>
      </c>
      <c r="J72" s="71" t="s">
        <v>281</v>
      </c>
      <c r="K72" s="71" t="s">
        <v>281</v>
      </c>
      <c r="L72" s="71" t="s">
        <v>282</v>
      </c>
      <c r="M72" s="89" t="s">
        <v>551</v>
      </c>
      <c r="N72" s="71" t="s">
        <v>550</v>
      </c>
      <c r="O72" s="71" t="s">
        <v>552</v>
      </c>
      <c r="P72" s="71" t="s">
        <v>285</v>
      </c>
      <c r="Q72" s="71"/>
      <c r="R72" s="71"/>
      <c r="S72" s="71"/>
      <c r="T72" s="71"/>
      <c r="U72" s="71"/>
      <c r="V72" s="71"/>
      <c r="W72" s="71"/>
      <c r="X72" s="71"/>
      <c r="Y72" s="71"/>
      <c r="Z72" s="71"/>
      <c r="AA72" s="92" t="s">
        <v>286</v>
      </c>
    </row>
    <row r="73" ht="14.25" hidden="1" customHeight="1" spans="1:27">
      <c r="A73">
        <f>施法!J75</f>
        <v>0</v>
      </c>
      <c r="B73" s="68" t="s">
        <v>553</v>
      </c>
      <c r="C73" s="68">
        <v>1</v>
      </c>
      <c r="D73" s="68" t="s">
        <v>294</v>
      </c>
      <c r="E73" s="68" t="s">
        <v>205</v>
      </c>
      <c r="F73" s="68" t="s">
        <v>364</v>
      </c>
      <c r="G73" s="68" t="s">
        <v>289</v>
      </c>
      <c r="H73" s="68" t="s">
        <v>225</v>
      </c>
      <c r="I73" s="68" t="s">
        <v>226</v>
      </c>
      <c r="J73" s="68" t="s">
        <v>281</v>
      </c>
      <c r="K73" s="68" t="s">
        <v>281</v>
      </c>
      <c r="L73" s="68" t="s">
        <v>312</v>
      </c>
      <c r="M73" s="77" t="s">
        <v>554</v>
      </c>
      <c r="N73" s="68" t="s">
        <v>553</v>
      </c>
      <c r="O73" s="68" t="s">
        <v>555</v>
      </c>
      <c r="P73" s="68"/>
      <c r="Q73" s="68"/>
      <c r="R73" s="68"/>
      <c r="S73" s="68" t="s">
        <v>285</v>
      </c>
      <c r="T73" s="68"/>
      <c r="U73" s="68"/>
      <c r="V73" s="68"/>
      <c r="W73" s="68"/>
      <c r="X73" s="68"/>
      <c r="Y73" s="68"/>
      <c r="Z73" s="68"/>
      <c r="AA73" s="92" t="s">
        <v>286</v>
      </c>
    </row>
    <row r="74" ht="14.25" hidden="1" customHeight="1" spans="1:27">
      <c r="A74">
        <f>施法!J76</f>
        <v>0</v>
      </c>
      <c r="B74" s="68" t="s">
        <v>556</v>
      </c>
      <c r="C74" s="68">
        <v>1</v>
      </c>
      <c r="D74" s="68" t="s">
        <v>294</v>
      </c>
      <c r="E74" s="68" t="s">
        <v>205</v>
      </c>
      <c r="F74" s="68" t="s">
        <v>279</v>
      </c>
      <c r="G74" s="68" t="s">
        <v>475</v>
      </c>
      <c r="H74" s="68" t="s">
        <v>225</v>
      </c>
      <c r="I74" s="68" t="s">
        <v>226</v>
      </c>
      <c r="J74" s="68" t="s">
        <v>281</v>
      </c>
      <c r="K74" s="68" t="s">
        <v>281</v>
      </c>
      <c r="L74" s="68" t="s">
        <v>282</v>
      </c>
      <c r="M74" s="82" t="s">
        <v>557</v>
      </c>
      <c r="N74" s="68" t="s">
        <v>556</v>
      </c>
      <c r="O74" s="68" t="s">
        <v>558</v>
      </c>
      <c r="P74" s="68" t="s">
        <v>285</v>
      </c>
      <c r="Q74" s="68"/>
      <c r="R74" s="68" t="s">
        <v>285</v>
      </c>
      <c r="S74" s="68"/>
      <c r="T74" s="68"/>
      <c r="U74" s="68" t="s">
        <v>285</v>
      </c>
      <c r="V74" s="68"/>
      <c r="W74" s="68" t="s">
        <v>285</v>
      </c>
      <c r="X74" s="68"/>
      <c r="Y74" s="68"/>
      <c r="Z74" s="68"/>
      <c r="AA74" s="92" t="s">
        <v>310</v>
      </c>
    </row>
    <row r="75" ht="14.25" hidden="1" customHeight="1" spans="1:27">
      <c r="A75">
        <f>施法!J77</f>
        <v>0</v>
      </c>
      <c r="B75" s="66" t="s">
        <v>559</v>
      </c>
      <c r="C75" s="66">
        <v>1</v>
      </c>
      <c r="D75" s="66" t="s">
        <v>278</v>
      </c>
      <c r="E75" s="66" t="s">
        <v>205</v>
      </c>
      <c r="F75" s="66" t="s">
        <v>364</v>
      </c>
      <c r="G75" s="66" t="s">
        <v>289</v>
      </c>
      <c r="H75" s="66" t="s">
        <v>225</v>
      </c>
      <c r="I75" s="66" t="s">
        <v>281</v>
      </c>
      <c r="J75" s="66" t="s">
        <v>281</v>
      </c>
      <c r="K75" s="66" t="s">
        <v>281</v>
      </c>
      <c r="L75" s="66" t="s">
        <v>312</v>
      </c>
      <c r="M75" s="80" t="s">
        <v>560</v>
      </c>
      <c r="N75" s="66" t="s">
        <v>559</v>
      </c>
      <c r="O75" s="66" t="s">
        <v>561</v>
      </c>
      <c r="P75" s="66"/>
      <c r="Q75" s="66"/>
      <c r="R75" s="66"/>
      <c r="S75" s="66"/>
      <c r="T75" s="66" t="s">
        <v>285</v>
      </c>
      <c r="U75" s="66"/>
      <c r="V75" s="66"/>
      <c r="W75" s="66"/>
      <c r="X75" s="66"/>
      <c r="Y75" s="66"/>
      <c r="Z75" s="66"/>
      <c r="AA75" s="92" t="s">
        <v>286</v>
      </c>
    </row>
    <row r="76" ht="14.25" hidden="1" customHeight="1" spans="1:27">
      <c r="A76">
        <f>施法!J78</f>
        <v>0</v>
      </c>
      <c r="B76" s="66" t="s">
        <v>562</v>
      </c>
      <c r="C76" s="66">
        <v>1</v>
      </c>
      <c r="D76" s="66" t="s">
        <v>278</v>
      </c>
      <c r="E76" s="66" t="s">
        <v>205</v>
      </c>
      <c r="F76" s="66" t="s">
        <v>279</v>
      </c>
      <c r="G76" s="66" t="s">
        <v>512</v>
      </c>
      <c r="H76" s="66" t="s">
        <v>225</v>
      </c>
      <c r="I76" s="66" t="s">
        <v>226</v>
      </c>
      <c r="J76" s="66" t="s">
        <v>281</v>
      </c>
      <c r="K76" s="66" t="s">
        <v>281</v>
      </c>
      <c r="L76" s="66" t="s">
        <v>312</v>
      </c>
      <c r="M76" s="80" t="s">
        <v>563</v>
      </c>
      <c r="N76" s="66" t="s">
        <v>562</v>
      </c>
      <c r="O76" s="66" t="s">
        <v>564</v>
      </c>
      <c r="P76" s="66"/>
      <c r="Q76" s="66"/>
      <c r="R76" s="66" t="s">
        <v>285</v>
      </c>
      <c r="S76" s="66"/>
      <c r="T76" s="66"/>
      <c r="U76" s="66"/>
      <c r="V76" s="66"/>
      <c r="W76" s="66"/>
      <c r="X76" s="66"/>
      <c r="Y76" s="66"/>
      <c r="Z76" s="66"/>
      <c r="AA76" s="92" t="s">
        <v>286</v>
      </c>
    </row>
    <row r="77" ht="14.25" customHeight="1" spans="1:27">
      <c r="A77">
        <f>施法!J79</f>
        <v>0</v>
      </c>
      <c r="B77" s="70" t="s">
        <v>565</v>
      </c>
      <c r="C77" s="70">
        <v>1</v>
      </c>
      <c r="D77" s="70" t="s">
        <v>306</v>
      </c>
      <c r="E77" s="70" t="s">
        <v>205</v>
      </c>
      <c r="F77" s="70" t="s">
        <v>364</v>
      </c>
      <c r="G77" s="70" t="s">
        <v>289</v>
      </c>
      <c r="H77" s="70" t="s">
        <v>225</v>
      </c>
      <c r="I77" s="70" t="s">
        <v>226</v>
      </c>
      <c r="J77" s="70" t="s">
        <v>281</v>
      </c>
      <c r="K77" s="70" t="s">
        <v>281</v>
      </c>
      <c r="L77" s="70" t="s">
        <v>484</v>
      </c>
      <c r="M77" s="79" t="s">
        <v>566</v>
      </c>
      <c r="N77" s="70" t="s">
        <v>565</v>
      </c>
      <c r="O77" s="70" t="s">
        <v>567</v>
      </c>
      <c r="P77" s="70"/>
      <c r="Q77" s="70"/>
      <c r="R77" s="70"/>
      <c r="S77" s="70"/>
      <c r="T77" s="70"/>
      <c r="U77" s="70" t="s">
        <v>285</v>
      </c>
      <c r="V77" s="70" t="s">
        <v>285</v>
      </c>
      <c r="W77" s="70" t="s">
        <v>285</v>
      </c>
      <c r="X77" s="70" t="s">
        <v>285</v>
      </c>
      <c r="Y77" s="70"/>
      <c r="Z77" s="70"/>
      <c r="AA77" s="92" t="s">
        <v>286</v>
      </c>
    </row>
    <row r="78" ht="14.25" hidden="1" customHeight="1" spans="1:27">
      <c r="A78" t="str">
        <f>施法!J80</f>
        <v>法术名</v>
      </c>
      <c r="B78" s="68" t="s">
        <v>568</v>
      </c>
      <c r="C78" s="68">
        <v>1</v>
      </c>
      <c r="D78" s="68" t="s">
        <v>294</v>
      </c>
      <c r="E78" s="68" t="s">
        <v>205</v>
      </c>
      <c r="F78" s="68" t="s">
        <v>279</v>
      </c>
      <c r="G78" s="68" t="s">
        <v>280</v>
      </c>
      <c r="H78" s="68" t="s">
        <v>225</v>
      </c>
      <c r="I78" s="68" t="s">
        <v>281</v>
      </c>
      <c r="J78" s="68" t="s">
        <v>281</v>
      </c>
      <c r="K78" s="68" t="s">
        <v>281</v>
      </c>
      <c r="L78" s="68" t="s">
        <v>312</v>
      </c>
      <c r="M78" s="77" t="s">
        <v>569</v>
      </c>
      <c r="N78" s="68" t="s">
        <v>568</v>
      </c>
      <c r="O78" s="68" t="s">
        <v>570</v>
      </c>
      <c r="P78" s="68" t="s">
        <v>285</v>
      </c>
      <c r="Q78" s="68"/>
      <c r="R78" s="68" t="s">
        <v>285</v>
      </c>
      <c r="S78" s="68"/>
      <c r="T78" s="68"/>
      <c r="U78" s="68"/>
      <c r="V78" s="68"/>
      <c r="W78" s="68"/>
      <c r="X78" s="68" t="s">
        <v>285</v>
      </c>
      <c r="Y78" s="68"/>
      <c r="Z78" s="68"/>
      <c r="AA78" s="92" t="s">
        <v>286</v>
      </c>
    </row>
    <row r="79" ht="14.25" hidden="1" customHeight="1" spans="1:27">
      <c r="A79">
        <f>施法!J81</f>
        <v>0</v>
      </c>
      <c r="B79" s="69" t="s">
        <v>571</v>
      </c>
      <c r="C79" s="69">
        <v>1</v>
      </c>
      <c r="D79" s="69" t="s">
        <v>301</v>
      </c>
      <c r="E79" s="69" t="s">
        <v>205</v>
      </c>
      <c r="F79" s="69" t="s">
        <v>279</v>
      </c>
      <c r="G79" s="69" t="s">
        <v>289</v>
      </c>
      <c r="H79" s="69" t="s">
        <v>225</v>
      </c>
      <c r="I79" s="69" t="s">
        <v>226</v>
      </c>
      <c r="J79" s="69" t="s">
        <v>227</v>
      </c>
      <c r="K79" s="69" t="s">
        <v>572</v>
      </c>
      <c r="L79" s="69" t="s">
        <v>353</v>
      </c>
      <c r="M79" s="78" t="s">
        <v>573</v>
      </c>
      <c r="N79" s="69" t="s">
        <v>571</v>
      </c>
      <c r="O79" s="69" t="s">
        <v>574</v>
      </c>
      <c r="P79" s="69"/>
      <c r="Q79" s="69"/>
      <c r="R79" s="69"/>
      <c r="S79" s="69"/>
      <c r="T79" s="69"/>
      <c r="U79" s="69" t="s">
        <v>285</v>
      </c>
      <c r="V79" s="69"/>
      <c r="W79" s="69" t="s">
        <v>285</v>
      </c>
      <c r="X79" s="69" t="s">
        <v>285</v>
      </c>
      <c r="Y79" s="69"/>
      <c r="Z79" s="69"/>
      <c r="AA79" s="92" t="s">
        <v>286</v>
      </c>
    </row>
    <row r="80" ht="14.25" hidden="1" customHeight="1" spans="1:27">
      <c r="A80">
        <f>施法!J82</f>
        <v>0</v>
      </c>
      <c r="B80" s="70" t="s">
        <v>575</v>
      </c>
      <c r="C80" s="70">
        <v>1</v>
      </c>
      <c r="D80" s="70" t="s">
        <v>306</v>
      </c>
      <c r="E80" s="70" t="s">
        <v>205</v>
      </c>
      <c r="F80" s="70" t="s">
        <v>576</v>
      </c>
      <c r="G80" s="70" t="s">
        <v>280</v>
      </c>
      <c r="H80" s="70" t="s">
        <v>225</v>
      </c>
      <c r="I80" s="70" t="s">
        <v>281</v>
      </c>
      <c r="J80" s="70" t="s">
        <v>227</v>
      </c>
      <c r="K80" s="70" t="s">
        <v>577</v>
      </c>
      <c r="L80" s="70" t="s">
        <v>360</v>
      </c>
      <c r="M80" s="79" t="s">
        <v>578</v>
      </c>
      <c r="N80" s="70" t="s">
        <v>575</v>
      </c>
      <c r="O80" s="70" t="s">
        <v>579</v>
      </c>
      <c r="P80" s="70" t="s">
        <v>285</v>
      </c>
      <c r="Q80" s="70"/>
      <c r="R80" s="70"/>
      <c r="S80" s="70"/>
      <c r="T80" s="70"/>
      <c r="U80" s="70" t="s">
        <v>285</v>
      </c>
      <c r="V80" s="70"/>
      <c r="W80" s="70" t="s">
        <v>285</v>
      </c>
      <c r="X80" s="70" t="s">
        <v>285</v>
      </c>
      <c r="Y80" s="70"/>
      <c r="Z80" s="70"/>
      <c r="AA80" s="92" t="s">
        <v>286</v>
      </c>
    </row>
    <row r="81" ht="14.25" hidden="1" customHeight="1" spans="1:27">
      <c r="A81">
        <f>施法!J83</f>
        <v>0</v>
      </c>
      <c r="B81" s="66" t="s">
        <v>580</v>
      </c>
      <c r="C81" s="66">
        <v>1</v>
      </c>
      <c r="D81" s="66" t="s">
        <v>278</v>
      </c>
      <c r="E81" s="66" t="s">
        <v>285</v>
      </c>
      <c r="F81" s="66" t="s">
        <v>353</v>
      </c>
      <c r="G81" s="66" t="s">
        <v>386</v>
      </c>
      <c r="H81" s="66" t="s">
        <v>225</v>
      </c>
      <c r="I81" s="66" t="s">
        <v>226</v>
      </c>
      <c r="J81" s="66" t="s">
        <v>227</v>
      </c>
      <c r="K81" s="66" t="s">
        <v>581</v>
      </c>
      <c r="L81" s="66" t="s">
        <v>282</v>
      </c>
      <c r="M81" s="75" t="s">
        <v>582</v>
      </c>
      <c r="N81" s="66" t="s">
        <v>580</v>
      </c>
      <c r="O81" s="66" t="s">
        <v>583</v>
      </c>
      <c r="P81" s="66"/>
      <c r="Q81" s="66"/>
      <c r="R81" s="66"/>
      <c r="S81" s="66"/>
      <c r="T81" s="66"/>
      <c r="U81" s="66"/>
      <c r="V81" s="66"/>
      <c r="W81" s="66" t="s">
        <v>285</v>
      </c>
      <c r="X81" s="66"/>
      <c r="Y81" s="66"/>
      <c r="Z81" s="66"/>
      <c r="AA81" s="92" t="s">
        <v>286</v>
      </c>
    </row>
    <row r="82" ht="14.25" hidden="1" customHeight="1" spans="1:27">
      <c r="A82">
        <f>施法!J84</f>
        <v>0</v>
      </c>
      <c r="B82" s="66" t="s">
        <v>584</v>
      </c>
      <c r="C82" s="66">
        <v>1</v>
      </c>
      <c r="D82" s="66" t="s">
        <v>278</v>
      </c>
      <c r="E82" s="66" t="s">
        <v>205</v>
      </c>
      <c r="F82" s="66" t="s">
        <v>279</v>
      </c>
      <c r="G82" s="66" t="s">
        <v>302</v>
      </c>
      <c r="H82" s="66" t="s">
        <v>225</v>
      </c>
      <c r="I82" s="66" t="s">
        <v>226</v>
      </c>
      <c r="J82" s="66" t="s">
        <v>281</v>
      </c>
      <c r="K82" s="66" t="s">
        <v>281</v>
      </c>
      <c r="L82" s="66" t="s">
        <v>585</v>
      </c>
      <c r="M82" s="75" t="s">
        <v>586</v>
      </c>
      <c r="N82" s="66" t="s">
        <v>584</v>
      </c>
      <c r="O82" s="66" t="s">
        <v>587</v>
      </c>
      <c r="P82" s="66"/>
      <c r="Q82" s="66"/>
      <c r="R82" s="66" t="s">
        <v>285</v>
      </c>
      <c r="S82" s="66"/>
      <c r="T82" s="66" t="s">
        <v>285</v>
      </c>
      <c r="U82" s="66" t="s">
        <v>285</v>
      </c>
      <c r="V82" s="66"/>
      <c r="W82" s="66" t="s">
        <v>285</v>
      </c>
      <c r="X82" s="66"/>
      <c r="Y82" s="66"/>
      <c r="Z82" s="66"/>
      <c r="AA82" s="92" t="s">
        <v>286</v>
      </c>
    </row>
    <row r="83" ht="14.25" hidden="1" customHeight="1" spans="1:27">
      <c r="A83">
        <f>施法!J85</f>
        <v>0</v>
      </c>
      <c r="B83" s="72" t="s">
        <v>588</v>
      </c>
      <c r="C83" s="72">
        <v>1</v>
      </c>
      <c r="D83" s="72" t="s">
        <v>340</v>
      </c>
      <c r="E83" s="72" t="s">
        <v>205</v>
      </c>
      <c r="F83" s="72" t="s">
        <v>360</v>
      </c>
      <c r="G83" s="72" t="s">
        <v>341</v>
      </c>
      <c r="H83" s="72" t="s">
        <v>225</v>
      </c>
      <c r="I83" s="72" t="s">
        <v>226</v>
      </c>
      <c r="J83" s="72" t="s">
        <v>281</v>
      </c>
      <c r="K83" s="72" t="s">
        <v>281</v>
      </c>
      <c r="L83" s="72" t="s">
        <v>462</v>
      </c>
      <c r="M83" s="96" t="s">
        <v>589</v>
      </c>
      <c r="N83" s="72" t="s">
        <v>588</v>
      </c>
      <c r="O83" s="72" t="s">
        <v>590</v>
      </c>
      <c r="P83" s="72"/>
      <c r="Q83" s="72"/>
      <c r="R83" s="72"/>
      <c r="S83" s="72"/>
      <c r="T83" s="72"/>
      <c r="U83" s="72"/>
      <c r="V83" s="72"/>
      <c r="W83" s="72"/>
      <c r="X83" s="72"/>
      <c r="Y83" s="72" t="s">
        <v>285</v>
      </c>
      <c r="Z83" s="72"/>
      <c r="AA83" s="92" t="s">
        <v>413</v>
      </c>
    </row>
    <row r="84" ht="14.25" hidden="1" customHeight="1" spans="1:27">
      <c r="A84">
        <f>施法!J86</f>
        <v>0</v>
      </c>
      <c r="B84" s="70" t="s">
        <v>591</v>
      </c>
      <c r="C84" s="70">
        <v>1</v>
      </c>
      <c r="D84" s="70" t="s">
        <v>306</v>
      </c>
      <c r="E84" s="70" t="s">
        <v>205</v>
      </c>
      <c r="F84" s="70" t="s">
        <v>279</v>
      </c>
      <c r="G84" s="70" t="s">
        <v>341</v>
      </c>
      <c r="H84" s="70" t="s">
        <v>225</v>
      </c>
      <c r="I84" s="70" t="s">
        <v>226</v>
      </c>
      <c r="J84" s="70" t="s">
        <v>227</v>
      </c>
      <c r="K84" s="70" t="s">
        <v>592</v>
      </c>
      <c r="L84" s="70" t="s">
        <v>282</v>
      </c>
      <c r="M84" s="79" t="s">
        <v>593</v>
      </c>
      <c r="N84" s="70" t="s">
        <v>591</v>
      </c>
      <c r="O84" s="70" t="s">
        <v>594</v>
      </c>
      <c r="P84" s="70"/>
      <c r="Q84" s="70"/>
      <c r="R84" s="70" t="s">
        <v>285</v>
      </c>
      <c r="S84" s="70"/>
      <c r="T84" s="70" t="s">
        <v>285</v>
      </c>
      <c r="U84" s="70"/>
      <c r="V84" s="70"/>
      <c r="W84" s="70"/>
      <c r="X84" s="70"/>
      <c r="Y84" s="70"/>
      <c r="Z84" s="70"/>
      <c r="AA84" s="92" t="s">
        <v>286</v>
      </c>
    </row>
    <row r="85" ht="14.25" hidden="1" customHeight="1" spans="1:27">
      <c r="A85">
        <f>施法!J87</f>
        <v>0</v>
      </c>
      <c r="B85" s="66" t="s">
        <v>595</v>
      </c>
      <c r="C85" s="66">
        <v>1</v>
      </c>
      <c r="D85" s="66" t="s">
        <v>278</v>
      </c>
      <c r="E85" s="66" t="s">
        <v>205</v>
      </c>
      <c r="F85" s="66" t="s">
        <v>279</v>
      </c>
      <c r="G85" s="66" t="s">
        <v>280</v>
      </c>
      <c r="H85" s="66" t="s">
        <v>225</v>
      </c>
      <c r="I85" s="66" t="s">
        <v>226</v>
      </c>
      <c r="J85" s="66" t="s">
        <v>227</v>
      </c>
      <c r="K85" s="66" t="s">
        <v>596</v>
      </c>
      <c r="L85" s="66" t="s">
        <v>360</v>
      </c>
      <c r="M85" s="80" t="s">
        <v>597</v>
      </c>
      <c r="N85" s="66" t="s">
        <v>595</v>
      </c>
      <c r="O85" s="66" t="s">
        <v>598</v>
      </c>
      <c r="P85" s="66"/>
      <c r="Q85" s="66"/>
      <c r="R85" s="66"/>
      <c r="S85" s="66"/>
      <c r="T85" s="66"/>
      <c r="U85" s="66"/>
      <c r="V85" s="66"/>
      <c r="W85" s="66" t="s">
        <v>285</v>
      </c>
      <c r="X85" s="66" t="s">
        <v>285</v>
      </c>
      <c r="Y85" s="66"/>
      <c r="Z85" s="66"/>
      <c r="AA85" s="92" t="s">
        <v>286</v>
      </c>
    </row>
    <row r="86" ht="14.25" hidden="1" customHeight="1" spans="1:27">
      <c r="A86">
        <f>施法!J88</f>
        <v>0</v>
      </c>
      <c r="B86" s="68" t="s">
        <v>599</v>
      </c>
      <c r="C86" s="68">
        <v>1</v>
      </c>
      <c r="D86" s="68" t="s">
        <v>294</v>
      </c>
      <c r="E86" s="68" t="s">
        <v>205</v>
      </c>
      <c r="F86" s="68" t="s">
        <v>279</v>
      </c>
      <c r="G86" s="68" t="s">
        <v>302</v>
      </c>
      <c r="H86" s="68" t="s">
        <v>225</v>
      </c>
      <c r="I86" s="68" t="s">
        <v>226</v>
      </c>
      <c r="J86" s="68" t="s">
        <v>281</v>
      </c>
      <c r="K86" s="68" t="s">
        <v>281</v>
      </c>
      <c r="L86" s="68" t="s">
        <v>290</v>
      </c>
      <c r="M86" s="82" t="s">
        <v>600</v>
      </c>
      <c r="N86" s="68" t="s">
        <v>599</v>
      </c>
      <c r="O86" s="68" t="s">
        <v>601</v>
      </c>
      <c r="P86" s="68"/>
      <c r="Q86" s="68" t="s">
        <v>285</v>
      </c>
      <c r="R86" s="68"/>
      <c r="S86" s="68"/>
      <c r="T86" s="68"/>
      <c r="U86" s="68"/>
      <c r="V86" s="68"/>
      <c r="W86" s="68"/>
      <c r="X86" s="68"/>
      <c r="Y86" s="68"/>
      <c r="Z86" s="68"/>
      <c r="AA86" s="92" t="s">
        <v>286</v>
      </c>
    </row>
    <row r="87" ht="14.25" hidden="1" customHeight="1" spans="1:27">
      <c r="A87">
        <f>施法!J89</f>
        <v>0</v>
      </c>
      <c r="B87" s="66" t="s">
        <v>602</v>
      </c>
      <c r="C87" s="66">
        <v>1</v>
      </c>
      <c r="D87" s="66" t="s">
        <v>278</v>
      </c>
      <c r="E87" s="66" t="s">
        <v>205</v>
      </c>
      <c r="F87" s="66" t="s">
        <v>364</v>
      </c>
      <c r="G87" s="66" t="s">
        <v>289</v>
      </c>
      <c r="H87" s="66" t="s">
        <v>225</v>
      </c>
      <c r="I87" s="66" t="s">
        <v>281</v>
      </c>
      <c r="J87" s="66" t="s">
        <v>281</v>
      </c>
      <c r="K87" s="66" t="s">
        <v>281</v>
      </c>
      <c r="L87" s="66" t="s">
        <v>312</v>
      </c>
      <c r="M87" s="80" t="s">
        <v>603</v>
      </c>
      <c r="N87" s="66" t="s">
        <v>602</v>
      </c>
      <c r="O87" s="66" t="s">
        <v>604</v>
      </c>
      <c r="P87" s="66"/>
      <c r="Q87" s="66"/>
      <c r="R87" s="66"/>
      <c r="S87" s="66"/>
      <c r="T87" s="66" t="s">
        <v>285</v>
      </c>
      <c r="U87" s="66"/>
      <c r="V87" s="66"/>
      <c r="W87" s="66"/>
      <c r="X87" s="66"/>
      <c r="Y87" s="66"/>
      <c r="Z87" s="66"/>
      <c r="AA87" s="92" t="s">
        <v>286</v>
      </c>
    </row>
    <row r="88" ht="14.25" hidden="1" customHeight="1" spans="1:27">
      <c r="A88">
        <f>施法!J90</f>
        <v>0</v>
      </c>
      <c r="B88" s="68" t="s">
        <v>605</v>
      </c>
      <c r="C88" s="68">
        <v>1</v>
      </c>
      <c r="D88" s="68" t="s">
        <v>294</v>
      </c>
      <c r="E88" s="68" t="s">
        <v>205</v>
      </c>
      <c r="F88" s="68" t="s">
        <v>364</v>
      </c>
      <c r="G88" s="68" t="s">
        <v>280</v>
      </c>
      <c r="H88" s="68" t="s">
        <v>225</v>
      </c>
      <c r="I88" s="68" t="s">
        <v>281</v>
      </c>
      <c r="J88" s="68" t="s">
        <v>281</v>
      </c>
      <c r="K88" s="68" t="s">
        <v>281</v>
      </c>
      <c r="L88" s="68" t="s">
        <v>282</v>
      </c>
      <c r="M88" s="77" t="s">
        <v>606</v>
      </c>
      <c r="N88" s="68" t="s">
        <v>605</v>
      </c>
      <c r="O88" s="68" t="s">
        <v>607</v>
      </c>
      <c r="P88" s="68" t="s">
        <v>285</v>
      </c>
      <c r="Q88" s="68" t="s">
        <v>285</v>
      </c>
      <c r="R88" s="68" t="s">
        <v>285</v>
      </c>
      <c r="S88" s="68"/>
      <c r="T88" s="68"/>
      <c r="U88" s="68"/>
      <c r="V88" s="68"/>
      <c r="W88" s="68"/>
      <c r="X88" s="68"/>
      <c r="Y88" s="68"/>
      <c r="Z88" s="68"/>
      <c r="AA88" s="92" t="s">
        <v>286</v>
      </c>
    </row>
    <row r="89" ht="14.25" customHeight="1" spans="1:27">
      <c r="A89" t="str">
        <f>施法!J91</f>
        <v>法术名</v>
      </c>
      <c r="B89" s="68" t="s">
        <v>608</v>
      </c>
      <c r="C89" s="68">
        <v>1</v>
      </c>
      <c r="D89" s="68" t="s">
        <v>294</v>
      </c>
      <c r="E89" s="68" t="s">
        <v>205</v>
      </c>
      <c r="F89" s="68" t="s">
        <v>609</v>
      </c>
      <c r="G89" s="68" t="s">
        <v>280</v>
      </c>
      <c r="H89" s="68" t="s">
        <v>225</v>
      </c>
      <c r="I89" s="68" t="s">
        <v>226</v>
      </c>
      <c r="J89" s="68" t="s">
        <v>281</v>
      </c>
      <c r="K89" s="68" t="s">
        <v>281</v>
      </c>
      <c r="L89" s="68" t="s">
        <v>282</v>
      </c>
      <c r="M89" s="77" t="s">
        <v>610</v>
      </c>
      <c r="N89" s="68" t="s">
        <v>608</v>
      </c>
      <c r="O89" s="68" t="s">
        <v>611</v>
      </c>
      <c r="P89" s="68"/>
      <c r="Q89" s="68"/>
      <c r="R89" s="68"/>
      <c r="S89" s="68"/>
      <c r="T89" s="68"/>
      <c r="U89" s="68"/>
      <c r="V89" s="68" t="s">
        <v>285</v>
      </c>
      <c r="W89" s="68"/>
      <c r="X89" s="68"/>
      <c r="Y89" s="68"/>
      <c r="Z89" s="68"/>
      <c r="AA89" s="92" t="s">
        <v>286</v>
      </c>
    </row>
    <row r="90" ht="14.25" hidden="1" customHeight="1" spans="1:27">
      <c r="A90">
        <f>施法!J92</f>
        <v>0</v>
      </c>
      <c r="B90" s="71" t="s">
        <v>612</v>
      </c>
      <c r="C90" s="71">
        <v>1</v>
      </c>
      <c r="D90" s="71" t="s">
        <v>329</v>
      </c>
      <c r="E90" s="71" t="s">
        <v>205</v>
      </c>
      <c r="F90" s="71" t="s">
        <v>279</v>
      </c>
      <c r="G90" s="71" t="s">
        <v>341</v>
      </c>
      <c r="H90" s="71" t="s">
        <v>225</v>
      </c>
      <c r="I90" s="71" t="s">
        <v>226</v>
      </c>
      <c r="J90" s="71" t="s">
        <v>281</v>
      </c>
      <c r="K90" s="71" t="s">
        <v>281</v>
      </c>
      <c r="L90" s="71" t="s">
        <v>312</v>
      </c>
      <c r="M90" s="89" t="s">
        <v>613</v>
      </c>
      <c r="N90" s="71" t="s">
        <v>612</v>
      </c>
      <c r="O90" s="71" t="s">
        <v>614</v>
      </c>
      <c r="P90" s="71" t="s">
        <v>285</v>
      </c>
      <c r="Q90" s="71"/>
      <c r="R90" s="71"/>
      <c r="S90" s="71" t="s">
        <v>285</v>
      </c>
      <c r="T90" s="71"/>
      <c r="U90" s="71"/>
      <c r="V90" s="71"/>
      <c r="W90" s="71"/>
      <c r="X90" s="71"/>
      <c r="Y90" s="71"/>
      <c r="Z90" s="71"/>
      <c r="AA90" s="92" t="s">
        <v>286</v>
      </c>
    </row>
    <row r="91" ht="14.25" customHeight="1" spans="1:27">
      <c r="A91">
        <f>施法!J93</f>
        <v>0</v>
      </c>
      <c r="B91" s="71" t="s">
        <v>615</v>
      </c>
      <c r="C91" s="71">
        <v>1</v>
      </c>
      <c r="D91" s="71" t="s">
        <v>329</v>
      </c>
      <c r="E91" s="71" t="s">
        <v>205</v>
      </c>
      <c r="F91" s="71" t="s">
        <v>364</v>
      </c>
      <c r="G91" s="71" t="s">
        <v>512</v>
      </c>
      <c r="H91" s="71" t="s">
        <v>225</v>
      </c>
      <c r="I91" s="71" t="s">
        <v>226</v>
      </c>
      <c r="J91" s="71" t="s">
        <v>227</v>
      </c>
      <c r="K91" s="71" t="s">
        <v>616</v>
      </c>
      <c r="L91" s="71" t="s">
        <v>585</v>
      </c>
      <c r="M91" s="89" t="s">
        <v>617</v>
      </c>
      <c r="N91" s="71" t="s">
        <v>615</v>
      </c>
      <c r="O91" s="71" t="s">
        <v>618</v>
      </c>
      <c r="P91" s="71"/>
      <c r="Q91" s="71"/>
      <c r="R91" s="71"/>
      <c r="S91" s="71"/>
      <c r="T91" s="71"/>
      <c r="U91" s="71"/>
      <c r="V91" s="71" t="s">
        <v>285</v>
      </c>
      <c r="W91" s="71"/>
      <c r="X91" s="71"/>
      <c r="Y91" s="71"/>
      <c r="Z91" s="71"/>
      <c r="AA91" s="92" t="s">
        <v>286</v>
      </c>
    </row>
    <row r="92" ht="14.25" hidden="1" customHeight="1" spans="1:27">
      <c r="A92">
        <f>施法!J94</f>
        <v>0</v>
      </c>
      <c r="B92" s="72" t="s">
        <v>619</v>
      </c>
      <c r="C92" s="72">
        <v>1</v>
      </c>
      <c r="D92" s="72" t="s">
        <v>340</v>
      </c>
      <c r="E92" s="72" t="s">
        <v>205</v>
      </c>
      <c r="F92" s="72" t="s">
        <v>364</v>
      </c>
      <c r="G92" s="72" t="s">
        <v>512</v>
      </c>
      <c r="H92" s="72" t="s">
        <v>225</v>
      </c>
      <c r="I92" s="72" t="s">
        <v>281</v>
      </c>
      <c r="J92" s="72" t="s">
        <v>281</v>
      </c>
      <c r="K92" s="72" t="s">
        <v>281</v>
      </c>
      <c r="L92" s="72" t="s">
        <v>585</v>
      </c>
      <c r="M92" s="83" t="s">
        <v>620</v>
      </c>
      <c r="N92" s="72" t="s">
        <v>619</v>
      </c>
      <c r="O92" s="72" t="s">
        <v>621</v>
      </c>
      <c r="P92" s="72"/>
      <c r="Q92" s="72"/>
      <c r="R92" s="72"/>
      <c r="S92" s="72"/>
      <c r="T92" s="72" t="s">
        <v>285</v>
      </c>
      <c r="U92" s="72"/>
      <c r="V92" s="72"/>
      <c r="W92" s="72"/>
      <c r="X92" s="72"/>
      <c r="Y92" s="72"/>
      <c r="Z92" s="72"/>
      <c r="AA92" s="92" t="s">
        <v>286</v>
      </c>
    </row>
    <row r="93" ht="14.25" hidden="1" customHeight="1" spans="1:27">
      <c r="A93">
        <f>施法!J95</f>
        <v>0</v>
      </c>
      <c r="B93" s="66" t="s">
        <v>622</v>
      </c>
      <c r="C93" s="66">
        <v>1</v>
      </c>
      <c r="D93" s="66" t="s">
        <v>278</v>
      </c>
      <c r="E93" s="66" t="s">
        <v>205</v>
      </c>
      <c r="F93" s="66" t="s">
        <v>279</v>
      </c>
      <c r="G93" s="66" t="s">
        <v>280</v>
      </c>
      <c r="H93" s="66" t="s">
        <v>281</v>
      </c>
      <c r="I93" s="66" t="s">
        <v>226</v>
      </c>
      <c r="J93" s="66" t="s">
        <v>227</v>
      </c>
      <c r="K93" s="66" t="s">
        <v>623</v>
      </c>
      <c r="L93" s="66" t="s">
        <v>282</v>
      </c>
      <c r="M93" s="75" t="s">
        <v>624</v>
      </c>
      <c r="N93" s="66" t="s">
        <v>622</v>
      </c>
      <c r="O93" s="66" t="s">
        <v>625</v>
      </c>
      <c r="P93" s="66"/>
      <c r="Q93" s="66"/>
      <c r="R93" s="66" t="s">
        <v>285</v>
      </c>
      <c r="S93" s="66"/>
      <c r="T93" s="66"/>
      <c r="U93" s="66" t="s">
        <v>285</v>
      </c>
      <c r="V93" s="66"/>
      <c r="W93" s="66" t="s">
        <v>285</v>
      </c>
      <c r="X93" s="66"/>
      <c r="Y93" s="66"/>
      <c r="Z93" s="66"/>
      <c r="AA93" s="92" t="s">
        <v>310</v>
      </c>
    </row>
    <row r="94" ht="14.25" hidden="1" customHeight="1" spans="1:27">
      <c r="A94">
        <f>施法!J96</f>
        <v>0</v>
      </c>
      <c r="B94" s="72" t="s">
        <v>626</v>
      </c>
      <c r="C94" s="72">
        <v>1</v>
      </c>
      <c r="D94" s="72" t="s">
        <v>340</v>
      </c>
      <c r="E94" s="72" t="s">
        <v>285</v>
      </c>
      <c r="F94" s="72" t="s">
        <v>360</v>
      </c>
      <c r="G94" s="72" t="s">
        <v>341</v>
      </c>
      <c r="H94" s="72" t="s">
        <v>225</v>
      </c>
      <c r="I94" s="72" t="s">
        <v>226</v>
      </c>
      <c r="J94" s="72" t="s">
        <v>227</v>
      </c>
      <c r="K94" s="72" t="s">
        <v>627</v>
      </c>
      <c r="L94" s="72" t="s">
        <v>282</v>
      </c>
      <c r="M94" s="83" t="s">
        <v>628</v>
      </c>
      <c r="N94" s="72" t="s">
        <v>626</v>
      </c>
      <c r="O94" s="72" t="s">
        <v>629</v>
      </c>
      <c r="P94" s="72" t="s">
        <v>285</v>
      </c>
      <c r="Q94" s="72"/>
      <c r="R94" s="72"/>
      <c r="S94" s="72"/>
      <c r="T94" s="72"/>
      <c r="U94" s="72"/>
      <c r="V94" s="72"/>
      <c r="W94" s="72" t="s">
        <v>285</v>
      </c>
      <c r="X94" s="72" t="s">
        <v>285</v>
      </c>
      <c r="Y94" s="72"/>
      <c r="Z94" s="72"/>
      <c r="AA94" s="92" t="s">
        <v>286</v>
      </c>
    </row>
    <row r="95" ht="14.25" customHeight="1" spans="1:27">
      <c r="A95">
        <f>施法!J97</f>
        <v>0</v>
      </c>
      <c r="B95" s="73" t="s">
        <v>630</v>
      </c>
      <c r="C95" s="73">
        <v>1</v>
      </c>
      <c r="D95" s="73" t="s">
        <v>378</v>
      </c>
      <c r="E95" s="73" t="s">
        <v>285</v>
      </c>
      <c r="F95" s="73" t="s">
        <v>360</v>
      </c>
      <c r="G95" s="73" t="s">
        <v>341</v>
      </c>
      <c r="H95" s="73" t="s">
        <v>281</v>
      </c>
      <c r="I95" s="73" t="s">
        <v>226</v>
      </c>
      <c r="J95" s="73" t="s">
        <v>227</v>
      </c>
      <c r="K95" s="73" t="s">
        <v>631</v>
      </c>
      <c r="L95" s="73" t="s">
        <v>632</v>
      </c>
      <c r="M95" s="86" t="s">
        <v>633</v>
      </c>
      <c r="N95" s="73" t="s">
        <v>630</v>
      </c>
      <c r="O95" s="73" t="s">
        <v>634</v>
      </c>
      <c r="P95" s="73" t="s">
        <v>285</v>
      </c>
      <c r="Q95" s="73"/>
      <c r="R95" s="73"/>
      <c r="S95" s="73"/>
      <c r="T95" s="73"/>
      <c r="U95" s="73"/>
      <c r="V95" s="73" t="s">
        <v>285</v>
      </c>
      <c r="W95" s="73" t="s">
        <v>285</v>
      </c>
      <c r="X95" s="73"/>
      <c r="Y95" s="73"/>
      <c r="Z95" s="73"/>
      <c r="AA95" s="92" t="s">
        <v>286</v>
      </c>
    </row>
    <row r="96" ht="14.25" hidden="1" customHeight="1" spans="1:27">
      <c r="A96">
        <f>施法!J98</f>
        <v>0</v>
      </c>
      <c r="B96" s="69" t="s">
        <v>635</v>
      </c>
      <c r="C96" s="69">
        <v>1</v>
      </c>
      <c r="D96" s="69" t="s">
        <v>301</v>
      </c>
      <c r="E96" s="69" t="s">
        <v>205</v>
      </c>
      <c r="F96" s="69" t="s">
        <v>279</v>
      </c>
      <c r="G96" s="69" t="s">
        <v>341</v>
      </c>
      <c r="H96" s="69" t="s">
        <v>225</v>
      </c>
      <c r="I96" s="69" t="s">
        <v>226</v>
      </c>
      <c r="J96" s="69" t="s">
        <v>281</v>
      </c>
      <c r="K96" s="69" t="s">
        <v>281</v>
      </c>
      <c r="L96" s="69" t="s">
        <v>282</v>
      </c>
      <c r="M96" s="78" t="s">
        <v>636</v>
      </c>
      <c r="N96" s="69" t="s">
        <v>635</v>
      </c>
      <c r="O96" s="69" t="s">
        <v>637</v>
      </c>
      <c r="P96" s="69"/>
      <c r="Q96" s="69" t="s">
        <v>285</v>
      </c>
      <c r="R96" s="69"/>
      <c r="S96" s="69"/>
      <c r="T96" s="69"/>
      <c r="U96" s="69"/>
      <c r="V96" s="69"/>
      <c r="W96" s="69"/>
      <c r="X96" s="69"/>
      <c r="Y96" s="69"/>
      <c r="Z96" s="69"/>
      <c r="AA96" s="92" t="s">
        <v>286</v>
      </c>
    </row>
    <row r="97" ht="14.25" hidden="1" customHeight="1" spans="1:27">
      <c r="A97">
        <f>施法!J99</f>
        <v>0</v>
      </c>
      <c r="B97" s="70" t="s">
        <v>638</v>
      </c>
      <c r="C97" s="70">
        <v>1</v>
      </c>
      <c r="D97" s="70" t="s">
        <v>306</v>
      </c>
      <c r="E97" s="70" t="s">
        <v>205</v>
      </c>
      <c r="F97" s="70" t="s">
        <v>279</v>
      </c>
      <c r="G97" s="70" t="s">
        <v>341</v>
      </c>
      <c r="H97" s="70" t="s">
        <v>225</v>
      </c>
      <c r="I97" s="70" t="s">
        <v>226</v>
      </c>
      <c r="J97" s="70" t="s">
        <v>227</v>
      </c>
      <c r="K97" s="70" t="s">
        <v>639</v>
      </c>
      <c r="L97" s="70" t="s">
        <v>360</v>
      </c>
      <c r="M97" s="79" t="s">
        <v>640</v>
      </c>
      <c r="N97" s="70" t="s">
        <v>638</v>
      </c>
      <c r="O97" s="70" t="s">
        <v>641</v>
      </c>
      <c r="P97" s="70"/>
      <c r="Q97" s="70"/>
      <c r="R97" s="70" t="s">
        <v>285</v>
      </c>
      <c r="S97" s="70"/>
      <c r="T97" s="70" t="s">
        <v>285</v>
      </c>
      <c r="U97" s="70" t="s">
        <v>285</v>
      </c>
      <c r="V97" s="70"/>
      <c r="W97" s="70" t="s">
        <v>285</v>
      </c>
      <c r="X97" s="70" t="s">
        <v>285</v>
      </c>
      <c r="Y97" s="70"/>
      <c r="Z97" s="70"/>
      <c r="AA97" s="92" t="s">
        <v>286</v>
      </c>
    </row>
    <row r="98" ht="14.25" hidden="1" customHeight="1" spans="1:27">
      <c r="A98">
        <f>施法!J100</f>
        <v>0</v>
      </c>
      <c r="B98" s="70" t="s">
        <v>642</v>
      </c>
      <c r="C98" s="70">
        <v>1</v>
      </c>
      <c r="D98" s="70" t="s">
        <v>306</v>
      </c>
      <c r="E98" s="70" t="s">
        <v>205</v>
      </c>
      <c r="F98" s="70" t="s">
        <v>279</v>
      </c>
      <c r="G98" s="70" t="s">
        <v>341</v>
      </c>
      <c r="H98" s="70" t="s">
        <v>225</v>
      </c>
      <c r="I98" s="70" t="s">
        <v>226</v>
      </c>
      <c r="J98" s="70" t="s">
        <v>227</v>
      </c>
      <c r="K98" s="70" t="s">
        <v>643</v>
      </c>
      <c r="L98" s="70" t="s">
        <v>353</v>
      </c>
      <c r="M98" s="84" t="s">
        <v>644</v>
      </c>
      <c r="N98" s="70" t="s">
        <v>642</v>
      </c>
      <c r="O98" s="70" t="s">
        <v>645</v>
      </c>
      <c r="P98" s="70" t="s">
        <v>285</v>
      </c>
      <c r="Q98" s="70"/>
      <c r="R98" s="70" t="s">
        <v>285</v>
      </c>
      <c r="S98" s="70"/>
      <c r="T98" s="70" t="s">
        <v>285</v>
      </c>
      <c r="U98" s="70"/>
      <c r="V98" s="70"/>
      <c r="W98" s="70" t="s">
        <v>285</v>
      </c>
      <c r="X98" s="70" t="s">
        <v>285</v>
      </c>
      <c r="Y98" s="70"/>
      <c r="Z98" s="70"/>
      <c r="AA98" s="92" t="s">
        <v>286</v>
      </c>
    </row>
    <row r="99" ht="14.25" hidden="1" customHeight="1" spans="1:27">
      <c r="A99">
        <f>施法!J101</f>
        <v>0</v>
      </c>
      <c r="B99" s="67" t="s">
        <v>646</v>
      </c>
      <c r="C99" s="67">
        <v>1</v>
      </c>
      <c r="D99" s="67" t="s">
        <v>288</v>
      </c>
      <c r="E99" s="67" t="s">
        <v>205</v>
      </c>
      <c r="F99" s="67" t="s">
        <v>279</v>
      </c>
      <c r="G99" s="67" t="s">
        <v>341</v>
      </c>
      <c r="H99" s="67" t="s">
        <v>225</v>
      </c>
      <c r="I99" s="67" t="s">
        <v>226</v>
      </c>
      <c r="J99" s="67" t="s">
        <v>227</v>
      </c>
      <c r="K99" s="67" t="s">
        <v>647</v>
      </c>
      <c r="L99" s="67" t="s">
        <v>462</v>
      </c>
      <c r="M99" s="76" t="s">
        <v>648</v>
      </c>
      <c r="N99" s="67" t="s">
        <v>646</v>
      </c>
      <c r="O99" s="67" t="s">
        <v>649</v>
      </c>
      <c r="P99" s="67"/>
      <c r="Q99" s="67"/>
      <c r="R99" s="67"/>
      <c r="S99" s="67"/>
      <c r="T99" s="67"/>
      <c r="U99" s="67" t="s">
        <v>285</v>
      </c>
      <c r="V99" s="67"/>
      <c r="W99" s="67" t="s">
        <v>285</v>
      </c>
      <c r="X99" s="67"/>
      <c r="Y99" s="67"/>
      <c r="Z99" s="67"/>
      <c r="AA99" s="92" t="s">
        <v>286</v>
      </c>
    </row>
    <row r="100" ht="14.25" hidden="1" customHeight="1" spans="1:27">
      <c r="A100" t="str">
        <f>施法!J102</f>
        <v>法术名</v>
      </c>
      <c r="B100" s="68" t="s">
        <v>650</v>
      </c>
      <c r="C100" s="68">
        <v>1</v>
      </c>
      <c r="D100" s="68" t="s">
        <v>294</v>
      </c>
      <c r="E100" s="68" t="s">
        <v>205</v>
      </c>
      <c r="F100" s="68" t="s">
        <v>279</v>
      </c>
      <c r="G100" s="68" t="s">
        <v>302</v>
      </c>
      <c r="H100" s="68" t="s">
        <v>225</v>
      </c>
      <c r="I100" s="68" t="s">
        <v>226</v>
      </c>
      <c r="J100" s="68" t="s">
        <v>281</v>
      </c>
      <c r="K100" s="68" t="s">
        <v>281</v>
      </c>
      <c r="L100" s="68" t="s">
        <v>282</v>
      </c>
      <c r="M100" s="82" t="s">
        <v>651</v>
      </c>
      <c r="N100" s="68" t="s">
        <v>650</v>
      </c>
      <c r="O100" s="68" t="s">
        <v>652</v>
      </c>
      <c r="P100" s="68"/>
      <c r="Q100" s="68"/>
      <c r="R100" s="68"/>
      <c r="S100" s="68"/>
      <c r="T100" s="68"/>
      <c r="U100" s="68" t="s">
        <v>285</v>
      </c>
      <c r="V100" s="68"/>
      <c r="W100" s="68" t="s">
        <v>285</v>
      </c>
      <c r="X100" s="68"/>
      <c r="Y100" s="68"/>
      <c r="Z100" s="68"/>
      <c r="AA100" s="92" t="s">
        <v>286</v>
      </c>
    </row>
    <row r="101" ht="14.25" hidden="1" customHeight="1" spans="1:27">
      <c r="A101">
        <f>施法!J103</f>
        <v>0</v>
      </c>
      <c r="B101" s="70" t="s">
        <v>653</v>
      </c>
      <c r="C101" s="70">
        <v>1</v>
      </c>
      <c r="D101" s="70" t="s">
        <v>306</v>
      </c>
      <c r="E101" s="70" t="s">
        <v>205</v>
      </c>
      <c r="F101" s="70" t="s">
        <v>279</v>
      </c>
      <c r="G101" s="70" t="s">
        <v>280</v>
      </c>
      <c r="H101" s="70" t="s">
        <v>225</v>
      </c>
      <c r="I101" s="70" t="s">
        <v>226</v>
      </c>
      <c r="J101" s="70" t="s">
        <v>281</v>
      </c>
      <c r="K101" s="70" t="s">
        <v>281</v>
      </c>
      <c r="L101" s="70" t="s">
        <v>290</v>
      </c>
      <c r="M101" s="97" t="s">
        <v>654</v>
      </c>
      <c r="N101" s="70" t="s">
        <v>653</v>
      </c>
      <c r="O101" s="70" t="s">
        <v>655</v>
      </c>
      <c r="P101" s="70"/>
      <c r="Q101" s="70"/>
      <c r="R101" s="70"/>
      <c r="S101" s="70"/>
      <c r="T101" s="70"/>
      <c r="U101" s="70"/>
      <c r="V101" s="70"/>
      <c r="W101" s="70"/>
      <c r="X101" s="70"/>
      <c r="Y101" s="70"/>
      <c r="Z101" s="70" t="s">
        <v>285</v>
      </c>
      <c r="AA101" s="92" t="s">
        <v>413</v>
      </c>
    </row>
    <row r="102" ht="14.25" customHeight="1" spans="1:27">
      <c r="A102">
        <f>施法!J104</f>
        <v>0</v>
      </c>
      <c r="B102" s="67" t="s">
        <v>656</v>
      </c>
      <c r="C102" s="67">
        <v>1</v>
      </c>
      <c r="D102" s="67" t="s">
        <v>288</v>
      </c>
      <c r="E102" s="67" t="s">
        <v>205</v>
      </c>
      <c r="F102" s="67" t="s">
        <v>279</v>
      </c>
      <c r="G102" s="67" t="s">
        <v>341</v>
      </c>
      <c r="H102" s="67" t="s">
        <v>225</v>
      </c>
      <c r="I102" s="67" t="s">
        <v>226</v>
      </c>
      <c r="J102" s="67" t="s">
        <v>227</v>
      </c>
      <c r="K102" s="67" t="s">
        <v>657</v>
      </c>
      <c r="L102" s="67" t="s">
        <v>484</v>
      </c>
      <c r="M102" s="76" t="s">
        <v>658</v>
      </c>
      <c r="N102" s="67" t="s">
        <v>656</v>
      </c>
      <c r="O102" s="67" t="s">
        <v>659</v>
      </c>
      <c r="P102" s="67"/>
      <c r="Q102" s="67" t="s">
        <v>285</v>
      </c>
      <c r="R102" s="67"/>
      <c r="S102" s="67" t="s">
        <v>285</v>
      </c>
      <c r="T102" s="67"/>
      <c r="U102" s="67"/>
      <c r="V102" s="67" t="s">
        <v>285</v>
      </c>
      <c r="W102" s="67" t="s">
        <v>285</v>
      </c>
      <c r="X102" s="67"/>
      <c r="Y102" s="67"/>
      <c r="Z102" s="67"/>
      <c r="AA102" s="92" t="s">
        <v>286</v>
      </c>
    </row>
    <row r="103" ht="14.25" hidden="1" customHeight="1" spans="1:27">
      <c r="A103">
        <f>施法!J105</f>
        <v>0</v>
      </c>
      <c r="B103" s="70" t="s">
        <v>660</v>
      </c>
      <c r="C103" s="70">
        <v>1</v>
      </c>
      <c r="D103" s="70" t="s">
        <v>306</v>
      </c>
      <c r="E103" s="70" t="s">
        <v>285</v>
      </c>
      <c r="F103" s="70" t="s">
        <v>279</v>
      </c>
      <c r="G103" s="70" t="s">
        <v>386</v>
      </c>
      <c r="H103" s="70" t="s">
        <v>225</v>
      </c>
      <c r="I103" s="70" t="s">
        <v>226</v>
      </c>
      <c r="J103" s="70" t="s">
        <v>281</v>
      </c>
      <c r="K103" s="70" t="s">
        <v>281</v>
      </c>
      <c r="L103" s="70" t="s">
        <v>282</v>
      </c>
      <c r="M103" s="79" t="s">
        <v>661</v>
      </c>
      <c r="N103" s="70" t="s">
        <v>660</v>
      </c>
      <c r="O103" s="70" t="s">
        <v>662</v>
      </c>
      <c r="P103" s="70"/>
      <c r="Q103" s="70" t="s">
        <v>285</v>
      </c>
      <c r="R103" s="70" t="s">
        <v>285</v>
      </c>
      <c r="S103" s="70" t="s">
        <v>285</v>
      </c>
      <c r="T103" s="70"/>
      <c r="U103" s="70"/>
      <c r="V103" s="70"/>
      <c r="W103" s="70"/>
      <c r="X103" s="70" t="s">
        <v>285</v>
      </c>
      <c r="Y103" s="70"/>
      <c r="Z103" s="70"/>
      <c r="AA103" s="92" t="s">
        <v>286</v>
      </c>
    </row>
    <row r="104" ht="14.25" hidden="1" customHeight="1" spans="1:27">
      <c r="A104">
        <f>施法!J106</f>
        <v>0</v>
      </c>
      <c r="B104" s="69" t="s">
        <v>663</v>
      </c>
      <c r="C104" s="69">
        <v>1</v>
      </c>
      <c r="D104" s="69" t="s">
        <v>301</v>
      </c>
      <c r="E104" s="69" t="s">
        <v>205</v>
      </c>
      <c r="F104" s="69" t="s">
        <v>279</v>
      </c>
      <c r="G104" s="69" t="s">
        <v>280</v>
      </c>
      <c r="H104" s="69" t="s">
        <v>225</v>
      </c>
      <c r="I104" s="69" t="s">
        <v>226</v>
      </c>
      <c r="J104" s="69" t="s">
        <v>281</v>
      </c>
      <c r="K104" s="69" t="s">
        <v>281</v>
      </c>
      <c r="L104" s="69" t="s">
        <v>282</v>
      </c>
      <c r="M104" s="88" t="s">
        <v>664</v>
      </c>
      <c r="N104" s="69" t="s">
        <v>663</v>
      </c>
      <c r="O104" s="69" t="s">
        <v>665</v>
      </c>
      <c r="P104" s="69"/>
      <c r="Q104" s="69"/>
      <c r="R104" s="69"/>
      <c r="S104" s="69"/>
      <c r="T104" s="69"/>
      <c r="U104" s="69" t="s">
        <v>285</v>
      </c>
      <c r="V104" s="69"/>
      <c r="W104" s="69" t="s">
        <v>285</v>
      </c>
      <c r="X104" s="69"/>
      <c r="Y104" s="69"/>
      <c r="Z104" s="69"/>
      <c r="AA104" s="92" t="s">
        <v>286</v>
      </c>
    </row>
    <row r="105" ht="14.25" hidden="1" customHeight="1" spans="1:27">
      <c r="A105">
        <f>施法!J107</f>
        <v>0</v>
      </c>
      <c r="B105" s="67" t="s">
        <v>666</v>
      </c>
      <c r="C105" s="67">
        <v>1</v>
      </c>
      <c r="D105" s="67" t="s">
        <v>288</v>
      </c>
      <c r="E105" s="67" t="s">
        <v>205</v>
      </c>
      <c r="F105" s="67" t="s">
        <v>364</v>
      </c>
      <c r="G105" s="67" t="s">
        <v>320</v>
      </c>
      <c r="H105" s="67" t="s">
        <v>225</v>
      </c>
      <c r="I105" s="67" t="s">
        <v>226</v>
      </c>
      <c r="J105" s="67" t="s">
        <v>227</v>
      </c>
      <c r="K105" s="67" t="s">
        <v>667</v>
      </c>
      <c r="L105" s="67" t="s">
        <v>360</v>
      </c>
      <c r="M105" s="90" t="s">
        <v>668</v>
      </c>
      <c r="N105" s="67" t="s">
        <v>666</v>
      </c>
      <c r="O105" s="67" t="s">
        <v>669</v>
      </c>
      <c r="P105" s="67"/>
      <c r="Q105" s="67" t="s">
        <v>285</v>
      </c>
      <c r="R105" s="67"/>
      <c r="S105" s="67"/>
      <c r="T105" s="67"/>
      <c r="U105" s="67"/>
      <c r="V105" s="67"/>
      <c r="W105" s="67"/>
      <c r="X105" s="67" t="s">
        <v>285</v>
      </c>
      <c r="Y105" s="67"/>
      <c r="Z105" s="67"/>
      <c r="AA105" s="92" t="s">
        <v>286</v>
      </c>
    </row>
    <row r="106" ht="14.25" hidden="1" customHeight="1" spans="1:27">
      <c r="A106">
        <f>施法!J108</f>
        <v>0</v>
      </c>
      <c r="B106" s="68" t="s">
        <v>670</v>
      </c>
      <c r="C106" s="68">
        <v>1</v>
      </c>
      <c r="D106" s="68" t="s">
        <v>294</v>
      </c>
      <c r="E106" s="68" t="s">
        <v>205</v>
      </c>
      <c r="F106" s="68" t="s">
        <v>364</v>
      </c>
      <c r="G106" s="68" t="s">
        <v>289</v>
      </c>
      <c r="H106" s="68" t="s">
        <v>225</v>
      </c>
      <c r="I106" s="68" t="s">
        <v>281</v>
      </c>
      <c r="J106" s="68" t="s">
        <v>281</v>
      </c>
      <c r="K106" s="68" t="s">
        <v>281</v>
      </c>
      <c r="L106" s="68" t="s">
        <v>312</v>
      </c>
      <c r="M106" s="77" t="s">
        <v>671</v>
      </c>
      <c r="N106" s="68" t="s">
        <v>670</v>
      </c>
      <c r="O106" s="68" t="s">
        <v>672</v>
      </c>
      <c r="P106" s="68"/>
      <c r="Q106" s="68"/>
      <c r="R106" s="68"/>
      <c r="S106" s="68" t="s">
        <v>285</v>
      </c>
      <c r="T106" s="68"/>
      <c r="U106" s="68"/>
      <c r="V106" s="68"/>
      <c r="W106" s="68"/>
      <c r="X106" s="68"/>
      <c r="Y106" s="68"/>
      <c r="Z106" s="68"/>
      <c r="AA106" s="92" t="s">
        <v>286</v>
      </c>
    </row>
    <row r="107" ht="14.25" hidden="1" customHeight="1" spans="1:27">
      <c r="A107">
        <f>施法!J109</f>
        <v>0</v>
      </c>
      <c r="B107" s="67" t="s">
        <v>673</v>
      </c>
      <c r="C107" s="67">
        <v>1</v>
      </c>
      <c r="D107" s="67" t="s">
        <v>288</v>
      </c>
      <c r="E107" s="67" t="s">
        <v>205</v>
      </c>
      <c r="F107" s="67" t="s">
        <v>674</v>
      </c>
      <c r="G107" s="67" t="s">
        <v>289</v>
      </c>
      <c r="H107" s="67" t="s">
        <v>225</v>
      </c>
      <c r="I107" s="67" t="s">
        <v>226</v>
      </c>
      <c r="J107" s="67" t="s">
        <v>281</v>
      </c>
      <c r="K107" s="67" t="s">
        <v>281</v>
      </c>
      <c r="L107" s="67" t="s">
        <v>290</v>
      </c>
      <c r="M107" s="76" t="s">
        <v>675</v>
      </c>
      <c r="N107" s="67" t="s">
        <v>673</v>
      </c>
      <c r="O107" s="67" t="s">
        <v>676</v>
      </c>
      <c r="P107" s="67"/>
      <c r="Q107" s="67"/>
      <c r="R107" s="67"/>
      <c r="S107" s="67"/>
      <c r="T107" s="67"/>
      <c r="U107" s="67" t="s">
        <v>285</v>
      </c>
      <c r="V107" s="67"/>
      <c r="W107" s="67" t="s">
        <v>285</v>
      </c>
      <c r="X107" s="67"/>
      <c r="Y107" s="67"/>
      <c r="Z107" s="67"/>
      <c r="AA107" s="92" t="s">
        <v>286</v>
      </c>
    </row>
    <row r="108" ht="14.25" hidden="1" customHeight="1" spans="1:27">
      <c r="A108">
        <f>施法!J110</f>
        <v>0</v>
      </c>
      <c r="B108" s="67" t="s">
        <v>677</v>
      </c>
      <c r="C108" s="67">
        <v>1</v>
      </c>
      <c r="D108" s="67" t="s">
        <v>288</v>
      </c>
      <c r="E108" s="67" t="s">
        <v>205</v>
      </c>
      <c r="F108" s="67" t="s">
        <v>364</v>
      </c>
      <c r="G108" s="67" t="s">
        <v>280</v>
      </c>
      <c r="H108" s="67" t="s">
        <v>225</v>
      </c>
      <c r="I108" s="67" t="s">
        <v>226</v>
      </c>
      <c r="J108" s="67" t="s">
        <v>227</v>
      </c>
      <c r="K108" s="67" t="s">
        <v>678</v>
      </c>
      <c r="L108" s="67" t="s">
        <v>484</v>
      </c>
      <c r="M108" s="76" t="s">
        <v>679</v>
      </c>
      <c r="N108" s="67" t="s">
        <v>677</v>
      </c>
      <c r="O108" s="67" t="s">
        <v>680</v>
      </c>
      <c r="P108" s="67"/>
      <c r="Q108" s="67" t="s">
        <v>285</v>
      </c>
      <c r="R108" s="67"/>
      <c r="S108" s="67" t="s">
        <v>285</v>
      </c>
      <c r="T108" s="67"/>
      <c r="U108" s="67"/>
      <c r="V108" s="67"/>
      <c r="W108" s="67"/>
      <c r="X108" s="67"/>
      <c r="Y108" s="67"/>
      <c r="Z108" s="67"/>
      <c r="AA108" s="92" t="s">
        <v>286</v>
      </c>
    </row>
    <row r="109" ht="14.25" hidden="1" customHeight="1" spans="1:27">
      <c r="A109">
        <f>施法!J111</f>
        <v>0</v>
      </c>
      <c r="B109" s="73" t="s">
        <v>681</v>
      </c>
      <c r="C109" s="73">
        <v>1</v>
      </c>
      <c r="D109" s="73" t="s">
        <v>378</v>
      </c>
      <c r="E109" s="73" t="s">
        <v>205</v>
      </c>
      <c r="F109" s="73" t="s">
        <v>279</v>
      </c>
      <c r="G109" s="73" t="s">
        <v>280</v>
      </c>
      <c r="H109" s="73" t="s">
        <v>225</v>
      </c>
      <c r="I109" s="73" t="s">
        <v>226</v>
      </c>
      <c r="J109" s="73" t="s">
        <v>227</v>
      </c>
      <c r="K109" s="73" t="s">
        <v>682</v>
      </c>
      <c r="L109" s="73" t="s">
        <v>484</v>
      </c>
      <c r="M109" s="91" t="s">
        <v>683</v>
      </c>
      <c r="N109" s="73" t="s">
        <v>681</v>
      </c>
      <c r="O109" s="73" t="s">
        <v>684</v>
      </c>
      <c r="P109" s="73" t="s">
        <v>285</v>
      </c>
      <c r="Q109" s="73"/>
      <c r="R109" s="73"/>
      <c r="S109" s="73"/>
      <c r="T109" s="73"/>
      <c r="U109" s="73" t="s">
        <v>285</v>
      </c>
      <c r="V109" s="73"/>
      <c r="W109" s="73" t="s">
        <v>285</v>
      </c>
      <c r="X109" s="73"/>
      <c r="Y109" s="73"/>
      <c r="Z109" s="73"/>
      <c r="AA109" s="92" t="s">
        <v>286</v>
      </c>
    </row>
    <row r="110" ht="14.25" hidden="1" customHeight="1" spans="1:27">
      <c r="A110">
        <f>施法!J112</f>
        <v>0</v>
      </c>
      <c r="B110" s="71" t="s">
        <v>685</v>
      </c>
      <c r="C110" s="71">
        <v>1</v>
      </c>
      <c r="D110" s="71" t="s">
        <v>329</v>
      </c>
      <c r="E110" s="71" t="s">
        <v>205</v>
      </c>
      <c r="F110" s="71" t="s">
        <v>279</v>
      </c>
      <c r="G110" s="71" t="s">
        <v>512</v>
      </c>
      <c r="H110" s="71" t="s">
        <v>225</v>
      </c>
      <c r="I110" s="71" t="s">
        <v>226</v>
      </c>
      <c r="J110" s="71" t="s">
        <v>227</v>
      </c>
      <c r="K110" s="71" t="s">
        <v>686</v>
      </c>
      <c r="L110" s="71" t="s">
        <v>360</v>
      </c>
      <c r="M110" s="81" t="s">
        <v>687</v>
      </c>
      <c r="N110" s="71" t="s">
        <v>685</v>
      </c>
      <c r="O110" s="71" t="s">
        <v>688</v>
      </c>
      <c r="P110" s="71" t="s">
        <v>285</v>
      </c>
      <c r="Q110" s="71"/>
      <c r="R110" s="71"/>
      <c r="S110" s="71"/>
      <c r="T110" s="71"/>
      <c r="U110" s="71" t="s">
        <v>285</v>
      </c>
      <c r="V110" s="71"/>
      <c r="W110" s="71" t="s">
        <v>285</v>
      </c>
      <c r="X110" s="71"/>
      <c r="Y110" s="71"/>
      <c r="Z110" s="71"/>
      <c r="AA110" s="92" t="s">
        <v>286</v>
      </c>
    </row>
    <row r="111" ht="14.25" hidden="1" customHeight="1" spans="2:27">
      <c r="B111" s="67" t="s">
        <v>689</v>
      </c>
      <c r="C111" s="67">
        <v>1</v>
      </c>
      <c r="D111" s="67" t="s">
        <v>288</v>
      </c>
      <c r="E111" s="67" t="s">
        <v>205</v>
      </c>
      <c r="F111" s="67" t="s">
        <v>360</v>
      </c>
      <c r="G111" s="67" t="s">
        <v>341</v>
      </c>
      <c r="H111" s="67" t="s">
        <v>281</v>
      </c>
      <c r="I111" s="67" t="s">
        <v>226</v>
      </c>
      <c r="J111" s="67" t="s">
        <v>227</v>
      </c>
      <c r="K111" s="67" t="s">
        <v>690</v>
      </c>
      <c r="L111" s="67" t="s">
        <v>462</v>
      </c>
      <c r="M111" s="76" t="s">
        <v>691</v>
      </c>
      <c r="N111" s="67" t="s">
        <v>689</v>
      </c>
      <c r="O111" s="67" t="s">
        <v>692</v>
      </c>
      <c r="P111" s="67"/>
      <c r="Q111" s="67"/>
      <c r="R111" s="67" t="s">
        <v>285</v>
      </c>
      <c r="S111" s="67"/>
      <c r="T111" s="67" t="s">
        <v>285</v>
      </c>
      <c r="U111" s="67"/>
      <c r="V111" s="67"/>
      <c r="W111" s="67" t="s">
        <v>285</v>
      </c>
      <c r="X111" s="67" t="s">
        <v>285</v>
      </c>
      <c r="Y111" s="67"/>
      <c r="Z111" s="67"/>
      <c r="AA111" s="92" t="s">
        <v>310</v>
      </c>
    </row>
    <row r="112" ht="14.25" hidden="1" customHeight="1" spans="2:27">
      <c r="B112" s="72" t="s">
        <v>693</v>
      </c>
      <c r="C112" s="72">
        <v>1</v>
      </c>
      <c r="D112" s="72" t="s">
        <v>340</v>
      </c>
      <c r="E112" s="72" t="s">
        <v>285</v>
      </c>
      <c r="F112" s="72" t="s">
        <v>279</v>
      </c>
      <c r="G112" s="72" t="s">
        <v>289</v>
      </c>
      <c r="H112" s="72" t="s">
        <v>225</v>
      </c>
      <c r="I112" s="72" t="s">
        <v>226</v>
      </c>
      <c r="J112" s="72" t="s">
        <v>281</v>
      </c>
      <c r="K112" s="72" t="s">
        <v>281</v>
      </c>
      <c r="L112" s="72" t="s">
        <v>397</v>
      </c>
      <c r="M112" s="83" t="s">
        <v>694</v>
      </c>
      <c r="N112" s="72" t="s">
        <v>693</v>
      </c>
      <c r="O112" s="72" t="s">
        <v>695</v>
      </c>
      <c r="P112" s="72" t="s">
        <v>285</v>
      </c>
      <c r="Q112" s="72"/>
      <c r="R112" s="72" t="s">
        <v>285</v>
      </c>
      <c r="S112" s="72"/>
      <c r="T112" s="72" t="s">
        <v>285</v>
      </c>
      <c r="U112" s="72"/>
      <c r="V112" s="72"/>
      <c r="W112" s="72"/>
      <c r="X112" s="72"/>
      <c r="Y112" s="72"/>
      <c r="Z112" s="72"/>
      <c r="AA112" s="92" t="s">
        <v>286</v>
      </c>
    </row>
    <row r="113" ht="14.25" hidden="1" customHeight="1" spans="2:27">
      <c r="B113" s="68" t="s">
        <v>696</v>
      </c>
      <c r="C113" s="68">
        <v>1</v>
      </c>
      <c r="D113" s="68" t="s">
        <v>294</v>
      </c>
      <c r="E113" s="68" t="s">
        <v>205</v>
      </c>
      <c r="F113" s="68" t="s">
        <v>279</v>
      </c>
      <c r="G113" s="68" t="s">
        <v>697</v>
      </c>
      <c r="H113" s="68" t="s">
        <v>225</v>
      </c>
      <c r="I113" s="68" t="s">
        <v>226</v>
      </c>
      <c r="J113" s="68" t="s">
        <v>227</v>
      </c>
      <c r="K113" s="68" t="s">
        <v>698</v>
      </c>
      <c r="L113" s="68" t="s">
        <v>312</v>
      </c>
      <c r="M113" s="98" t="s">
        <v>699</v>
      </c>
      <c r="N113" s="68" t="s">
        <v>696</v>
      </c>
      <c r="O113" s="68" t="s">
        <v>700</v>
      </c>
      <c r="P113" s="68"/>
      <c r="Q113" s="68"/>
      <c r="R113" s="68"/>
      <c r="S113" s="68"/>
      <c r="T113" s="68"/>
      <c r="U113" s="68" t="s">
        <v>285</v>
      </c>
      <c r="V113" s="68"/>
      <c r="W113" s="68" t="s">
        <v>285</v>
      </c>
      <c r="X113" s="68" t="s">
        <v>285</v>
      </c>
      <c r="Y113" s="103"/>
      <c r="Z113" s="103"/>
      <c r="AA113" s="92" t="s">
        <v>377</v>
      </c>
    </row>
    <row r="114" ht="14.25" hidden="1" customHeight="1" spans="2:27">
      <c r="B114" s="71" t="s">
        <v>701</v>
      </c>
      <c r="C114" s="71">
        <v>1</v>
      </c>
      <c r="D114" s="71" t="s">
        <v>329</v>
      </c>
      <c r="E114" s="71" t="s">
        <v>205</v>
      </c>
      <c r="F114" s="71" t="s">
        <v>279</v>
      </c>
      <c r="G114" s="71" t="s">
        <v>320</v>
      </c>
      <c r="H114" s="71" t="s">
        <v>225</v>
      </c>
      <c r="I114" s="71" t="s">
        <v>226</v>
      </c>
      <c r="J114" s="71" t="s">
        <v>227</v>
      </c>
      <c r="K114" s="71" t="s">
        <v>702</v>
      </c>
      <c r="L114" s="71" t="s">
        <v>312</v>
      </c>
      <c r="M114" s="81" t="s">
        <v>703</v>
      </c>
      <c r="N114" s="71" t="s">
        <v>701</v>
      </c>
      <c r="O114" s="71" t="s">
        <v>704</v>
      </c>
      <c r="P114" s="71" t="s">
        <v>285</v>
      </c>
      <c r="Q114" s="71"/>
      <c r="R114" s="71"/>
      <c r="S114" s="71"/>
      <c r="T114" s="71"/>
      <c r="U114" s="71"/>
      <c r="V114" s="71"/>
      <c r="W114" s="71" t="s">
        <v>285</v>
      </c>
      <c r="X114" s="71"/>
      <c r="Y114" s="71"/>
      <c r="Z114" s="71"/>
      <c r="AA114" s="92" t="s">
        <v>286</v>
      </c>
    </row>
    <row r="115" ht="14.25" hidden="1" customHeight="1" spans="2:27">
      <c r="B115" s="66" t="s">
        <v>705</v>
      </c>
      <c r="C115" s="66">
        <v>1</v>
      </c>
      <c r="D115" s="66" t="s">
        <v>278</v>
      </c>
      <c r="E115" s="66" t="s">
        <v>285</v>
      </c>
      <c r="F115" s="66" t="s">
        <v>279</v>
      </c>
      <c r="G115" s="66" t="s">
        <v>320</v>
      </c>
      <c r="H115" s="66" t="s">
        <v>225</v>
      </c>
      <c r="I115" s="66" t="s">
        <v>226</v>
      </c>
      <c r="J115" s="66" t="s">
        <v>227</v>
      </c>
      <c r="K115" s="66" t="s">
        <v>706</v>
      </c>
      <c r="L115" s="66" t="s">
        <v>353</v>
      </c>
      <c r="M115" s="80" t="s">
        <v>707</v>
      </c>
      <c r="N115" s="66" t="s">
        <v>705</v>
      </c>
      <c r="O115" s="66" t="s">
        <v>708</v>
      </c>
      <c r="P115" s="66"/>
      <c r="Q115" s="66"/>
      <c r="R115" s="66"/>
      <c r="S115" s="66"/>
      <c r="T115" s="66"/>
      <c r="U115" s="66"/>
      <c r="V115" s="66"/>
      <c r="W115" s="66" t="s">
        <v>285</v>
      </c>
      <c r="X115" s="66"/>
      <c r="Y115" s="66"/>
      <c r="Z115" s="66"/>
      <c r="AA115" s="92" t="s">
        <v>286</v>
      </c>
    </row>
    <row r="116" ht="14.25" hidden="1" customHeight="1" spans="2:27">
      <c r="B116" s="68" t="s">
        <v>709</v>
      </c>
      <c r="C116" s="68">
        <v>1</v>
      </c>
      <c r="D116" s="68" t="s">
        <v>294</v>
      </c>
      <c r="E116" s="68" t="s">
        <v>205</v>
      </c>
      <c r="F116" s="68" t="s">
        <v>364</v>
      </c>
      <c r="G116" s="68" t="s">
        <v>289</v>
      </c>
      <c r="H116" s="68" t="s">
        <v>225</v>
      </c>
      <c r="I116" s="68" t="s">
        <v>281</v>
      </c>
      <c r="J116" s="68" t="s">
        <v>281</v>
      </c>
      <c r="K116" s="68" t="s">
        <v>281</v>
      </c>
      <c r="L116" s="68" t="s">
        <v>312</v>
      </c>
      <c r="M116" s="77" t="s">
        <v>710</v>
      </c>
      <c r="N116" s="68" t="s">
        <v>709</v>
      </c>
      <c r="O116" s="68" t="s">
        <v>711</v>
      </c>
      <c r="P116" s="68"/>
      <c r="Q116" s="68"/>
      <c r="R116" s="68"/>
      <c r="S116" s="68" t="s">
        <v>285</v>
      </c>
      <c r="T116" s="68"/>
      <c r="U116" s="68"/>
      <c r="V116" s="68"/>
      <c r="W116" s="68"/>
      <c r="X116" s="68"/>
      <c r="Y116" s="68"/>
      <c r="Z116" s="68"/>
      <c r="AA116" s="92" t="s">
        <v>286</v>
      </c>
    </row>
    <row r="117" ht="14.25" hidden="1" customHeight="1" spans="2:27">
      <c r="B117" s="68" t="s">
        <v>712</v>
      </c>
      <c r="C117" s="68">
        <v>1</v>
      </c>
      <c r="D117" s="68" t="s">
        <v>294</v>
      </c>
      <c r="E117" s="68" t="s">
        <v>205</v>
      </c>
      <c r="F117" s="68" t="s">
        <v>279</v>
      </c>
      <c r="G117" s="68" t="s">
        <v>713</v>
      </c>
      <c r="H117" s="68" t="s">
        <v>225</v>
      </c>
      <c r="I117" s="68" t="s">
        <v>226</v>
      </c>
      <c r="J117" s="68" t="s">
        <v>281</v>
      </c>
      <c r="K117" s="68" t="s">
        <v>281</v>
      </c>
      <c r="L117" s="68" t="s">
        <v>282</v>
      </c>
      <c r="M117" s="82" t="s">
        <v>714</v>
      </c>
      <c r="N117" s="68" t="s">
        <v>712</v>
      </c>
      <c r="O117" s="68" t="s">
        <v>715</v>
      </c>
      <c r="P117" s="68" t="s">
        <v>285</v>
      </c>
      <c r="Q117" s="68"/>
      <c r="R117" s="68" t="s">
        <v>285</v>
      </c>
      <c r="S117" s="68"/>
      <c r="T117" s="68"/>
      <c r="U117" s="68" t="s">
        <v>285</v>
      </c>
      <c r="V117" s="68"/>
      <c r="W117" s="68" t="s">
        <v>285</v>
      </c>
      <c r="X117" s="68"/>
      <c r="Y117" s="68"/>
      <c r="Z117" s="68"/>
      <c r="AA117" s="92" t="s">
        <v>286</v>
      </c>
    </row>
    <row r="118" ht="14.25" customHeight="1" spans="2:27">
      <c r="B118" s="66" t="s">
        <v>241</v>
      </c>
      <c r="C118" s="66">
        <v>1</v>
      </c>
      <c r="D118" s="66" t="s">
        <v>278</v>
      </c>
      <c r="E118" s="66" t="s">
        <v>285</v>
      </c>
      <c r="F118" s="66" t="s">
        <v>279</v>
      </c>
      <c r="G118" s="66" t="s">
        <v>280</v>
      </c>
      <c r="H118" s="66" t="s">
        <v>225</v>
      </c>
      <c r="I118" s="66" t="s">
        <v>226</v>
      </c>
      <c r="J118" s="66" t="s">
        <v>227</v>
      </c>
      <c r="K118" s="66" t="s">
        <v>716</v>
      </c>
      <c r="L118" s="66" t="s">
        <v>353</v>
      </c>
      <c r="M118" s="80" t="s">
        <v>717</v>
      </c>
      <c r="N118" s="66" t="s">
        <v>241</v>
      </c>
      <c r="O118" s="66" t="s">
        <v>718</v>
      </c>
      <c r="P118" s="66" t="s">
        <v>285</v>
      </c>
      <c r="Q118" s="66"/>
      <c r="R118" s="66"/>
      <c r="S118" s="66"/>
      <c r="T118" s="66"/>
      <c r="U118" s="66"/>
      <c r="V118" s="66" t="s">
        <v>285</v>
      </c>
      <c r="W118" s="66" t="s">
        <v>285</v>
      </c>
      <c r="X118" s="66"/>
      <c r="Y118" s="66"/>
      <c r="Z118" s="66"/>
      <c r="AA118" s="92" t="s">
        <v>286</v>
      </c>
    </row>
    <row r="119" ht="14.25" customHeight="1" spans="2:27">
      <c r="B119" s="68" t="s">
        <v>719</v>
      </c>
      <c r="C119" s="68">
        <v>1</v>
      </c>
      <c r="D119" s="68" t="s">
        <v>294</v>
      </c>
      <c r="E119" s="68" t="s">
        <v>205</v>
      </c>
      <c r="F119" s="68" t="s">
        <v>279</v>
      </c>
      <c r="G119" s="68" t="s">
        <v>320</v>
      </c>
      <c r="H119" s="68" t="s">
        <v>225</v>
      </c>
      <c r="I119" s="68" t="s">
        <v>226</v>
      </c>
      <c r="J119" s="68" t="s">
        <v>227</v>
      </c>
      <c r="K119" s="68" t="s">
        <v>720</v>
      </c>
      <c r="L119" s="68" t="s">
        <v>312</v>
      </c>
      <c r="M119" s="82" t="s">
        <v>721</v>
      </c>
      <c r="N119" s="68" t="s">
        <v>719</v>
      </c>
      <c r="O119" s="68" t="s">
        <v>722</v>
      </c>
      <c r="P119" s="68"/>
      <c r="Q119" s="68"/>
      <c r="R119" s="68"/>
      <c r="S119" s="68"/>
      <c r="T119" s="68"/>
      <c r="U119" s="68" t="s">
        <v>285</v>
      </c>
      <c r="V119" s="68" t="s">
        <v>285</v>
      </c>
      <c r="W119" s="68" t="s">
        <v>285</v>
      </c>
      <c r="X119" s="68"/>
      <c r="Y119" s="68"/>
      <c r="Z119" s="68"/>
      <c r="AA119" s="92" t="s">
        <v>286</v>
      </c>
    </row>
    <row r="120" ht="14.25" hidden="1" customHeight="1" spans="2:27">
      <c r="B120" s="68" t="s">
        <v>723</v>
      </c>
      <c r="C120" s="68">
        <v>1</v>
      </c>
      <c r="D120" s="68" t="s">
        <v>294</v>
      </c>
      <c r="E120" s="68" t="s">
        <v>205</v>
      </c>
      <c r="F120" s="68" t="s">
        <v>364</v>
      </c>
      <c r="G120" s="68" t="s">
        <v>289</v>
      </c>
      <c r="H120" s="68" t="s">
        <v>225</v>
      </c>
      <c r="I120" s="68" t="s">
        <v>281</v>
      </c>
      <c r="J120" s="68" t="s">
        <v>281</v>
      </c>
      <c r="K120" s="68" t="s">
        <v>281</v>
      </c>
      <c r="L120" s="68" t="s">
        <v>312</v>
      </c>
      <c r="M120" s="77" t="s">
        <v>724</v>
      </c>
      <c r="N120" s="68" t="s">
        <v>723</v>
      </c>
      <c r="O120" s="68" t="s">
        <v>725</v>
      </c>
      <c r="P120" s="68"/>
      <c r="Q120" s="68"/>
      <c r="R120" s="68"/>
      <c r="S120" s="68" t="s">
        <v>285</v>
      </c>
      <c r="T120" s="68"/>
      <c r="U120" s="68"/>
      <c r="V120" s="68"/>
      <c r="W120" s="68"/>
      <c r="X120" s="68"/>
      <c r="Y120" s="68"/>
      <c r="Z120" s="68"/>
      <c r="AA120" s="92" t="s">
        <v>286</v>
      </c>
    </row>
    <row r="121" ht="14.25" hidden="1" customHeight="1" spans="1:27">
      <c r="A121" s="94"/>
      <c r="B121" s="70" t="s">
        <v>726</v>
      </c>
      <c r="C121" s="70">
        <v>1</v>
      </c>
      <c r="D121" s="70" t="s">
        <v>306</v>
      </c>
      <c r="E121" s="70" t="s">
        <v>205</v>
      </c>
      <c r="F121" s="70" t="s">
        <v>364</v>
      </c>
      <c r="G121" s="70" t="s">
        <v>289</v>
      </c>
      <c r="H121" s="70" t="s">
        <v>225</v>
      </c>
      <c r="I121" s="70" t="s">
        <v>281</v>
      </c>
      <c r="J121" s="70" t="s">
        <v>281</v>
      </c>
      <c r="K121" s="70" t="s">
        <v>281</v>
      </c>
      <c r="L121" s="70" t="s">
        <v>312</v>
      </c>
      <c r="M121" s="84" t="s">
        <v>727</v>
      </c>
      <c r="N121" s="70" t="s">
        <v>726</v>
      </c>
      <c r="O121" s="70" t="s">
        <v>728</v>
      </c>
      <c r="P121" s="70"/>
      <c r="Q121" s="70"/>
      <c r="R121" s="70"/>
      <c r="S121" s="70"/>
      <c r="T121" s="70" t="s">
        <v>285</v>
      </c>
      <c r="U121" s="70"/>
      <c r="V121" s="70"/>
      <c r="W121" s="70"/>
      <c r="X121" s="70"/>
      <c r="Y121" s="70"/>
      <c r="Z121" s="70"/>
      <c r="AA121" s="92" t="s">
        <v>310</v>
      </c>
    </row>
    <row r="122" ht="14.25" hidden="1" customHeight="1" spans="2:27">
      <c r="B122" s="73" t="s">
        <v>729</v>
      </c>
      <c r="C122" s="73">
        <v>1</v>
      </c>
      <c r="D122" s="73" t="s">
        <v>378</v>
      </c>
      <c r="E122" s="73" t="s">
        <v>205</v>
      </c>
      <c r="F122" s="73" t="s">
        <v>360</v>
      </c>
      <c r="G122" s="73" t="s">
        <v>341</v>
      </c>
      <c r="H122" s="73" t="s">
        <v>225</v>
      </c>
      <c r="I122" s="73" t="s">
        <v>226</v>
      </c>
      <c r="J122" s="73" t="s">
        <v>281</v>
      </c>
      <c r="K122" s="73" t="s">
        <v>281</v>
      </c>
      <c r="L122" s="99" t="s">
        <v>462</v>
      </c>
      <c r="M122" s="100" t="s">
        <v>730</v>
      </c>
      <c r="N122" s="73" t="s">
        <v>729</v>
      </c>
      <c r="O122" s="73" t="s">
        <v>731</v>
      </c>
      <c r="P122" s="73" t="s">
        <v>285</v>
      </c>
      <c r="Q122" s="73"/>
      <c r="R122" s="73"/>
      <c r="S122" s="73"/>
      <c r="T122" s="73"/>
      <c r="U122" s="73"/>
      <c r="V122" s="73" t="s">
        <v>285</v>
      </c>
      <c r="W122" s="73" t="s">
        <v>285</v>
      </c>
      <c r="X122" s="73"/>
      <c r="Y122" s="104"/>
      <c r="Z122" s="104"/>
      <c r="AA122" s="105" t="s">
        <v>732</v>
      </c>
    </row>
    <row r="123" ht="14.25" hidden="1" customHeight="1" spans="2:27">
      <c r="B123" s="68" t="s">
        <v>733</v>
      </c>
      <c r="C123" s="68">
        <v>1</v>
      </c>
      <c r="D123" s="68" t="s">
        <v>294</v>
      </c>
      <c r="E123" s="68" t="s">
        <v>205</v>
      </c>
      <c r="F123" s="68" t="s">
        <v>279</v>
      </c>
      <c r="G123" s="68" t="s">
        <v>302</v>
      </c>
      <c r="H123" s="68" t="s">
        <v>225</v>
      </c>
      <c r="I123" s="68" t="s">
        <v>226</v>
      </c>
      <c r="J123" s="68" t="s">
        <v>281</v>
      </c>
      <c r="K123" s="68" t="s">
        <v>734</v>
      </c>
      <c r="L123" s="101" t="s">
        <v>282</v>
      </c>
      <c r="M123" s="98" t="s">
        <v>735</v>
      </c>
      <c r="N123" s="68" t="s">
        <v>733</v>
      </c>
      <c r="O123" s="68" t="s">
        <v>736</v>
      </c>
      <c r="P123" s="68"/>
      <c r="Q123" s="68"/>
      <c r="R123" s="68"/>
      <c r="S123" s="68"/>
      <c r="T123" s="68"/>
      <c r="U123" s="68"/>
      <c r="V123" s="68"/>
      <c r="W123" s="68" t="s">
        <v>285</v>
      </c>
      <c r="X123" s="68"/>
      <c r="Y123" s="103"/>
      <c r="Z123" s="103"/>
      <c r="AA123" s="105" t="s">
        <v>732</v>
      </c>
    </row>
    <row r="124" ht="14.25" hidden="1" customHeight="1" spans="2:27">
      <c r="B124" s="71" t="s">
        <v>737</v>
      </c>
      <c r="C124" s="71">
        <v>1</v>
      </c>
      <c r="D124" s="71" t="s">
        <v>329</v>
      </c>
      <c r="E124" s="71" t="s">
        <v>205</v>
      </c>
      <c r="F124" s="71" t="s">
        <v>738</v>
      </c>
      <c r="G124" s="71" t="s">
        <v>280</v>
      </c>
      <c r="H124" s="71" t="s">
        <v>225</v>
      </c>
      <c r="I124" s="71" t="s">
        <v>281</v>
      </c>
      <c r="J124" s="71" t="s">
        <v>281</v>
      </c>
      <c r="K124" s="71" t="s">
        <v>281</v>
      </c>
      <c r="L124" s="102" t="s">
        <v>282</v>
      </c>
      <c r="M124" s="85" t="s">
        <v>739</v>
      </c>
      <c r="N124" s="71" t="s">
        <v>737</v>
      </c>
      <c r="O124" s="71" t="s">
        <v>740</v>
      </c>
      <c r="P124" s="71" t="s">
        <v>285</v>
      </c>
      <c r="Q124" s="71"/>
      <c r="R124" s="71"/>
      <c r="S124" s="71"/>
      <c r="T124" s="71"/>
      <c r="U124" s="71" t="s">
        <v>285</v>
      </c>
      <c r="V124" s="71"/>
      <c r="W124" s="71" t="s">
        <v>285</v>
      </c>
      <c r="X124" s="71"/>
      <c r="Y124" s="93"/>
      <c r="Z124" s="93"/>
      <c r="AA124" s="105" t="s">
        <v>741</v>
      </c>
    </row>
    <row r="125" ht="14.25" hidden="1" customHeight="1" spans="1:27">
      <c r="A125" s="94"/>
      <c r="B125" s="68" t="s">
        <v>742</v>
      </c>
      <c r="C125" s="68">
        <v>2</v>
      </c>
      <c r="D125" s="68" t="s">
        <v>294</v>
      </c>
      <c r="E125" s="68" t="s">
        <v>205</v>
      </c>
      <c r="F125" s="68" t="s">
        <v>279</v>
      </c>
      <c r="G125" s="68" t="s">
        <v>320</v>
      </c>
      <c r="H125" s="68" t="s">
        <v>225</v>
      </c>
      <c r="I125" s="68" t="s">
        <v>226</v>
      </c>
      <c r="J125" s="68" t="s">
        <v>227</v>
      </c>
      <c r="K125" s="68" t="s">
        <v>743</v>
      </c>
      <c r="L125" s="68" t="s">
        <v>282</v>
      </c>
      <c r="M125" s="82" t="s">
        <v>744</v>
      </c>
      <c r="N125" s="68" t="s">
        <v>742</v>
      </c>
      <c r="O125" s="68" t="s">
        <v>745</v>
      </c>
      <c r="P125" s="68"/>
      <c r="Q125" s="68"/>
      <c r="R125" s="68"/>
      <c r="S125" s="68"/>
      <c r="T125" s="68"/>
      <c r="U125" s="68" t="s">
        <v>285</v>
      </c>
      <c r="V125" s="68"/>
      <c r="W125" s="68" t="s">
        <v>285</v>
      </c>
      <c r="X125" s="68"/>
      <c r="Y125" s="68"/>
      <c r="Z125" s="68"/>
      <c r="AA125" s="92" t="s">
        <v>310</v>
      </c>
    </row>
    <row r="126" ht="14.25" hidden="1" customHeight="1" spans="1:27">
      <c r="A126" s="94"/>
      <c r="B126" s="67" t="s">
        <v>746</v>
      </c>
      <c r="C126" s="67">
        <v>2</v>
      </c>
      <c r="D126" s="67" t="s">
        <v>288</v>
      </c>
      <c r="E126" s="67" t="s">
        <v>205</v>
      </c>
      <c r="F126" s="67" t="s">
        <v>279</v>
      </c>
      <c r="G126" s="67" t="s">
        <v>320</v>
      </c>
      <c r="H126" s="67" t="s">
        <v>225</v>
      </c>
      <c r="I126" s="67" t="s">
        <v>226</v>
      </c>
      <c r="J126" s="67" t="s">
        <v>227</v>
      </c>
      <c r="K126" s="67" t="s">
        <v>747</v>
      </c>
      <c r="L126" s="67" t="s">
        <v>462</v>
      </c>
      <c r="M126" s="76" t="s">
        <v>748</v>
      </c>
      <c r="N126" s="67" t="s">
        <v>746</v>
      </c>
      <c r="O126" s="67" t="s">
        <v>749</v>
      </c>
      <c r="P126" s="67"/>
      <c r="Q126" s="67" t="s">
        <v>285</v>
      </c>
      <c r="R126" s="67"/>
      <c r="S126" s="67" t="s">
        <v>285</v>
      </c>
      <c r="T126" s="67"/>
      <c r="U126" s="67"/>
      <c r="V126" s="67"/>
      <c r="W126" s="67"/>
      <c r="X126" s="67" t="s">
        <v>285</v>
      </c>
      <c r="Y126" s="67"/>
      <c r="Z126" s="67"/>
      <c r="AA126" s="92" t="s">
        <v>286</v>
      </c>
    </row>
    <row r="127" ht="14.25" hidden="1" customHeight="1" spans="1:27">
      <c r="A127" s="94"/>
      <c r="B127" s="70" t="s">
        <v>750</v>
      </c>
      <c r="C127" s="70">
        <v>2</v>
      </c>
      <c r="D127" s="70" t="s">
        <v>306</v>
      </c>
      <c r="E127" s="70" t="s">
        <v>205</v>
      </c>
      <c r="F127" s="70" t="s">
        <v>279</v>
      </c>
      <c r="G127" s="70" t="s">
        <v>289</v>
      </c>
      <c r="H127" s="70" t="s">
        <v>225</v>
      </c>
      <c r="I127" s="70" t="s">
        <v>226</v>
      </c>
      <c r="J127" s="70" t="s">
        <v>281</v>
      </c>
      <c r="K127" s="70" t="s">
        <v>281</v>
      </c>
      <c r="L127" s="70" t="s">
        <v>585</v>
      </c>
      <c r="M127" s="84" t="s">
        <v>751</v>
      </c>
      <c r="N127" s="70" t="s">
        <v>750</v>
      </c>
      <c r="O127" s="70" t="s">
        <v>752</v>
      </c>
      <c r="P127" s="70"/>
      <c r="Q127" s="70"/>
      <c r="R127" s="70"/>
      <c r="S127" s="70"/>
      <c r="T127" s="70"/>
      <c r="U127" s="70" t="s">
        <v>285</v>
      </c>
      <c r="V127" s="70"/>
      <c r="W127" s="70" t="s">
        <v>285</v>
      </c>
      <c r="X127" s="70" t="s">
        <v>285</v>
      </c>
      <c r="Y127" s="70"/>
      <c r="Z127" s="70"/>
      <c r="AA127" s="92" t="s">
        <v>286</v>
      </c>
    </row>
    <row r="128" ht="14.25" hidden="1" customHeight="1" spans="1:27">
      <c r="A128" s="94"/>
      <c r="B128" s="71" t="s">
        <v>753</v>
      </c>
      <c r="C128" s="71">
        <v>2</v>
      </c>
      <c r="D128" s="71" t="s">
        <v>329</v>
      </c>
      <c r="E128" s="71" t="s">
        <v>285</v>
      </c>
      <c r="F128" s="71" t="s">
        <v>279</v>
      </c>
      <c r="G128" s="71" t="s">
        <v>320</v>
      </c>
      <c r="H128" s="71" t="s">
        <v>225</v>
      </c>
      <c r="I128" s="71" t="s">
        <v>226</v>
      </c>
      <c r="J128" s="71" t="s">
        <v>227</v>
      </c>
      <c r="K128" s="71" t="s">
        <v>466</v>
      </c>
      <c r="L128" s="71" t="s">
        <v>467</v>
      </c>
      <c r="M128" s="89" t="s">
        <v>754</v>
      </c>
      <c r="N128" s="71" t="s">
        <v>753</v>
      </c>
      <c r="O128" s="71" t="s">
        <v>755</v>
      </c>
      <c r="P128" s="71" t="s">
        <v>285</v>
      </c>
      <c r="Q128" s="71"/>
      <c r="R128" s="71" t="s">
        <v>285</v>
      </c>
      <c r="S128" s="71"/>
      <c r="T128" s="71" t="s">
        <v>285</v>
      </c>
      <c r="U128" s="71"/>
      <c r="V128" s="71"/>
      <c r="W128" s="71"/>
      <c r="X128" s="71"/>
      <c r="Y128" s="71"/>
      <c r="Z128" s="71"/>
      <c r="AA128" s="92" t="s">
        <v>286</v>
      </c>
    </row>
    <row r="129" ht="14.25" hidden="1" customHeight="1" spans="1:27">
      <c r="A129" s="94"/>
      <c r="B129" s="67" t="s">
        <v>756</v>
      </c>
      <c r="C129" s="67">
        <v>2</v>
      </c>
      <c r="D129" s="67" t="s">
        <v>288</v>
      </c>
      <c r="E129" s="67" t="s">
        <v>205</v>
      </c>
      <c r="F129" s="67" t="s">
        <v>279</v>
      </c>
      <c r="G129" s="67" t="s">
        <v>341</v>
      </c>
      <c r="H129" s="67" t="s">
        <v>225</v>
      </c>
      <c r="I129" s="67" t="s">
        <v>226</v>
      </c>
      <c r="J129" s="67" t="s">
        <v>227</v>
      </c>
      <c r="K129" s="67" t="s">
        <v>757</v>
      </c>
      <c r="L129" s="67" t="s">
        <v>758</v>
      </c>
      <c r="M129" s="76" t="s">
        <v>759</v>
      </c>
      <c r="N129" s="67" t="s">
        <v>756</v>
      </c>
      <c r="O129" s="67" t="s">
        <v>760</v>
      </c>
      <c r="P129" s="67"/>
      <c r="Q129" s="67"/>
      <c r="R129" s="67"/>
      <c r="S129" s="67"/>
      <c r="T129" s="67"/>
      <c r="U129" s="67"/>
      <c r="V129" s="67"/>
      <c r="W129" s="67" t="s">
        <v>285</v>
      </c>
      <c r="X129" s="67" t="s">
        <v>285</v>
      </c>
      <c r="Y129" s="67"/>
      <c r="Z129" s="67"/>
      <c r="AA129" s="92" t="s">
        <v>286</v>
      </c>
    </row>
    <row r="130" ht="14.25" hidden="1" customHeight="1" spans="1:27">
      <c r="A130" s="94"/>
      <c r="B130" s="72" t="s">
        <v>761</v>
      </c>
      <c r="C130" s="72">
        <v>2</v>
      </c>
      <c r="D130" s="72" t="s">
        <v>340</v>
      </c>
      <c r="E130" s="72" t="s">
        <v>285</v>
      </c>
      <c r="F130" s="72" t="s">
        <v>360</v>
      </c>
      <c r="G130" s="72" t="s">
        <v>289</v>
      </c>
      <c r="H130" s="72" t="s">
        <v>225</v>
      </c>
      <c r="I130" s="72" t="s">
        <v>226</v>
      </c>
      <c r="J130" s="72" t="s">
        <v>227</v>
      </c>
      <c r="K130" s="72" t="s">
        <v>762</v>
      </c>
      <c r="L130" s="72" t="s">
        <v>282</v>
      </c>
      <c r="M130" s="83" t="s">
        <v>763</v>
      </c>
      <c r="N130" s="72" t="s">
        <v>761</v>
      </c>
      <c r="O130" s="72" t="s">
        <v>764</v>
      </c>
      <c r="P130" s="72"/>
      <c r="Q130" s="72" t="s">
        <v>285</v>
      </c>
      <c r="R130" s="72"/>
      <c r="S130" s="72"/>
      <c r="T130" s="72"/>
      <c r="U130" s="72"/>
      <c r="V130" s="72"/>
      <c r="W130" s="72"/>
      <c r="X130" s="72"/>
      <c r="Y130" s="72"/>
      <c r="Z130" s="72"/>
      <c r="AA130" s="92" t="s">
        <v>286</v>
      </c>
    </row>
    <row r="131" ht="14.25" hidden="1" customHeight="1" spans="1:27">
      <c r="A131" s="94"/>
      <c r="B131" s="70" t="s">
        <v>765</v>
      </c>
      <c r="C131" s="70">
        <v>2</v>
      </c>
      <c r="D131" s="70" t="s">
        <v>306</v>
      </c>
      <c r="E131" s="70" t="s">
        <v>205</v>
      </c>
      <c r="F131" s="70" t="s">
        <v>279</v>
      </c>
      <c r="G131" s="70" t="s">
        <v>341</v>
      </c>
      <c r="H131" s="70" t="s">
        <v>225</v>
      </c>
      <c r="I131" s="70" t="s">
        <v>226</v>
      </c>
      <c r="J131" s="70" t="s">
        <v>227</v>
      </c>
      <c r="K131" s="70" t="s">
        <v>766</v>
      </c>
      <c r="L131" s="70" t="s">
        <v>585</v>
      </c>
      <c r="M131" s="79" t="s">
        <v>767</v>
      </c>
      <c r="N131" s="70" t="s">
        <v>765</v>
      </c>
      <c r="O131" s="70" t="s">
        <v>768</v>
      </c>
      <c r="P131" s="70"/>
      <c r="Q131" s="70"/>
      <c r="R131" s="70" t="s">
        <v>285</v>
      </c>
      <c r="S131" s="70"/>
      <c r="T131" s="70" t="s">
        <v>285</v>
      </c>
      <c r="U131" s="70"/>
      <c r="V131" s="70"/>
      <c r="W131" s="70"/>
      <c r="X131" s="70"/>
      <c r="Y131" s="70"/>
      <c r="Z131" s="70"/>
      <c r="AA131" s="92" t="s">
        <v>286</v>
      </c>
    </row>
    <row r="132" ht="14.25" hidden="1" customHeight="1" spans="1:27">
      <c r="A132" s="94"/>
      <c r="B132" s="72" t="s">
        <v>769</v>
      </c>
      <c r="C132" s="72">
        <v>2</v>
      </c>
      <c r="D132" s="72" t="s">
        <v>340</v>
      </c>
      <c r="E132" s="72" t="s">
        <v>285</v>
      </c>
      <c r="F132" s="72" t="s">
        <v>279</v>
      </c>
      <c r="G132" s="72" t="s">
        <v>341</v>
      </c>
      <c r="H132" s="72" t="s">
        <v>281</v>
      </c>
      <c r="I132" s="72" t="s">
        <v>226</v>
      </c>
      <c r="J132" s="72" t="s">
        <v>281</v>
      </c>
      <c r="K132" s="72" t="s">
        <v>281</v>
      </c>
      <c r="L132" s="72" t="s">
        <v>585</v>
      </c>
      <c r="M132" s="83" t="s">
        <v>770</v>
      </c>
      <c r="N132" s="72" t="s">
        <v>769</v>
      </c>
      <c r="O132" s="72" t="s">
        <v>771</v>
      </c>
      <c r="P132" s="72"/>
      <c r="Q132" s="72"/>
      <c r="R132" s="72" t="s">
        <v>285</v>
      </c>
      <c r="S132" s="72"/>
      <c r="T132" s="72" t="s">
        <v>285</v>
      </c>
      <c r="U132" s="72"/>
      <c r="V132" s="72"/>
      <c r="W132" s="72"/>
      <c r="X132" s="72"/>
      <c r="Y132" s="72"/>
      <c r="Z132" s="72"/>
      <c r="AA132" s="92" t="s">
        <v>286</v>
      </c>
    </row>
    <row r="133" ht="14.25" hidden="1" customHeight="1" spans="1:27">
      <c r="A133" s="94"/>
      <c r="B133" s="69" t="s">
        <v>772</v>
      </c>
      <c r="C133" s="69">
        <v>2</v>
      </c>
      <c r="D133" s="69" t="s">
        <v>301</v>
      </c>
      <c r="E133" s="69" t="s">
        <v>205</v>
      </c>
      <c r="F133" s="69" t="s">
        <v>279</v>
      </c>
      <c r="G133" s="69" t="s">
        <v>320</v>
      </c>
      <c r="H133" s="69" t="s">
        <v>225</v>
      </c>
      <c r="I133" s="69" t="s">
        <v>281</v>
      </c>
      <c r="J133" s="69" t="s">
        <v>281</v>
      </c>
      <c r="K133" s="69" t="s">
        <v>281</v>
      </c>
      <c r="L133" s="69" t="s">
        <v>360</v>
      </c>
      <c r="M133" s="78" t="s">
        <v>773</v>
      </c>
      <c r="N133" s="69" t="s">
        <v>772</v>
      </c>
      <c r="O133" s="69" t="s">
        <v>774</v>
      </c>
      <c r="P133" s="69" t="s">
        <v>285</v>
      </c>
      <c r="Q133" s="69" t="s">
        <v>285</v>
      </c>
      <c r="R133" s="69"/>
      <c r="S133" s="69"/>
      <c r="T133" s="69"/>
      <c r="U133" s="69" t="s">
        <v>285</v>
      </c>
      <c r="V133" s="69"/>
      <c r="W133" s="69" t="s">
        <v>285</v>
      </c>
      <c r="X133" s="69"/>
      <c r="Y133" s="69"/>
      <c r="Z133" s="69"/>
      <c r="AA133" s="92" t="s">
        <v>286</v>
      </c>
    </row>
    <row r="134" ht="14.25" hidden="1" customHeight="1" spans="1:27">
      <c r="A134" s="94"/>
      <c r="B134" s="73" t="s">
        <v>775</v>
      </c>
      <c r="C134" s="73">
        <v>2</v>
      </c>
      <c r="D134" s="73" t="s">
        <v>378</v>
      </c>
      <c r="E134" s="73" t="s">
        <v>205</v>
      </c>
      <c r="F134" s="73" t="s">
        <v>279</v>
      </c>
      <c r="G134" s="73" t="s">
        <v>289</v>
      </c>
      <c r="H134" s="73" t="s">
        <v>225</v>
      </c>
      <c r="I134" s="73" t="s">
        <v>281</v>
      </c>
      <c r="J134" s="73" t="s">
        <v>281</v>
      </c>
      <c r="K134" s="73" t="s">
        <v>281</v>
      </c>
      <c r="L134" s="73" t="s">
        <v>312</v>
      </c>
      <c r="M134" s="86" t="s">
        <v>776</v>
      </c>
      <c r="N134" s="73" t="s">
        <v>775</v>
      </c>
      <c r="O134" s="73" t="s">
        <v>777</v>
      </c>
      <c r="P134" s="73"/>
      <c r="Q134" s="73"/>
      <c r="R134" s="73"/>
      <c r="S134" s="73"/>
      <c r="T134" s="73"/>
      <c r="U134" s="73" t="s">
        <v>285</v>
      </c>
      <c r="V134" s="73"/>
      <c r="W134" s="73" t="s">
        <v>285</v>
      </c>
      <c r="X134" s="73" t="s">
        <v>285</v>
      </c>
      <c r="Y134" s="73"/>
      <c r="Z134" s="73"/>
      <c r="AA134" s="92" t="s">
        <v>286</v>
      </c>
    </row>
    <row r="135" ht="14.25" hidden="1" customHeight="1" spans="1:27">
      <c r="A135" s="94"/>
      <c r="B135" s="68" t="s">
        <v>778</v>
      </c>
      <c r="C135" s="68">
        <v>2</v>
      </c>
      <c r="D135" s="68" t="s">
        <v>294</v>
      </c>
      <c r="E135" s="68" t="s">
        <v>205</v>
      </c>
      <c r="F135" s="68" t="s">
        <v>364</v>
      </c>
      <c r="G135" s="68" t="s">
        <v>289</v>
      </c>
      <c r="H135" s="68" t="s">
        <v>225</v>
      </c>
      <c r="I135" s="68" t="s">
        <v>281</v>
      </c>
      <c r="J135" s="68" t="s">
        <v>281</v>
      </c>
      <c r="K135" s="68" t="s">
        <v>281</v>
      </c>
      <c r="L135" s="68" t="s">
        <v>312</v>
      </c>
      <c r="M135" s="77" t="s">
        <v>779</v>
      </c>
      <c r="N135" s="68" t="s">
        <v>778</v>
      </c>
      <c r="O135" s="68" t="s">
        <v>780</v>
      </c>
      <c r="P135" s="68"/>
      <c r="Q135" s="68"/>
      <c r="R135" s="68"/>
      <c r="S135" s="68" t="s">
        <v>285</v>
      </c>
      <c r="T135" s="68"/>
      <c r="U135" s="68"/>
      <c r="V135" s="68"/>
      <c r="W135" s="68"/>
      <c r="X135" s="68"/>
      <c r="Y135" s="68"/>
      <c r="Z135" s="68"/>
      <c r="AA135" s="92" t="s">
        <v>286</v>
      </c>
    </row>
    <row r="136" ht="14.25" hidden="1" customHeight="1" spans="1:27">
      <c r="A136" s="94"/>
      <c r="B136" s="71" t="s">
        <v>781</v>
      </c>
      <c r="C136" s="71">
        <v>2</v>
      </c>
      <c r="D136" s="71" t="s">
        <v>329</v>
      </c>
      <c r="E136" s="71" t="s">
        <v>205</v>
      </c>
      <c r="F136" s="71" t="s">
        <v>279</v>
      </c>
      <c r="G136" s="71" t="s">
        <v>280</v>
      </c>
      <c r="H136" s="71" t="s">
        <v>225</v>
      </c>
      <c r="I136" s="71" t="s">
        <v>226</v>
      </c>
      <c r="J136" s="71" t="s">
        <v>281</v>
      </c>
      <c r="K136" s="71" t="s">
        <v>281</v>
      </c>
      <c r="L136" s="71" t="s">
        <v>312</v>
      </c>
      <c r="M136" s="81" t="s">
        <v>782</v>
      </c>
      <c r="N136" s="71" t="s">
        <v>781</v>
      </c>
      <c r="O136" s="71" t="s">
        <v>783</v>
      </c>
      <c r="P136" s="71" t="s">
        <v>285</v>
      </c>
      <c r="Q136" s="71" t="s">
        <v>285</v>
      </c>
      <c r="R136" s="71"/>
      <c r="S136" s="71"/>
      <c r="T136" s="71"/>
      <c r="U136" s="71"/>
      <c r="V136" s="71"/>
      <c r="W136" s="71"/>
      <c r="X136" s="71"/>
      <c r="Y136" s="71"/>
      <c r="Z136" s="71"/>
      <c r="AA136" s="92" t="s">
        <v>286</v>
      </c>
    </row>
    <row r="137" ht="14.25" customHeight="1" spans="1:27">
      <c r="A137" s="94"/>
      <c r="B137" s="66" t="s">
        <v>784</v>
      </c>
      <c r="C137" s="66">
        <v>2</v>
      </c>
      <c r="D137" s="66" t="s">
        <v>278</v>
      </c>
      <c r="E137" s="66" t="s">
        <v>205</v>
      </c>
      <c r="F137" s="66" t="s">
        <v>279</v>
      </c>
      <c r="G137" s="66" t="s">
        <v>280</v>
      </c>
      <c r="H137" s="66" t="s">
        <v>225</v>
      </c>
      <c r="I137" s="66" t="s">
        <v>226</v>
      </c>
      <c r="J137" s="66" t="s">
        <v>227</v>
      </c>
      <c r="K137" s="66" t="s">
        <v>785</v>
      </c>
      <c r="L137" s="66" t="s">
        <v>312</v>
      </c>
      <c r="M137" s="80" t="s">
        <v>786</v>
      </c>
      <c r="N137" s="66" t="s">
        <v>784</v>
      </c>
      <c r="O137" s="66" t="s">
        <v>787</v>
      </c>
      <c r="P137" s="66" t="s">
        <v>285</v>
      </c>
      <c r="Q137" s="66"/>
      <c r="R137" s="66"/>
      <c r="S137" s="66"/>
      <c r="T137" s="66"/>
      <c r="U137" s="66" t="s">
        <v>285</v>
      </c>
      <c r="V137" s="66" t="s">
        <v>285</v>
      </c>
      <c r="W137" s="66" t="s">
        <v>285</v>
      </c>
      <c r="X137" s="66"/>
      <c r="Y137" s="66"/>
      <c r="Z137" s="66"/>
      <c r="AA137" s="92" t="s">
        <v>286</v>
      </c>
    </row>
    <row r="138" ht="14.25" hidden="1" customHeight="1" spans="1:27">
      <c r="A138" s="94"/>
      <c r="B138" s="68" t="s">
        <v>788</v>
      </c>
      <c r="C138" s="68">
        <v>2</v>
      </c>
      <c r="D138" s="68" t="s">
        <v>294</v>
      </c>
      <c r="E138" s="68" t="s">
        <v>205</v>
      </c>
      <c r="F138" s="68" t="s">
        <v>279</v>
      </c>
      <c r="G138" s="68" t="s">
        <v>341</v>
      </c>
      <c r="H138" s="68" t="s">
        <v>225</v>
      </c>
      <c r="I138" s="68" t="s">
        <v>226</v>
      </c>
      <c r="J138" s="68" t="s">
        <v>227</v>
      </c>
      <c r="K138" s="68" t="s">
        <v>789</v>
      </c>
      <c r="L138" s="68" t="s">
        <v>758</v>
      </c>
      <c r="M138" s="77" t="s">
        <v>790</v>
      </c>
      <c r="N138" s="68" t="s">
        <v>788</v>
      </c>
      <c r="O138" s="68" t="s">
        <v>791</v>
      </c>
      <c r="P138" s="68"/>
      <c r="Q138" s="68" t="s">
        <v>285</v>
      </c>
      <c r="R138" s="68"/>
      <c r="S138" s="68"/>
      <c r="T138" s="68"/>
      <c r="U138" s="68"/>
      <c r="V138" s="68"/>
      <c r="W138" s="68" t="s">
        <v>285</v>
      </c>
      <c r="X138" s="68" t="s">
        <v>285</v>
      </c>
      <c r="Y138" s="68"/>
      <c r="Z138" s="68"/>
      <c r="AA138" s="92" t="s">
        <v>286</v>
      </c>
    </row>
    <row r="139" ht="14.25" hidden="1" customHeight="1" spans="1:27">
      <c r="A139" s="94"/>
      <c r="B139" s="70" t="s">
        <v>792</v>
      </c>
      <c r="C139" s="70">
        <v>2</v>
      </c>
      <c r="D139" s="70" t="s">
        <v>306</v>
      </c>
      <c r="E139" s="70" t="s">
        <v>205</v>
      </c>
      <c r="F139" s="70" t="s">
        <v>279</v>
      </c>
      <c r="G139" s="70" t="s">
        <v>439</v>
      </c>
      <c r="H139" s="70" t="s">
        <v>225</v>
      </c>
      <c r="I139" s="70" t="s">
        <v>226</v>
      </c>
      <c r="J139" s="70" t="s">
        <v>227</v>
      </c>
      <c r="K139" s="70" t="s">
        <v>793</v>
      </c>
      <c r="L139" s="70" t="s">
        <v>462</v>
      </c>
      <c r="M139" s="84" t="s">
        <v>794</v>
      </c>
      <c r="N139" s="70" t="s">
        <v>792</v>
      </c>
      <c r="O139" s="70" t="s">
        <v>795</v>
      </c>
      <c r="P139" s="70"/>
      <c r="Q139" s="70"/>
      <c r="R139" s="70"/>
      <c r="S139" s="70"/>
      <c r="T139" s="70" t="s">
        <v>285</v>
      </c>
      <c r="U139" s="70"/>
      <c r="V139" s="70"/>
      <c r="W139" s="70"/>
      <c r="X139" s="70"/>
      <c r="Y139" s="70"/>
      <c r="Z139" s="70"/>
      <c r="AA139" s="92" t="s">
        <v>286</v>
      </c>
    </row>
    <row r="140" ht="14.25" customHeight="1" spans="1:27">
      <c r="A140" s="94"/>
      <c r="B140" s="71" t="s">
        <v>796</v>
      </c>
      <c r="C140" s="71">
        <v>2</v>
      </c>
      <c r="D140" s="71" t="s">
        <v>329</v>
      </c>
      <c r="E140" s="71" t="s">
        <v>205</v>
      </c>
      <c r="F140" s="71" t="s">
        <v>279</v>
      </c>
      <c r="G140" s="71" t="s">
        <v>302</v>
      </c>
      <c r="H140" s="71" t="s">
        <v>225</v>
      </c>
      <c r="I140" s="71" t="s">
        <v>226</v>
      </c>
      <c r="J140" s="71" t="s">
        <v>281</v>
      </c>
      <c r="K140" s="71" t="s">
        <v>281</v>
      </c>
      <c r="L140" s="71" t="s">
        <v>312</v>
      </c>
      <c r="M140" s="89" t="s">
        <v>797</v>
      </c>
      <c r="N140" s="71" t="s">
        <v>796</v>
      </c>
      <c r="O140" s="71" t="s">
        <v>798</v>
      </c>
      <c r="P140" s="71" t="s">
        <v>285</v>
      </c>
      <c r="Q140" s="71"/>
      <c r="R140" s="71"/>
      <c r="S140" s="71"/>
      <c r="T140" s="71"/>
      <c r="U140" s="71" t="s">
        <v>285</v>
      </c>
      <c r="V140" s="71" t="s">
        <v>285</v>
      </c>
      <c r="W140" s="71" t="s">
        <v>285</v>
      </c>
      <c r="X140" s="71"/>
      <c r="Y140" s="71"/>
      <c r="Z140" s="71"/>
      <c r="AA140" s="92" t="s">
        <v>286</v>
      </c>
    </row>
    <row r="141" ht="14.25" customHeight="1" spans="1:27">
      <c r="A141" s="94"/>
      <c r="B141" s="68" t="s">
        <v>799</v>
      </c>
      <c r="C141" s="68">
        <v>2</v>
      </c>
      <c r="D141" s="68" t="s">
        <v>294</v>
      </c>
      <c r="E141" s="68" t="s">
        <v>205</v>
      </c>
      <c r="F141" s="68" t="s">
        <v>279</v>
      </c>
      <c r="G141" s="68" t="s">
        <v>280</v>
      </c>
      <c r="H141" s="68" t="s">
        <v>225</v>
      </c>
      <c r="I141" s="68" t="s">
        <v>281</v>
      </c>
      <c r="J141" s="68" t="s">
        <v>227</v>
      </c>
      <c r="K141" s="68" t="s">
        <v>800</v>
      </c>
      <c r="L141" s="68" t="s">
        <v>484</v>
      </c>
      <c r="M141" s="77" t="s">
        <v>801</v>
      </c>
      <c r="N141" s="68" t="s">
        <v>799</v>
      </c>
      <c r="O141" s="68" t="s">
        <v>802</v>
      </c>
      <c r="P141" s="68"/>
      <c r="Q141" s="68"/>
      <c r="R141" s="68"/>
      <c r="S141" s="68"/>
      <c r="T141" s="68"/>
      <c r="U141" s="68" t="s">
        <v>285</v>
      </c>
      <c r="V141" s="68" t="s">
        <v>285</v>
      </c>
      <c r="W141" s="68" t="s">
        <v>285</v>
      </c>
      <c r="X141" s="68"/>
      <c r="Y141" s="68"/>
      <c r="Z141" s="68"/>
      <c r="AA141" s="92" t="s">
        <v>286</v>
      </c>
    </row>
    <row r="142" ht="14.25" hidden="1" customHeight="1" spans="1:27">
      <c r="A142" s="94"/>
      <c r="B142" s="70" t="s">
        <v>803</v>
      </c>
      <c r="C142" s="70">
        <v>2</v>
      </c>
      <c r="D142" s="70" t="s">
        <v>306</v>
      </c>
      <c r="E142" s="70" t="s">
        <v>205</v>
      </c>
      <c r="F142" s="70" t="s">
        <v>279</v>
      </c>
      <c r="G142" s="70" t="s">
        <v>341</v>
      </c>
      <c r="H142" s="70" t="s">
        <v>225</v>
      </c>
      <c r="I142" s="70" t="s">
        <v>226</v>
      </c>
      <c r="J142" s="70" t="s">
        <v>227</v>
      </c>
      <c r="K142" s="70" t="s">
        <v>804</v>
      </c>
      <c r="L142" s="70" t="s">
        <v>462</v>
      </c>
      <c r="M142" s="79" t="s">
        <v>805</v>
      </c>
      <c r="N142" s="70" t="s">
        <v>803</v>
      </c>
      <c r="O142" s="70" t="s">
        <v>806</v>
      </c>
      <c r="P142" s="70"/>
      <c r="Q142" s="70"/>
      <c r="R142" s="70" t="s">
        <v>285</v>
      </c>
      <c r="S142" s="70"/>
      <c r="T142" s="70" t="s">
        <v>285</v>
      </c>
      <c r="U142" s="70" t="s">
        <v>285</v>
      </c>
      <c r="V142" s="70"/>
      <c r="W142" s="70" t="s">
        <v>285</v>
      </c>
      <c r="X142" s="70" t="s">
        <v>285</v>
      </c>
      <c r="Y142" s="70"/>
      <c r="Z142" s="70"/>
      <c r="AA142" s="92" t="s">
        <v>286</v>
      </c>
    </row>
    <row r="143" ht="14.25" hidden="1" customHeight="1" spans="1:27">
      <c r="A143" s="94"/>
      <c r="B143" s="72" t="s">
        <v>807</v>
      </c>
      <c r="C143" s="72">
        <v>2</v>
      </c>
      <c r="D143" s="72" t="s">
        <v>340</v>
      </c>
      <c r="E143" s="72" t="s">
        <v>205</v>
      </c>
      <c r="F143" s="72" t="s">
        <v>279</v>
      </c>
      <c r="G143" s="72" t="s">
        <v>289</v>
      </c>
      <c r="H143" s="72" t="s">
        <v>225</v>
      </c>
      <c r="I143" s="72" t="s">
        <v>226</v>
      </c>
      <c r="J143" s="72" t="s">
        <v>227</v>
      </c>
      <c r="K143" s="72" t="s">
        <v>808</v>
      </c>
      <c r="L143" s="72" t="s">
        <v>312</v>
      </c>
      <c r="M143" s="83" t="s">
        <v>809</v>
      </c>
      <c r="N143" s="72" t="s">
        <v>807</v>
      </c>
      <c r="O143" s="72" t="s">
        <v>810</v>
      </c>
      <c r="P143" s="72" t="s">
        <v>285</v>
      </c>
      <c r="Q143" s="72"/>
      <c r="R143" s="72"/>
      <c r="S143" s="72"/>
      <c r="T143" s="72"/>
      <c r="U143" s="72" t="s">
        <v>285</v>
      </c>
      <c r="V143" s="72"/>
      <c r="W143" s="72" t="s">
        <v>285</v>
      </c>
      <c r="X143" s="72"/>
      <c r="Y143" s="72"/>
      <c r="Z143" s="72"/>
      <c r="AA143" s="92" t="s">
        <v>286</v>
      </c>
    </row>
    <row r="144" ht="14.25" hidden="1" customHeight="1" spans="2:27">
      <c r="B144" s="70" t="s">
        <v>811</v>
      </c>
      <c r="C144" s="70">
        <v>2</v>
      </c>
      <c r="D144" s="70" t="s">
        <v>306</v>
      </c>
      <c r="E144" s="70" t="s">
        <v>205</v>
      </c>
      <c r="F144" s="70" t="s">
        <v>364</v>
      </c>
      <c r="G144" s="70" t="s">
        <v>341</v>
      </c>
      <c r="H144" s="70" t="s">
        <v>225</v>
      </c>
      <c r="I144" s="70" t="s">
        <v>226</v>
      </c>
      <c r="J144" s="70" t="s">
        <v>227</v>
      </c>
      <c r="K144" s="70" t="s">
        <v>812</v>
      </c>
      <c r="L144" s="70" t="s">
        <v>312</v>
      </c>
      <c r="M144" s="79" t="s">
        <v>813</v>
      </c>
      <c r="N144" s="70" t="s">
        <v>811</v>
      </c>
      <c r="O144" s="70" t="s">
        <v>814</v>
      </c>
      <c r="P144" s="70"/>
      <c r="Q144" s="70"/>
      <c r="R144" s="70"/>
      <c r="S144" s="70"/>
      <c r="T144" s="70"/>
      <c r="U144" s="70" t="s">
        <v>285</v>
      </c>
      <c r="V144" s="70"/>
      <c r="W144" s="70" t="s">
        <v>285</v>
      </c>
      <c r="X144" s="70"/>
      <c r="Y144" s="70"/>
      <c r="Z144" s="70"/>
      <c r="AA144" s="92" t="s">
        <v>310</v>
      </c>
    </row>
    <row r="145" ht="14.25" hidden="1" customHeight="1" spans="2:27">
      <c r="B145" s="66" t="s">
        <v>815</v>
      </c>
      <c r="C145" s="66">
        <v>2</v>
      </c>
      <c r="D145" s="66" t="s">
        <v>278</v>
      </c>
      <c r="E145" s="66" t="s">
        <v>205</v>
      </c>
      <c r="F145" s="66" t="s">
        <v>279</v>
      </c>
      <c r="G145" s="66" t="s">
        <v>280</v>
      </c>
      <c r="H145" s="66" t="s">
        <v>225</v>
      </c>
      <c r="I145" s="66" t="s">
        <v>226</v>
      </c>
      <c r="J145" s="66" t="s">
        <v>227</v>
      </c>
      <c r="K145" s="66" t="s">
        <v>816</v>
      </c>
      <c r="L145" s="66" t="s">
        <v>312</v>
      </c>
      <c r="M145" s="80" t="s">
        <v>817</v>
      </c>
      <c r="N145" s="66" t="s">
        <v>815</v>
      </c>
      <c r="O145" s="66" t="s">
        <v>818</v>
      </c>
      <c r="P145" s="66"/>
      <c r="Q145" s="66"/>
      <c r="R145" s="66" t="s">
        <v>285</v>
      </c>
      <c r="S145" s="66"/>
      <c r="T145" s="66"/>
      <c r="U145" s="66" t="s">
        <v>285</v>
      </c>
      <c r="V145" s="66"/>
      <c r="W145" s="66" t="s">
        <v>285</v>
      </c>
      <c r="X145" s="66"/>
      <c r="Y145" s="66"/>
      <c r="Z145" s="66"/>
      <c r="AA145" s="92" t="s">
        <v>310</v>
      </c>
    </row>
    <row r="146" ht="14.25" hidden="1" customHeight="1" spans="1:27">
      <c r="A146" s="94"/>
      <c r="B146" s="70" t="s">
        <v>819</v>
      </c>
      <c r="C146" s="70">
        <v>2</v>
      </c>
      <c r="D146" s="70" t="s">
        <v>306</v>
      </c>
      <c r="E146" s="70" t="s">
        <v>205</v>
      </c>
      <c r="F146" s="70" t="s">
        <v>279</v>
      </c>
      <c r="G146" s="70" t="s">
        <v>820</v>
      </c>
      <c r="H146" s="70" t="s">
        <v>225</v>
      </c>
      <c r="I146" s="70" t="s">
        <v>281</v>
      </c>
      <c r="J146" s="70" t="s">
        <v>281</v>
      </c>
      <c r="K146" s="70" t="s">
        <v>281</v>
      </c>
      <c r="L146" s="70" t="s">
        <v>312</v>
      </c>
      <c r="M146" s="79" t="s">
        <v>821</v>
      </c>
      <c r="N146" s="70" t="s">
        <v>819</v>
      </c>
      <c r="O146" s="70" t="s">
        <v>822</v>
      </c>
      <c r="P146" s="70"/>
      <c r="Q146" s="70"/>
      <c r="R146" s="70" t="s">
        <v>285</v>
      </c>
      <c r="S146" s="70"/>
      <c r="T146" s="70"/>
      <c r="U146" s="70" t="s">
        <v>285</v>
      </c>
      <c r="V146" s="70" t="s">
        <v>285</v>
      </c>
      <c r="W146" s="70" t="s">
        <v>285</v>
      </c>
      <c r="X146" s="70"/>
      <c r="Y146" s="70"/>
      <c r="Z146" s="70"/>
      <c r="AA146" s="92" t="s">
        <v>310</v>
      </c>
    </row>
    <row r="147" ht="14.25" hidden="1" customHeight="1" spans="2:27">
      <c r="B147" s="70" t="s">
        <v>823</v>
      </c>
      <c r="C147" s="70">
        <v>2</v>
      </c>
      <c r="D147" s="70" t="s">
        <v>306</v>
      </c>
      <c r="E147" s="70" t="s">
        <v>205</v>
      </c>
      <c r="F147" s="70" t="s">
        <v>279</v>
      </c>
      <c r="G147" s="70" t="s">
        <v>341</v>
      </c>
      <c r="H147" s="70" t="s">
        <v>225</v>
      </c>
      <c r="I147" s="70" t="s">
        <v>226</v>
      </c>
      <c r="J147" s="70" t="s">
        <v>227</v>
      </c>
      <c r="K147" s="70" t="s">
        <v>824</v>
      </c>
      <c r="L147" s="70" t="s">
        <v>585</v>
      </c>
      <c r="M147" s="84" t="s">
        <v>825</v>
      </c>
      <c r="N147" s="70" t="s">
        <v>823</v>
      </c>
      <c r="O147" s="70" t="s">
        <v>826</v>
      </c>
      <c r="P147" s="70" t="s">
        <v>285</v>
      </c>
      <c r="Q147" s="70" t="s">
        <v>285</v>
      </c>
      <c r="R147" s="70" t="s">
        <v>285</v>
      </c>
      <c r="S147" s="70"/>
      <c r="T147" s="70"/>
      <c r="U147" s="70" t="s">
        <v>285</v>
      </c>
      <c r="V147" s="70"/>
      <c r="W147" s="70"/>
      <c r="X147" s="70" t="s">
        <v>285</v>
      </c>
      <c r="Y147" s="70"/>
      <c r="Z147" s="70"/>
      <c r="AA147" s="92" t="s">
        <v>286</v>
      </c>
    </row>
    <row r="148" ht="14.25" hidden="1" customHeight="1" spans="1:27">
      <c r="A148" s="94"/>
      <c r="B148" s="70" t="s">
        <v>827</v>
      </c>
      <c r="C148" s="70">
        <v>2</v>
      </c>
      <c r="D148" s="70" t="s">
        <v>306</v>
      </c>
      <c r="E148" s="70" t="s">
        <v>205</v>
      </c>
      <c r="F148" s="70" t="s">
        <v>279</v>
      </c>
      <c r="G148" s="70" t="s">
        <v>320</v>
      </c>
      <c r="H148" s="70" t="s">
        <v>225</v>
      </c>
      <c r="I148" s="70" t="s">
        <v>226</v>
      </c>
      <c r="J148" s="70" t="s">
        <v>227</v>
      </c>
      <c r="K148" s="70" t="s">
        <v>828</v>
      </c>
      <c r="L148" s="70" t="s">
        <v>312</v>
      </c>
      <c r="M148" s="79" t="s">
        <v>829</v>
      </c>
      <c r="N148" s="70" t="s">
        <v>827</v>
      </c>
      <c r="O148" s="70" t="s">
        <v>830</v>
      </c>
      <c r="P148" s="70"/>
      <c r="Q148" s="70"/>
      <c r="R148" s="70"/>
      <c r="S148" s="70"/>
      <c r="T148" s="70"/>
      <c r="U148" s="70" t="s">
        <v>285</v>
      </c>
      <c r="V148" s="70"/>
      <c r="W148" s="70" t="s">
        <v>285</v>
      </c>
      <c r="X148" s="70" t="s">
        <v>285</v>
      </c>
      <c r="Y148" s="70"/>
      <c r="Z148" s="70"/>
      <c r="AA148" s="92" t="s">
        <v>286</v>
      </c>
    </row>
    <row r="149" ht="14.25" customHeight="1" spans="1:27">
      <c r="A149" s="94"/>
      <c r="B149" s="71" t="s">
        <v>831</v>
      </c>
      <c r="C149" s="71">
        <v>2</v>
      </c>
      <c r="D149" s="71" t="s">
        <v>329</v>
      </c>
      <c r="E149" s="71" t="s">
        <v>205</v>
      </c>
      <c r="F149" s="71" t="s">
        <v>279</v>
      </c>
      <c r="G149" s="71" t="s">
        <v>280</v>
      </c>
      <c r="H149" s="71" t="s">
        <v>225</v>
      </c>
      <c r="I149" s="71" t="s">
        <v>226</v>
      </c>
      <c r="J149" s="71" t="s">
        <v>281</v>
      </c>
      <c r="K149" s="71" t="s">
        <v>281</v>
      </c>
      <c r="L149" s="71" t="s">
        <v>360</v>
      </c>
      <c r="M149" s="81" t="s">
        <v>832</v>
      </c>
      <c r="N149" s="71" t="s">
        <v>831</v>
      </c>
      <c r="O149" s="71" t="s">
        <v>833</v>
      </c>
      <c r="P149" s="71" t="s">
        <v>285</v>
      </c>
      <c r="Q149" s="71"/>
      <c r="R149" s="71"/>
      <c r="S149" s="71"/>
      <c r="T149" s="71"/>
      <c r="U149" s="71"/>
      <c r="V149" s="71" t="s">
        <v>285</v>
      </c>
      <c r="W149" s="71"/>
      <c r="X149" s="71"/>
      <c r="Y149" s="71"/>
      <c r="Z149" s="71"/>
      <c r="AA149" s="92" t="s">
        <v>286</v>
      </c>
    </row>
    <row r="150" ht="14.25" hidden="1" customHeight="1" spans="1:27">
      <c r="A150" s="94"/>
      <c r="B150" s="66" t="s">
        <v>834</v>
      </c>
      <c r="C150" s="66">
        <v>2</v>
      </c>
      <c r="D150" s="66" t="s">
        <v>278</v>
      </c>
      <c r="E150" s="66" t="s">
        <v>205</v>
      </c>
      <c r="F150" s="66" t="s">
        <v>397</v>
      </c>
      <c r="G150" s="66" t="s">
        <v>320</v>
      </c>
      <c r="H150" s="66" t="s">
        <v>225</v>
      </c>
      <c r="I150" s="66" t="s">
        <v>226</v>
      </c>
      <c r="J150" s="66" t="s">
        <v>281</v>
      </c>
      <c r="K150" s="66" t="s">
        <v>281</v>
      </c>
      <c r="L150" s="66" t="s">
        <v>282</v>
      </c>
      <c r="M150" s="75" t="s">
        <v>835</v>
      </c>
      <c r="N150" s="66" t="s">
        <v>834</v>
      </c>
      <c r="O150" s="66" t="s">
        <v>836</v>
      </c>
      <c r="P150" s="66"/>
      <c r="Q150" s="66"/>
      <c r="R150" s="66"/>
      <c r="S150" s="66" t="s">
        <v>285</v>
      </c>
      <c r="T150" s="66"/>
      <c r="U150" s="66"/>
      <c r="V150" s="66"/>
      <c r="W150" s="66"/>
      <c r="X150" s="66"/>
      <c r="Y150" s="66"/>
      <c r="Z150" s="66"/>
      <c r="AA150" s="92" t="s">
        <v>286</v>
      </c>
    </row>
    <row r="151" ht="14.25" hidden="1" customHeight="1" spans="1:27">
      <c r="A151" s="94"/>
      <c r="B151" s="72" t="s">
        <v>837</v>
      </c>
      <c r="C151" s="72">
        <v>2</v>
      </c>
      <c r="D151" s="72" t="s">
        <v>340</v>
      </c>
      <c r="E151" s="72" t="s">
        <v>205</v>
      </c>
      <c r="F151" s="72" t="s">
        <v>279</v>
      </c>
      <c r="G151" s="72" t="s">
        <v>302</v>
      </c>
      <c r="H151" s="72" t="s">
        <v>225</v>
      </c>
      <c r="I151" s="72" t="s">
        <v>226</v>
      </c>
      <c r="J151" s="72" t="s">
        <v>281</v>
      </c>
      <c r="K151" s="72" t="s">
        <v>281</v>
      </c>
      <c r="L151" s="72" t="s">
        <v>282</v>
      </c>
      <c r="M151" s="95" t="s">
        <v>838</v>
      </c>
      <c r="N151" s="72" t="s">
        <v>837</v>
      </c>
      <c r="O151" s="72" t="s">
        <v>839</v>
      </c>
      <c r="P151" s="72"/>
      <c r="Q151" s="72" t="s">
        <v>285</v>
      </c>
      <c r="R151" s="72" t="s">
        <v>285</v>
      </c>
      <c r="S151" s="72"/>
      <c r="T151" s="72" t="s">
        <v>285</v>
      </c>
      <c r="U151" s="72"/>
      <c r="V151" s="72"/>
      <c r="W151" s="72"/>
      <c r="X151" s="72"/>
      <c r="Y151" s="72"/>
      <c r="Z151" s="72"/>
      <c r="AA151" s="92" t="s">
        <v>286</v>
      </c>
    </row>
    <row r="152" ht="14.25" hidden="1" customHeight="1" spans="1:27">
      <c r="A152" s="94"/>
      <c r="B152" s="68" t="s">
        <v>840</v>
      </c>
      <c r="C152" s="68">
        <v>2</v>
      </c>
      <c r="D152" s="68" t="s">
        <v>294</v>
      </c>
      <c r="E152" s="68" t="s">
        <v>205</v>
      </c>
      <c r="F152" s="68" t="s">
        <v>364</v>
      </c>
      <c r="G152" s="68" t="s">
        <v>289</v>
      </c>
      <c r="H152" s="68" t="s">
        <v>225</v>
      </c>
      <c r="I152" s="68" t="s">
        <v>226</v>
      </c>
      <c r="J152" s="68" t="s">
        <v>227</v>
      </c>
      <c r="K152" s="68" t="s">
        <v>841</v>
      </c>
      <c r="L152" s="68" t="s">
        <v>484</v>
      </c>
      <c r="M152" s="77" t="s">
        <v>842</v>
      </c>
      <c r="N152" s="68" t="s">
        <v>840</v>
      </c>
      <c r="O152" s="68" t="s">
        <v>843</v>
      </c>
      <c r="P152" s="68"/>
      <c r="Q152" s="68"/>
      <c r="R152" s="68" t="s">
        <v>285</v>
      </c>
      <c r="S152" s="68"/>
      <c r="T152" s="68"/>
      <c r="U152" s="68"/>
      <c r="V152" s="68"/>
      <c r="W152" s="68"/>
      <c r="X152" s="68"/>
      <c r="Y152" s="68"/>
      <c r="Z152" s="68"/>
      <c r="AA152" s="92" t="s">
        <v>286</v>
      </c>
    </row>
    <row r="153" ht="14.25" hidden="1" customHeight="1" spans="1:27">
      <c r="A153" s="94"/>
      <c r="B153" s="66" t="s">
        <v>844</v>
      </c>
      <c r="C153" s="66">
        <v>2</v>
      </c>
      <c r="D153" s="66" t="s">
        <v>278</v>
      </c>
      <c r="E153" s="66" t="s">
        <v>205</v>
      </c>
      <c r="F153" s="66" t="s">
        <v>279</v>
      </c>
      <c r="G153" s="66" t="s">
        <v>280</v>
      </c>
      <c r="H153" s="66" t="s">
        <v>225</v>
      </c>
      <c r="I153" s="66" t="s">
        <v>226</v>
      </c>
      <c r="J153" s="66" t="s">
        <v>227</v>
      </c>
      <c r="K153" s="66" t="s">
        <v>845</v>
      </c>
      <c r="L153" s="66" t="s">
        <v>312</v>
      </c>
      <c r="M153" s="75" t="s">
        <v>846</v>
      </c>
      <c r="N153" s="66" t="s">
        <v>844</v>
      </c>
      <c r="O153" s="66" t="s">
        <v>847</v>
      </c>
      <c r="P153" s="66"/>
      <c r="Q153" s="66"/>
      <c r="R153" s="66" t="s">
        <v>285</v>
      </c>
      <c r="S153" s="66"/>
      <c r="T153" s="66"/>
      <c r="U153" s="66"/>
      <c r="V153" s="66"/>
      <c r="W153" s="66" t="s">
        <v>285</v>
      </c>
      <c r="X153" s="66"/>
      <c r="Y153" s="66"/>
      <c r="Z153" s="66"/>
      <c r="AA153" s="92" t="s">
        <v>286</v>
      </c>
    </row>
    <row r="154" ht="14.25" hidden="1" customHeight="1" spans="1:27">
      <c r="A154" s="94"/>
      <c r="B154" s="72" t="s">
        <v>848</v>
      </c>
      <c r="C154" s="72">
        <v>2</v>
      </c>
      <c r="D154" s="72" t="s">
        <v>340</v>
      </c>
      <c r="E154" s="72" t="s">
        <v>205</v>
      </c>
      <c r="F154" s="72" t="s">
        <v>360</v>
      </c>
      <c r="G154" s="72" t="s">
        <v>280</v>
      </c>
      <c r="H154" s="72" t="s">
        <v>225</v>
      </c>
      <c r="I154" s="72" t="s">
        <v>226</v>
      </c>
      <c r="J154" s="72" t="s">
        <v>227</v>
      </c>
      <c r="K154" s="72" t="s">
        <v>849</v>
      </c>
      <c r="L154" s="72" t="s">
        <v>353</v>
      </c>
      <c r="M154" s="106" t="s">
        <v>850</v>
      </c>
      <c r="N154" s="72" t="s">
        <v>848</v>
      </c>
      <c r="O154" s="72" t="s">
        <v>851</v>
      </c>
      <c r="P154" s="72"/>
      <c r="Q154" s="72"/>
      <c r="R154" s="72"/>
      <c r="S154" s="72"/>
      <c r="T154" s="72"/>
      <c r="U154" s="72"/>
      <c r="V154" s="72"/>
      <c r="W154" s="72"/>
      <c r="X154" s="72"/>
      <c r="Y154" s="72" t="s">
        <v>285</v>
      </c>
      <c r="Z154" s="72" t="s">
        <v>285</v>
      </c>
      <c r="AA154" s="92" t="s">
        <v>413</v>
      </c>
    </row>
    <row r="155" ht="14.25" hidden="1" customHeight="1" spans="1:27">
      <c r="A155" s="94"/>
      <c r="B155" s="69" t="s">
        <v>852</v>
      </c>
      <c r="C155" s="69">
        <v>2</v>
      </c>
      <c r="D155" s="69" t="s">
        <v>301</v>
      </c>
      <c r="E155" s="69" t="s">
        <v>205</v>
      </c>
      <c r="F155" s="69" t="s">
        <v>279</v>
      </c>
      <c r="G155" s="69" t="s">
        <v>341</v>
      </c>
      <c r="H155" s="69" t="s">
        <v>225</v>
      </c>
      <c r="I155" s="69" t="s">
        <v>226</v>
      </c>
      <c r="J155" s="69" t="s">
        <v>227</v>
      </c>
      <c r="K155" s="69" t="s">
        <v>853</v>
      </c>
      <c r="L155" s="69" t="s">
        <v>632</v>
      </c>
      <c r="M155" s="88" t="s">
        <v>854</v>
      </c>
      <c r="N155" s="69" t="s">
        <v>852</v>
      </c>
      <c r="O155" s="69" t="s">
        <v>855</v>
      </c>
      <c r="P155" s="69"/>
      <c r="Q155" s="69" t="s">
        <v>285</v>
      </c>
      <c r="R155" s="69"/>
      <c r="S155" s="69"/>
      <c r="T155" s="69"/>
      <c r="U155" s="69"/>
      <c r="V155" s="69"/>
      <c r="W155" s="69" t="s">
        <v>285</v>
      </c>
      <c r="X155" s="69"/>
      <c r="Y155" s="69"/>
      <c r="Z155" s="69"/>
      <c r="AA155" s="92" t="s">
        <v>286</v>
      </c>
    </row>
    <row r="156" ht="14.25" hidden="1" customHeight="1" spans="1:27">
      <c r="A156" s="94"/>
      <c r="B156" s="68" t="s">
        <v>856</v>
      </c>
      <c r="C156" s="68">
        <v>2</v>
      </c>
      <c r="D156" s="68" t="s">
        <v>294</v>
      </c>
      <c r="E156" s="68" t="s">
        <v>205</v>
      </c>
      <c r="F156" s="68" t="s">
        <v>279</v>
      </c>
      <c r="G156" s="68" t="s">
        <v>857</v>
      </c>
      <c r="H156" s="68" t="s">
        <v>225</v>
      </c>
      <c r="I156" s="68" t="s">
        <v>226</v>
      </c>
      <c r="J156" s="68" t="s">
        <v>227</v>
      </c>
      <c r="K156" s="68" t="s">
        <v>858</v>
      </c>
      <c r="L156" s="68" t="s">
        <v>312</v>
      </c>
      <c r="M156" s="82" t="s">
        <v>859</v>
      </c>
      <c r="N156" s="68" t="s">
        <v>856</v>
      </c>
      <c r="O156" s="68" t="s">
        <v>860</v>
      </c>
      <c r="P156" s="68"/>
      <c r="Q156" s="68"/>
      <c r="R156" s="68" t="s">
        <v>285</v>
      </c>
      <c r="S156" s="68"/>
      <c r="T156" s="68"/>
      <c r="U156" s="68" t="s">
        <v>285</v>
      </c>
      <c r="V156" s="68"/>
      <c r="W156" s="68" t="s">
        <v>285</v>
      </c>
      <c r="X156" s="68"/>
      <c r="Y156" s="68"/>
      <c r="Z156" s="68"/>
      <c r="AA156" s="92" t="s">
        <v>286</v>
      </c>
    </row>
    <row r="157" ht="14.25" hidden="1" customHeight="1" spans="1:27">
      <c r="A157" s="94"/>
      <c r="B157" s="66" t="s">
        <v>861</v>
      </c>
      <c r="C157" s="66">
        <v>2</v>
      </c>
      <c r="D157" s="66" t="s">
        <v>278</v>
      </c>
      <c r="E157" s="66" t="s">
        <v>205</v>
      </c>
      <c r="F157" s="66" t="s">
        <v>364</v>
      </c>
      <c r="G157" s="66" t="s">
        <v>280</v>
      </c>
      <c r="H157" s="66" t="s">
        <v>225</v>
      </c>
      <c r="I157" s="66" t="s">
        <v>226</v>
      </c>
      <c r="J157" s="66" t="s">
        <v>281</v>
      </c>
      <c r="K157" s="66" t="s">
        <v>281</v>
      </c>
      <c r="L157" s="66" t="s">
        <v>312</v>
      </c>
      <c r="M157" s="80" t="s">
        <v>862</v>
      </c>
      <c r="N157" s="66" t="s">
        <v>861</v>
      </c>
      <c r="O157" s="66" t="s">
        <v>863</v>
      </c>
      <c r="P157" s="66"/>
      <c r="Q157" s="66"/>
      <c r="R157" s="66" t="s">
        <v>285</v>
      </c>
      <c r="S157" s="66"/>
      <c r="T157" s="66" t="s">
        <v>285</v>
      </c>
      <c r="U157" s="66"/>
      <c r="V157" s="66"/>
      <c r="W157" s="66"/>
      <c r="X157" s="66"/>
      <c r="Y157" s="66"/>
      <c r="Z157" s="66"/>
      <c r="AA157" s="92" t="s">
        <v>310</v>
      </c>
    </row>
    <row r="158" ht="14.25" hidden="1" customHeight="1" spans="2:27">
      <c r="B158" s="70" t="s">
        <v>864</v>
      </c>
      <c r="C158" s="70">
        <v>2</v>
      </c>
      <c r="D158" s="70" t="s">
        <v>306</v>
      </c>
      <c r="E158" s="70" t="s">
        <v>205</v>
      </c>
      <c r="F158" s="70" t="s">
        <v>279</v>
      </c>
      <c r="G158" s="70" t="s">
        <v>280</v>
      </c>
      <c r="H158" s="70" t="s">
        <v>225</v>
      </c>
      <c r="I158" s="70" t="s">
        <v>226</v>
      </c>
      <c r="J158" s="70" t="s">
        <v>227</v>
      </c>
      <c r="K158" s="70" t="s">
        <v>865</v>
      </c>
      <c r="L158" s="70" t="s">
        <v>312</v>
      </c>
      <c r="M158" s="79" t="s">
        <v>866</v>
      </c>
      <c r="N158" s="70" t="s">
        <v>864</v>
      </c>
      <c r="O158" s="70" t="s">
        <v>867</v>
      </c>
      <c r="P158" s="70" t="s">
        <v>285</v>
      </c>
      <c r="Q158" s="70"/>
      <c r="R158" s="70" t="s">
        <v>285</v>
      </c>
      <c r="S158" s="70"/>
      <c r="T158" s="70"/>
      <c r="U158" s="70"/>
      <c r="V158" s="70"/>
      <c r="W158" s="70"/>
      <c r="X158" s="70" t="s">
        <v>285</v>
      </c>
      <c r="Y158" s="70"/>
      <c r="Z158" s="70"/>
      <c r="AA158" s="92" t="s">
        <v>286</v>
      </c>
    </row>
    <row r="159" ht="14.25" customHeight="1" spans="1:27">
      <c r="A159" s="94"/>
      <c r="B159" s="71" t="s">
        <v>240</v>
      </c>
      <c r="C159" s="71">
        <v>2</v>
      </c>
      <c r="D159" s="71" t="s">
        <v>329</v>
      </c>
      <c r="E159" s="71" t="s">
        <v>205</v>
      </c>
      <c r="F159" s="71" t="s">
        <v>279</v>
      </c>
      <c r="G159" s="71" t="s">
        <v>280</v>
      </c>
      <c r="H159" s="71" t="s">
        <v>225</v>
      </c>
      <c r="I159" s="71" t="s">
        <v>226</v>
      </c>
      <c r="J159" s="71" t="s">
        <v>227</v>
      </c>
      <c r="K159" s="71" t="s">
        <v>868</v>
      </c>
      <c r="L159" s="71" t="s">
        <v>312</v>
      </c>
      <c r="M159" s="81" t="s">
        <v>869</v>
      </c>
      <c r="N159" s="71" t="s">
        <v>240</v>
      </c>
      <c r="O159" s="71" t="s">
        <v>870</v>
      </c>
      <c r="P159" s="71" t="s">
        <v>285</v>
      </c>
      <c r="Q159" s="71" t="s">
        <v>285</v>
      </c>
      <c r="R159" s="71" t="s">
        <v>285</v>
      </c>
      <c r="S159" s="71"/>
      <c r="T159" s="71"/>
      <c r="U159" s="71" t="s">
        <v>285</v>
      </c>
      <c r="V159" s="71" t="s">
        <v>285</v>
      </c>
      <c r="W159" s="71" t="s">
        <v>285</v>
      </c>
      <c r="X159" s="71"/>
      <c r="Y159" s="71"/>
      <c r="Z159" s="71"/>
      <c r="AA159" s="92" t="s">
        <v>286</v>
      </c>
    </row>
    <row r="160" ht="14.25" hidden="1" customHeight="1" spans="1:27">
      <c r="A160" s="94"/>
      <c r="B160" s="70" t="s">
        <v>871</v>
      </c>
      <c r="C160" s="70">
        <v>2</v>
      </c>
      <c r="D160" s="70" t="s">
        <v>306</v>
      </c>
      <c r="E160" s="70" t="s">
        <v>205</v>
      </c>
      <c r="F160" s="70" t="s">
        <v>279</v>
      </c>
      <c r="G160" s="70" t="s">
        <v>341</v>
      </c>
      <c r="H160" s="70" t="s">
        <v>225</v>
      </c>
      <c r="I160" s="70" t="s">
        <v>226</v>
      </c>
      <c r="J160" s="70" t="s">
        <v>227</v>
      </c>
      <c r="K160" s="70" t="s">
        <v>872</v>
      </c>
      <c r="L160" s="70" t="s">
        <v>353</v>
      </c>
      <c r="M160" s="97" t="s">
        <v>873</v>
      </c>
      <c r="N160" s="70" t="s">
        <v>871</v>
      </c>
      <c r="O160" s="70" t="s">
        <v>874</v>
      </c>
      <c r="P160" s="70"/>
      <c r="Q160" s="70"/>
      <c r="R160" s="70"/>
      <c r="S160" s="70"/>
      <c r="T160" s="70"/>
      <c r="U160" s="70"/>
      <c r="V160" s="70"/>
      <c r="W160" s="70"/>
      <c r="X160" s="70"/>
      <c r="Y160" s="70"/>
      <c r="Z160" s="70" t="s">
        <v>285</v>
      </c>
      <c r="AA160" s="92" t="s">
        <v>413</v>
      </c>
    </row>
    <row r="161" ht="14.25" customHeight="1" spans="1:27">
      <c r="A161" s="94"/>
      <c r="B161" s="73" t="s">
        <v>239</v>
      </c>
      <c r="C161" s="73">
        <v>2</v>
      </c>
      <c r="D161" s="73" t="s">
        <v>378</v>
      </c>
      <c r="E161" s="73" t="s">
        <v>205</v>
      </c>
      <c r="F161" s="73" t="s">
        <v>279</v>
      </c>
      <c r="G161" s="73" t="s">
        <v>341</v>
      </c>
      <c r="H161" s="73" t="s">
        <v>225</v>
      </c>
      <c r="I161" s="73" t="s">
        <v>226</v>
      </c>
      <c r="J161" s="73" t="s">
        <v>227</v>
      </c>
      <c r="K161" s="73" t="s">
        <v>875</v>
      </c>
      <c r="L161" s="73" t="s">
        <v>585</v>
      </c>
      <c r="M161" s="86" t="s">
        <v>876</v>
      </c>
      <c r="N161" s="73" t="s">
        <v>239</v>
      </c>
      <c r="O161" s="73" t="s">
        <v>877</v>
      </c>
      <c r="P161" s="73" t="s">
        <v>285</v>
      </c>
      <c r="Q161" s="73"/>
      <c r="R161" s="73"/>
      <c r="S161" s="73"/>
      <c r="T161" s="73"/>
      <c r="U161" s="73" t="s">
        <v>285</v>
      </c>
      <c r="V161" s="73" t="s">
        <v>285</v>
      </c>
      <c r="W161" s="73" t="s">
        <v>285</v>
      </c>
      <c r="X161" s="73" t="s">
        <v>285</v>
      </c>
      <c r="Y161" s="73"/>
      <c r="Z161" s="73"/>
      <c r="AA161" s="92" t="s">
        <v>286</v>
      </c>
    </row>
    <row r="162" ht="14.25" hidden="1" customHeight="1" spans="2:27">
      <c r="B162" s="70" t="s">
        <v>878</v>
      </c>
      <c r="C162" s="70">
        <v>2</v>
      </c>
      <c r="D162" s="70" t="s">
        <v>306</v>
      </c>
      <c r="E162" s="70" t="s">
        <v>205</v>
      </c>
      <c r="F162" s="70" t="s">
        <v>279</v>
      </c>
      <c r="G162" s="70" t="s">
        <v>280</v>
      </c>
      <c r="H162" s="70" t="s">
        <v>225</v>
      </c>
      <c r="I162" s="70" t="s">
        <v>281</v>
      </c>
      <c r="J162" s="70" t="s">
        <v>281</v>
      </c>
      <c r="K162" s="70" t="s">
        <v>281</v>
      </c>
      <c r="L162" s="70" t="s">
        <v>282</v>
      </c>
      <c r="M162" s="79" t="s">
        <v>879</v>
      </c>
      <c r="N162" s="70" t="s">
        <v>878</v>
      </c>
      <c r="O162" s="70" t="s">
        <v>880</v>
      </c>
      <c r="P162" s="70" t="s">
        <v>285</v>
      </c>
      <c r="Q162" s="70"/>
      <c r="R162" s="70"/>
      <c r="S162" s="70"/>
      <c r="T162" s="70"/>
      <c r="U162" s="70" t="s">
        <v>285</v>
      </c>
      <c r="V162" s="70"/>
      <c r="W162" s="70" t="s">
        <v>285</v>
      </c>
      <c r="X162" s="70"/>
      <c r="Y162" s="70"/>
      <c r="Z162" s="70"/>
      <c r="AA162" s="92" t="s">
        <v>286</v>
      </c>
    </row>
    <row r="163" ht="14.25" hidden="1" customHeight="1" spans="1:27">
      <c r="A163" s="94"/>
      <c r="B163" s="67" t="s">
        <v>881</v>
      </c>
      <c r="C163" s="67">
        <v>2</v>
      </c>
      <c r="D163" s="67" t="s">
        <v>288</v>
      </c>
      <c r="E163" s="67" t="s">
        <v>205</v>
      </c>
      <c r="F163" s="67" t="s">
        <v>279</v>
      </c>
      <c r="G163" s="67" t="s">
        <v>341</v>
      </c>
      <c r="H163" s="67" t="s">
        <v>225</v>
      </c>
      <c r="I163" s="67" t="s">
        <v>226</v>
      </c>
      <c r="J163" s="67" t="s">
        <v>281</v>
      </c>
      <c r="K163" s="67" t="s">
        <v>281</v>
      </c>
      <c r="L163" s="67" t="s">
        <v>282</v>
      </c>
      <c r="M163" s="76" t="s">
        <v>882</v>
      </c>
      <c r="N163" s="67" t="s">
        <v>881</v>
      </c>
      <c r="O163" s="67" t="s">
        <v>883</v>
      </c>
      <c r="P163" s="67" t="s">
        <v>285</v>
      </c>
      <c r="Q163" s="67" t="s">
        <v>285</v>
      </c>
      <c r="R163" s="67" t="s">
        <v>285</v>
      </c>
      <c r="S163" s="67" t="s">
        <v>285</v>
      </c>
      <c r="T163" s="67" t="s">
        <v>285</v>
      </c>
      <c r="U163" s="67"/>
      <c r="V163" s="67"/>
      <c r="W163" s="67"/>
      <c r="X163" s="67" t="s">
        <v>285</v>
      </c>
      <c r="Y163" s="67"/>
      <c r="Z163" s="67"/>
      <c r="AA163" s="92" t="s">
        <v>286</v>
      </c>
    </row>
    <row r="164" ht="14.25" hidden="1" customHeight="1" spans="2:27">
      <c r="B164" s="70" t="s">
        <v>884</v>
      </c>
      <c r="C164" s="70">
        <v>2</v>
      </c>
      <c r="D164" s="70" t="s">
        <v>306</v>
      </c>
      <c r="E164" s="70" t="s">
        <v>205</v>
      </c>
      <c r="F164" s="70" t="s">
        <v>279</v>
      </c>
      <c r="G164" s="70" t="s">
        <v>280</v>
      </c>
      <c r="H164" s="70" t="s">
        <v>225</v>
      </c>
      <c r="I164" s="70" t="s">
        <v>226</v>
      </c>
      <c r="J164" s="70" t="s">
        <v>227</v>
      </c>
      <c r="K164" s="70" t="s">
        <v>885</v>
      </c>
      <c r="L164" s="70" t="s">
        <v>484</v>
      </c>
      <c r="M164" s="84" t="s">
        <v>886</v>
      </c>
      <c r="N164" s="70" t="s">
        <v>884</v>
      </c>
      <c r="O164" s="70" t="s">
        <v>887</v>
      </c>
      <c r="P164" s="70"/>
      <c r="Q164" s="70"/>
      <c r="R164" s="70"/>
      <c r="S164" s="70"/>
      <c r="T164" s="70"/>
      <c r="U164" s="70" t="s">
        <v>285</v>
      </c>
      <c r="V164" s="70"/>
      <c r="W164" s="70" t="s">
        <v>285</v>
      </c>
      <c r="X164" s="70" t="s">
        <v>285</v>
      </c>
      <c r="Y164" s="70"/>
      <c r="Z164" s="70"/>
      <c r="AA164" s="92" t="s">
        <v>286</v>
      </c>
    </row>
    <row r="165" ht="14.25" hidden="1" customHeight="1" spans="1:27">
      <c r="A165" s="94"/>
      <c r="B165" s="72" t="s">
        <v>888</v>
      </c>
      <c r="C165" s="72">
        <v>2</v>
      </c>
      <c r="D165" s="72" t="s">
        <v>340</v>
      </c>
      <c r="E165" s="72" t="s">
        <v>285</v>
      </c>
      <c r="F165" s="72" t="s">
        <v>279</v>
      </c>
      <c r="G165" s="72" t="s">
        <v>289</v>
      </c>
      <c r="H165" s="72" t="s">
        <v>225</v>
      </c>
      <c r="I165" s="72" t="s">
        <v>226</v>
      </c>
      <c r="J165" s="72" t="s">
        <v>227</v>
      </c>
      <c r="K165" s="72" t="s">
        <v>889</v>
      </c>
      <c r="L165" s="72" t="s">
        <v>282</v>
      </c>
      <c r="M165" s="83" t="s">
        <v>890</v>
      </c>
      <c r="N165" s="72" t="s">
        <v>888</v>
      </c>
      <c r="O165" s="72" t="s">
        <v>891</v>
      </c>
      <c r="P165" s="72" t="s">
        <v>285</v>
      </c>
      <c r="Q165" s="72"/>
      <c r="R165" s="72" t="s">
        <v>285</v>
      </c>
      <c r="S165" s="72"/>
      <c r="T165" s="72" t="s">
        <v>285</v>
      </c>
      <c r="U165" s="72"/>
      <c r="V165" s="72"/>
      <c r="W165" s="72"/>
      <c r="X165" s="72"/>
      <c r="Y165" s="72"/>
      <c r="Z165" s="72"/>
      <c r="AA165" s="92" t="s">
        <v>286</v>
      </c>
    </row>
    <row r="166" ht="14.25" hidden="1" customHeight="1" spans="1:27">
      <c r="A166" s="94"/>
      <c r="B166" s="72" t="s">
        <v>892</v>
      </c>
      <c r="C166" s="72">
        <v>2</v>
      </c>
      <c r="D166" s="72" t="s">
        <v>340</v>
      </c>
      <c r="E166" s="72" t="s">
        <v>205</v>
      </c>
      <c r="F166" s="72" t="s">
        <v>279</v>
      </c>
      <c r="G166" s="72" t="s">
        <v>289</v>
      </c>
      <c r="H166" s="72" t="s">
        <v>225</v>
      </c>
      <c r="I166" s="72" t="s">
        <v>226</v>
      </c>
      <c r="J166" s="72" t="s">
        <v>227</v>
      </c>
      <c r="K166" s="72" t="s">
        <v>893</v>
      </c>
      <c r="L166" s="72" t="s">
        <v>484</v>
      </c>
      <c r="M166" s="83" t="s">
        <v>894</v>
      </c>
      <c r="N166" s="72" t="s">
        <v>892</v>
      </c>
      <c r="O166" s="72" t="s">
        <v>895</v>
      </c>
      <c r="P166" s="72" t="s">
        <v>285</v>
      </c>
      <c r="Q166" s="72" t="s">
        <v>285</v>
      </c>
      <c r="R166" s="72" t="s">
        <v>285</v>
      </c>
      <c r="S166" s="72" t="s">
        <v>285</v>
      </c>
      <c r="T166" s="72" t="s">
        <v>285</v>
      </c>
      <c r="U166" s="72"/>
      <c r="V166" s="72"/>
      <c r="W166" s="72" t="s">
        <v>285</v>
      </c>
      <c r="X166" s="72"/>
      <c r="Y166" s="72"/>
      <c r="Z166" s="72"/>
      <c r="AA166" s="92" t="s">
        <v>286</v>
      </c>
    </row>
    <row r="167" ht="14.25" hidden="1" customHeight="1" spans="2:27">
      <c r="B167" s="73" t="s">
        <v>896</v>
      </c>
      <c r="C167" s="73">
        <v>2</v>
      </c>
      <c r="D167" s="73" t="s">
        <v>378</v>
      </c>
      <c r="E167" s="73" t="s">
        <v>285</v>
      </c>
      <c r="F167" s="73" t="s">
        <v>360</v>
      </c>
      <c r="G167" s="73" t="s">
        <v>320</v>
      </c>
      <c r="H167" s="73" t="s">
        <v>225</v>
      </c>
      <c r="I167" s="73" t="s">
        <v>226</v>
      </c>
      <c r="J167" s="73" t="s">
        <v>227</v>
      </c>
      <c r="K167" s="73" t="s">
        <v>897</v>
      </c>
      <c r="L167" s="73" t="s">
        <v>758</v>
      </c>
      <c r="M167" s="86" t="s">
        <v>898</v>
      </c>
      <c r="N167" s="73" t="s">
        <v>896</v>
      </c>
      <c r="O167" s="73" t="s">
        <v>899</v>
      </c>
      <c r="P167" s="73" t="s">
        <v>285</v>
      </c>
      <c r="Q167" s="73"/>
      <c r="R167" s="73"/>
      <c r="S167" s="73"/>
      <c r="T167" s="73"/>
      <c r="U167" s="73"/>
      <c r="V167" s="73"/>
      <c r="W167" s="73" t="s">
        <v>285</v>
      </c>
      <c r="X167" s="73" t="s">
        <v>285</v>
      </c>
      <c r="Y167" s="73"/>
      <c r="Z167" s="73"/>
      <c r="AA167" s="92" t="s">
        <v>286</v>
      </c>
    </row>
    <row r="168" ht="14.25" hidden="1" customHeight="1" spans="2:27">
      <c r="B168" s="70" t="s">
        <v>900</v>
      </c>
      <c r="C168" s="70">
        <v>2</v>
      </c>
      <c r="D168" s="70" t="s">
        <v>306</v>
      </c>
      <c r="E168" s="70" t="s">
        <v>205</v>
      </c>
      <c r="F168" s="70" t="s">
        <v>364</v>
      </c>
      <c r="G168" s="70" t="s">
        <v>341</v>
      </c>
      <c r="H168" s="70" t="s">
        <v>225</v>
      </c>
      <c r="I168" s="70" t="s">
        <v>226</v>
      </c>
      <c r="J168" s="70" t="s">
        <v>281</v>
      </c>
      <c r="K168" s="70" t="s">
        <v>281</v>
      </c>
      <c r="L168" s="70" t="s">
        <v>585</v>
      </c>
      <c r="M168" s="84" t="s">
        <v>901</v>
      </c>
      <c r="N168" s="70" t="s">
        <v>900</v>
      </c>
      <c r="O168" s="70" t="s">
        <v>902</v>
      </c>
      <c r="P168" s="70"/>
      <c r="Q168" s="70"/>
      <c r="R168" s="70"/>
      <c r="S168" s="70" t="s">
        <v>285</v>
      </c>
      <c r="T168" s="70"/>
      <c r="U168" s="70"/>
      <c r="V168" s="70"/>
      <c r="W168" s="70" t="s">
        <v>285</v>
      </c>
      <c r="X168" s="70" t="s">
        <v>285</v>
      </c>
      <c r="Y168" s="70"/>
      <c r="Z168" s="70"/>
      <c r="AA168" s="92" t="s">
        <v>286</v>
      </c>
    </row>
    <row r="169" ht="14.25" hidden="1" customHeight="1" spans="1:27">
      <c r="A169" s="94"/>
      <c r="B169" s="70" t="s">
        <v>903</v>
      </c>
      <c r="C169" s="70">
        <v>2</v>
      </c>
      <c r="D169" s="70" t="s">
        <v>306</v>
      </c>
      <c r="E169" s="70" t="s">
        <v>205</v>
      </c>
      <c r="F169" s="70" t="s">
        <v>279</v>
      </c>
      <c r="G169" s="70" t="s">
        <v>320</v>
      </c>
      <c r="H169" s="70" t="s">
        <v>225</v>
      </c>
      <c r="I169" s="70" t="s">
        <v>226</v>
      </c>
      <c r="J169" s="70" t="s">
        <v>227</v>
      </c>
      <c r="K169" s="70" t="s">
        <v>904</v>
      </c>
      <c r="L169" s="70" t="s">
        <v>312</v>
      </c>
      <c r="M169" s="79" t="s">
        <v>905</v>
      </c>
      <c r="N169" s="70" t="s">
        <v>903</v>
      </c>
      <c r="O169" s="70" t="s">
        <v>906</v>
      </c>
      <c r="P169" s="70"/>
      <c r="Q169" s="70"/>
      <c r="R169" s="70"/>
      <c r="S169" s="70"/>
      <c r="T169" s="70"/>
      <c r="U169" s="70" t="s">
        <v>285</v>
      </c>
      <c r="V169" s="70"/>
      <c r="W169" s="70" t="s">
        <v>285</v>
      </c>
      <c r="X169" s="70"/>
      <c r="Y169" s="70"/>
      <c r="Z169" s="70"/>
      <c r="AA169" s="92" t="s">
        <v>310</v>
      </c>
    </row>
    <row r="170" ht="14.25" hidden="1" customHeight="1" spans="2:27">
      <c r="B170" s="68" t="s">
        <v>907</v>
      </c>
      <c r="C170" s="68">
        <v>2</v>
      </c>
      <c r="D170" s="68" t="s">
        <v>294</v>
      </c>
      <c r="E170" s="68" t="s">
        <v>205</v>
      </c>
      <c r="F170" s="68" t="s">
        <v>279</v>
      </c>
      <c r="G170" s="68" t="s">
        <v>512</v>
      </c>
      <c r="H170" s="68" t="s">
        <v>225</v>
      </c>
      <c r="I170" s="68" t="s">
        <v>226</v>
      </c>
      <c r="J170" s="68" t="s">
        <v>227</v>
      </c>
      <c r="K170" s="68" t="s">
        <v>908</v>
      </c>
      <c r="L170" s="68" t="s">
        <v>282</v>
      </c>
      <c r="M170" s="77" t="s">
        <v>909</v>
      </c>
      <c r="N170" s="68" t="s">
        <v>907</v>
      </c>
      <c r="O170" s="68" t="s">
        <v>910</v>
      </c>
      <c r="P170" s="68"/>
      <c r="Q170" s="68"/>
      <c r="R170" s="68"/>
      <c r="S170" s="68"/>
      <c r="T170" s="68"/>
      <c r="U170" s="68"/>
      <c r="V170" s="68"/>
      <c r="W170" s="68" t="s">
        <v>285</v>
      </c>
      <c r="X170" s="68"/>
      <c r="Y170" s="68"/>
      <c r="Z170" s="68"/>
      <c r="AA170" s="92" t="s">
        <v>286</v>
      </c>
    </row>
    <row r="171" ht="14.25" hidden="1" customHeight="1" spans="2:27">
      <c r="B171" s="72" t="s">
        <v>911</v>
      </c>
      <c r="C171" s="72">
        <v>2</v>
      </c>
      <c r="D171" s="72" t="s">
        <v>340</v>
      </c>
      <c r="E171" s="72" t="s">
        <v>205</v>
      </c>
      <c r="F171" s="72" t="s">
        <v>279</v>
      </c>
      <c r="G171" s="72" t="s">
        <v>280</v>
      </c>
      <c r="H171" s="72" t="s">
        <v>281</v>
      </c>
      <c r="I171" s="72" t="s">
        <v>226</v>
      </c>
      <c r="J171" s="72" t="s">
        <v>281</v>
      </c>
      <c r="K171" s="72" t="s">
        <v>281</v>
      </c>
      <c r="L171" s="72" t="s">
        <v>585</v>
      </c>
      <c r="M171" s="83" t="s">
        <v>912</v>
      </c>
      <c r="N171" s="72" t="s">
        <v>911</v>
      </c>
      <c r="O171" s="72" t="s">
        <v>913</v>
      </c>
      <c r="P171" s="72"/>
      <c r="Q171" s="72"/>
      <c r="R171" s="72"/>
      <c r="S171" s="72"/>
      <c r="T171" s="72"/>
      <c r="U171" s="72" t="s">
        <v>285</v>
      </c>
      <c r="V171" s="72" t="s">
        <v>285</v>
      </c>
      <c r="W171" s="72" t="s">
        <v>285</v>
      </c>
      <c r="X171" s="72"/>
      <c r="Y171" s="72"/>
      <c r="Z171" s="72"/>
      <c r="AA171" s="92" t="s">
        <v>310</v>
      </c>
    </row>
    <row r="172" ht="14.25" customHeight="1" spans="1:27">
      <c r="A172" s="94"/>
      <c r="B172" s="73" t="s">
        <v>914</v>
      </c>
      <c r="C172" s="73">
        <v>2</v>
      </c>
      <c r="D172" s="73" t="s">
        <v>378</v>
      </c>
      <c r="E172" s="73" t="s">
        <v>205</v>
      </c>
      <c r="F172" s="73" t="s">
        <v>279</v>
      </c>
      <c r="G172" s="73" t="s">
        <v>289</v>
      </c>
      <c r="H172" s="73" t="s">
        <v>225</v>
      </c>
      <c r="I172" s="73" t="s">
        <v>226</v>
      </c>
      <c r="J172" s="73" t="s">
        <v>281</v>
      </c>
      <c r="K172" s="73" t="s">
        <v>281</v>
      </c>
      <c r="L172" s="73" t="s">
        <v>360</v>
      </c>
      <c r="M172" s="91" t="s">
        <v>915</v>
      </c>
      <c r="N172" s="73" t="s">
        <v>914</v>
      </c>
      <c r="O172" s="73" t="s">
        <v>916</v>
      </c>
      <c r="P172" s="73"/>
      <c r="Q172" s="73"/>
      <c r="R172" s="73"/>
      <c r="S172" s="73"/>
      <c r="T172" s="73"/>
      <c r="U172" s="73" t="s">
        <v>285</v>
      </c>
      <c r="V172" s="73" t="s">
        <v>285</v>
      </c>
      <c r="W172" s="73" t="s">
        <v>285</v>
      </c>
      <c r="X172" s="73"/>
      <c r="Y172" s="73"/>
      <c r="Z172" s="73"/>
      <c r="AA172" s="92" t="s">
        <v>286</v>
      </c>
    </row>
    <row r="173" ht="14.25" customHeight="1" spans="2:27">
      <c r="B173" s="66" t="s">
        <v>237</v>
      </c>
      <c r="C173" s="66">
        <v>2</v>
      </c>
      <c r="D173" s="66" t="s">
        <v>278</v>
      </c>
      <c r="E173" s="66" t="s">
        <v>205</v>
      </c>
      <c r="F173" s="66" t="s">
        <v>364</v>
      </c>
      <c r="G173" s="66" t="s">
        <v>289</v>
      </c>
      <c r="H173" s="66" t="s">
        <v>225</v>
      </c>
      <c r="I173" s="66" t="s">
        <v>281</v>
      </c>
      <c r="J173" s="66" t="s">
        <v>281</v>
      </c>
      <c r="K173" s="66" t="s">
        <v>281</v>
      </c>
      <c r="L173" s="66" t="s">
        <v>282</v>
      </c>
      <c r="M173" s="75" t="s">
        <v>917</v>
      </c>
      <c r="N173" s="66" t="s">
        <v>237</v>
      </c>
      <c r="O173" s="66" t="s">
        <v>918</v>
      </c>
      <c r="P173" s="66"/>
      <c r="Q173" s="66"/>
      <c r="R173" s="66"/>
      <c r="S173" s="66"/>
      <c r="T173" s="66"/>
      <c r="U173" s="66" t="s">
        <v>285</v>
      </c>
      <c r="V173" s="66" t="s">
        <v>285</v>
      </c>
      <c r="W173" s="66" t="s">
        <v>285</v>
      </c>
      <c r="X173" s="66"/>
      <c r="Y173" s="66"/>
      <c r="Z173" s="66"/>
      <c r="AA173" s="92" t="s">
        <v>286</v>
      </c>
    </row>
    <row r="174" ht="14.25" hidden="1" customHeight="1" spans="2:27">
      <c r="B174" s="68" t="s">
        <v>919</v>
      </c>
      <c r="C174" s="68">
        <v>2</v>
      </c>
      <c r="D174" s="68" t="s">
        <v>294</v>
      </c>
      <c r="E174" s="68" t="s">
        <v>205</v>
      </c>
      <c r="F174" s="68" t="s">
        <v>279</v>
      </c>
      <c r="G174" s="68" t="s">
        <v>302</v>
      </c>
      <c r="H174" s="68" t="s">
        <v>225</v>
      </c>
      <c r="I174" s="68" t="s">
        <v>226</v>
      </c>
      <c r="J174" s="68" t="s">
        <v>227</v>
      </c>
      <c r="K174" s="68" t="s">
        <v>920</v>
      </c>
      <c r="L174" s="68" t="s">
        <v>312</v>
      </c>
      <c r="M174" s="77" t="s">
        <v>921</v>
      </c>
      <c r="N174" s="68" t="s">
        <v>919</v>
      </c>
      <c r="O174" s="68" t="s">
        <v>922</v>
      </c>
      <c r="P174" s="68"/>
      <c r="Q174" s="68"/>
      <c r="R174" s="68" t="s">
        <v>285</v>
      </c>
      <c r="S174" s="68"/>
      <c r="T174" s="68"/>
      <c r="U174" s="68"/>
      <c r="V174" s="68"/>
      <c r="W174" s="68"/>
      <c r="X174" s="68"/>
      <c r="Y174" s="68"/>
      <c r="Z174" s="68"/>
      <c r="AA174" s="92" t="s">
        <v>286</v>
      </c>
    </row>
    <row r="175" ht="14.25" hidden="1" customHeight="1" spans="1:27">
      <c r="A175" s="94"/>
      <c r="B175" s="73" t="s">
        <v>923</v>
      </c>
      <c r="C175" s="73">
        <v>2</v>
      </c>
      <c r="D175" s="73" t="s">
        <v>378</v>
      </c>
      <c r="E175" s="73" t="s">
        <v>205</v>
      </c>
      <c r="F175" s="73" t="s">
        <v>279</v>
      </c>
      <c r="G175" s="73" t="s">
        <v>341</v>
      </c>
      <c r="H175" s="73" t="s">
        <v>225</v>
      </c>
      <c r="I175" s="73" t="s">
        <v>226</v>
      </c>
      <c r="J175" s="73" t="s">
        <v>227</v>
      </c>
      <c r="K175" s="73" t="s">
        <v>924</v>
      </c>
      <c r="L175" s="73" t="s">
        <v>467</v>
      </c>
      <c r="M175" s="91" t="s">
        <v>925</v>
      </c>
      <c r="N175" s="73" t="s">
        <v>923</v>
      </c>
      <c r="O175" s="73" t="s">
        <v>926</v>
      </c>
      <c r="P175" s="73"/>
      <c r="Q175" s="73"/>
      <c r="R175" s="73"/>
      <c r="S175" s="73"/>
      <c r="T175" s="73"/>
      <c r="U175" s="73"/>
      <c r="V175" s="73"/>
      <c r="W175" s="73" t="s">
        <v>285</v>
      </c>
      <c r="X175" s="73"/>
      <c r="Y175" s="73"/>
      <c r="Z175" s="73"/>
      <c r="AA175" s="92" t="s">
        <v>286</v>
      </c>
    </row>
    <row r="176" ht="14.25" hidden="1" customHeight="1" spans="2:27">
      <c r="B176" s="67" t="s">
        <v>927</v>
      </c>
      <c r="C176" s="67">
        <v>2</v>
      </c>
      <c r="D176" s="67" t="s">
        <v>288</v>
      </c>
      <c r="E176" s="67" t="s">
        <v>205</v>
      </c>
      <c r="F176" s="67" t="s">
        <v>279</v>
      </c>
      <c r="G176" s="67" t="s">
        <v>289</v>
      </c>
      <c r="H176" s="67" t="s">
        <v>225</v>
      </c>
      <c r="I176" s="67" t="s">
        <v>226</v>
      </c>
      <c r="J176" s="67" t="s">
        <v>227</v>
      </c>
      <c r="K176" s="67" t="s">
        <v>928</v>
      </c>
      <c r="L176" s="67" t="s">
        <v>585</v>
      </c>
      <c r="M176" s="76" t="s">
        <v>929</v>
      </c>
      <c r="N176" s="67" t="s">
        <v>927</v>
      </c>
      <c r="O176" s="67" t="s">
        <v>930</v>
      </c>
      <c r="P176" s="67"/>
      <c r="Q176" s="67"/>
      <c r="R176" s="67" t="s">
        <v>285</v>
      </c>
      <c r="S176" s="67"/>
      <c r="T176" s="67" t="s">
        <v>285</v>
      </c>
      <c r="U176" s="67"/>
      <c r="V176" s="67"/>
      <c r="W176" s="67"/>
      <c r="X176" s="67"/>
      <c r="Y176" s="67"/>
      <c r="Z176" s="67"/>
      <c r="AA176" s="92" t="s">
        <v>286</v>
      </c>
    </row>
    <row r="177" ht="14.25" hidden="1" customHeight="1" spans="2:27">
      <c r="B177" s="73" t="s">
        <v>931</v>
      </c>
      <c r="C177" s="73">
        <v>2</v>
      </c>
      <c r="D177" s="73" t="s">
        <v>378</v>
      </c>
      <c r="E177" s="73" t="s">
        <v>205</v>
      </c>
      <c r="F177" s="73" t="s">
        <v>279</v>
      </c>
      <c r="G177" s="73" t="s">
        <v>280</v>
      </c>
      <c r="H177" s="73" t="s">
        <v>225</v>
      </c>
      <c r="I177" s="73" t="s">
        <v>226</v>
      </c>
      <c r="J177" s="73" t="s">
        <v>227</v>
      </c>
      <c r="K177" s="73" t="s">
        <v>932</v>
      </c>
      <c r="L177" s="73" t="s">
        <v>312</v>
      </c>
      <c r="M177" s="91" t="s">
        <v>933</v>
      </c>
      <c r="N177" s="73" t="s">
        <v>931</v>
      </c>
      <c r="O177" s="73" t="s">
        <v>934</v>
      </c>
      <c r="P177" s="73" t="s">
        <v>285</v>
      </c>
      <c r="Q177" s="73"/>
      <c r="R177" s="73"/>
      <c r="S177" s="73"/>
      <c r="T177" s="73"/>
      <c r="U177" s="73" t="s">
        <v>285</v>
      </c>
      <c r="V177" s="73"/>
      <c r="W177" s="73" t="s">
        <v>285</v>
      </c>
      <c r="X177" s="73"/>
      <c r="Y177" s="73"/>
      <c r="Z177" s="73"/>
      <c r="AA177" s="92" t="s">
        <v>286</v>
      </c>
    </row>
    <row r="178" ht="14.25" hidden="1" customHeight="1" spans="1:27">
      <c r="A178" s="94"/>
      <c r="B178" s="68" t="s">
        <v>935</v>
      </c>
      <c r="C178" s="68">
        <v>2</v>
      </c>
      <c r="D178" s="68" t="s">
        <v>294</v>
      </c>
      <c r="E178" s="68" t="s">
        <v>205</v>
      </c>
      <c r="F178" s="68" t="s">
        <v>397</v>
      </c>
      <c r="G178" s="68" t="s">
        <v>320</v>
      </c>
      <c r="H178" s="68" t="s">
        <v>225</v>
      </c>
      <c r="I178" s="68" t="s">
        <v>281</v>
      </c>
      <c r="J178" s="68" t="s">
        <v>281</v>
      </c>
      <c r="K178" s="68" t="s">
        <v>281</v>
      </c>
      <c r="L178" s="68" t="s">
        <v>282</v>
      </c>
      <c r="M178" s="77" t="s">
        <v>936</v>
      </c>
      <c r="N178" s="68" t="s">
        <v>935</v>
      </c>
      <c r="O178" s="68" t="s">
        <v>937</v>
      </c>
      <c r="P178" s="68"/>
      <c r="Q178" s="68" t="s">
        <v>285</v>
      </c>
      <c r="R178" s="68"/>
      <c r="S178" s="68"/>
      <c r="T178" s="68"/>
      <c r="U178" s="68"/>
      <c r="V178" s="68"/>
      <c r="W178" s="68"/>
      <c r="X178" s="68"/>
      <c r="Y178" s="68"/>
      <c r="Z178" s="68"/>
      <c r="AA178" s="92" t="s">
        <v>286</v>
      </c>
    </row>
    <row r="179" ht="14.25" hidden="1" customHeight="1" spans="1:27">
      <c r="A179" s="94"/>
      <c r="B179" s="67" t="s">
        <v>938</v>
      </c>
      <c r="C179" s="67">
        <v>2</v>
      </c>
      <c r="D179" s="67" t="s">
        <v>288</v>
      </c>
      <c r="E179" s="67" t="s">
        <v>205</v>
      </c>
      <c r="F179" s="67" t="s">
        <v>279</v>
      </c>
      <c r="G179" s="67" t="s">
        <v>341</v>
      </c>
      <c r="H179" s="67" t="s">
        <v>225</v>
      </c>
      <c r="I179" s="67" t="s">
        <v>226</v>
      </c>
      <c r="J179" s="67" t="s">
        <v>281</v>
      </c>
      <c r="K179" s="67" t="s">
        <v>281</v>
      </c>
      <c r="L179" s="67" t="s">
        <v>353</v>
      </c>
      <c r="M179" s="90" t="s">
        <v>939</v>
      </c>
      <c r="N179" s="67" t="s">
        <v>938</v>
      </c>
      <c r="O179" s="67" t="s">
        <v>940</v>
      </c>
      <c r="P179" s="67"/>
      <c r="Q179" s="67" t="s">
        <v>285</v>
      </c>
      <c r="R179" s="67" t="s">
        <v>285</v>
      </c>
      <c r="S179" s="67" t="s">
        <v>285</v>
      </c>
      <c r="T179" s="67" t="s">
        <v>285</v>
      </c>
      <c r="U179" s="67"/>
      <c r="V179" s="67"/>
      <c r="W179" s="67"/>
      <c r="X179" s="67" t="s">
        <v>285</v>
      </c>
      <c r="Y179" s="67"/>
      <c r="Z179" s="67"/>
      <c r="AA179" s="92" t="s">
        <v>286</v>
      </c>
    </row>
    <row r="180" ht="14.25" hidden="1" customHeight="1" spans="1:27">
      <c r="A180" s="94"/>
      <c r="B180" s="70" t="s">
        <v>941</v>
      </c>
      <c r="C180" s="70">
        <v>2</v>
      </c>
      <c r="D180" s="70" t="s">
        <v>306</v>
      </c>
      <c r="E180" s="70" t="s">
        <v>205</v>
      </c>
      <c r="F180" s="70" t="s">
        <v>279</v>
      </c>
      <c r="G180" s="70" t="s">
        <v>280</v>
      </c>
      <c r="H180" s="70" t="s">
        <v>225</v>
      </c>
      <c r="I180" s="70" t="s">
        <v>226</v>
      </c>
      <c r="J180" s="70" t="s">
        <v>281</v>
      </c>
      <c r="K180" s="70" t="s">
        <v>281</v>
      </c>
      <c r="L180" s="70" t="s">
        <v>282</v>
      </c>
      <c r="M180" s="84" t="s">
        <v>942</v>
      </c>
      <c r="N180" s="70" t="s">
        <v>941</v>
      </c>
      <c r="O180" s="70" t="s">
        <v>943</v>
      </c>
      <c r="P180" s="70" t="s">
        <v>285</v>
      </c>
      <c r="Q180" s="70"/>
      <c r="R180" s="70"/>
      <c r="S180" s="70"/>
      <c r="T180" s="70"/>
      <c r="U180" s="70" t="s">
        <v>285</v>
      </c>
      <c r="V180" s="70"/>
      <c r="W180" s="70" t="s">
        <v>285</v>
      </c>
      <c r="X180" s="70" t="s">
        <v>285</v>
      </c>
      <c r="Y180" s="70"/>
      <c r="Z180" s="70"/>
      <c r="AA180" s="92" t="s">
        <v>310</v>
      </c>
    </row>
    <row r="181" ht="14.25" customHeight="1" spans="1:27">
      <c r="A181" s="94"/>
      <c r="B181" s="69" t="s">
        <v>944</v>
      </c>
      <c r="C181" s="69">
        <v>2</v>
      </c>
      <c r="D181" s="69" t="s">
        <v>301</v>
      </c>
      <c r="E181" s="69" t="s">
        <v>205</v>
      </c>
      <c r="F181" s="69" t="s">
        <v>279</v>
      </c>
      <c r="G181" s="69" t="s">
        <v>280</v>
      </c>
      <c r="H181" s="69" t="s">
        <v>225</v>
      </c>
      <c r="I181" s="69" t="s">
        <v>226</v>
      </c>
      <c r="J181" s="69" t="s">
        <v>281</v>
      </c>
      <c r="K181" s="69" t="s">
        <v>281</v>
      </c>
      <c r="L181" s="69" t="s">
        <v>312</v>
      </c>
      <c r="M181" s="78" t="s">
        <v>945</v>
      </c>
      <c r="N181" s="69" t="s">
        <v>944</v>
      </c>
      <c r="O181" s="69" t="s">
        <v>946</v>
      </c>
      <c r="P181" s="69"/>
      <c r="Q181" s="69"/>
      <c r="R181" s="69"/>
      <c r="S181" s="69"/>
      <c r="T181" s="69"/>
      <c r="U181" s="69"/>
      <c r="V181" s="69" t="s">
        <v>285</v>
      </c>
      <c r="W181" s="69" t="s">
        <v>285</v>
      </c>
      <c r="X181" s="69"/>
      <c r="Y181" s="69"/>
      <c r="Z181" s="69"/>
      <c r="AA181" s="92" t="s">
        <v>286</v>
      </c>
    </row>
    <row r="182" ht="14.25" hidden="1" customHeight="1" spans="1:27">
      <c r="A182" s="94"/>
      <c r="B182" s="70" t="s">
        <v>947</v>
      </c>
      <c r="C182" s="70">
        <v>2</v>
      </c>
      <c r="D182" s="70" t="s">
        <v>306</v>
      </c>
      <c r="E182" s="70" t="s">
        <v>205</v>
      </c>
      <c r="F182" s="70" t="s">
        <v>279</v>
      </c>
      <c r="G182" s="70" t="s">
        <v>341</v>
      </c>
      <c r="H182" s="70" t="s">
        <v>225</v>
      </c>
      <c r="I182" s="70" t="s">
        <v>226</v>
      </c>
      <c r="J182" s="70" t="s">
        <v>227</v>
      </c>
      <c r="K182" s="70" t="s">
        <v>948</v>
      </c>
      <c r="L182" s="70" t="s">
        <v>353</v>
      </c>
      <c r="M182" s="84" t="s">
        <v>949</v>
      </c>
      <c r="N182" s="70" t="s">
        <v>947</v>
      </c>
      <c r="O182" s="70" t="s">
        <v>950</v>
      </c>
      <c r="P182" s="70"/>
      <c r="Q182" s="70"/>
      <c r="R182" s="70"/>
      <c r="S182" s="70"/>
      <c r="T182" s="70"/>
      <c r="U182" s="70"/>
      <c r="V182" s="70"/>
      <c r="W182" s="70" t="s">
        <v>285</v>
      </c>
      <c r="X182" s="70" t="s">
        <v>285</v>
      </c>
      <c r="Y182" s="70"/>
      <c r="Z182" s="70"/>
      <c r="AA182" s="92" t="s">
        <v>286</v>
      </c>
    </row>
    <row r="183" ht="14.25" hidden="1" customHeight="1" spans="2:27">
      <c r="B183" s="68" t="s">
        <v>951</v>
      </c>
      <c r="C183" s="68">
        <v>2</v>
      </c>
      <c r="D183" s="68" t="s">
        <v>294</v>
      </c>
      <c r="E183" s="68" t="s">
        <v>205</v>
      </c>
      <c r="F183" s="68" t="s">
        <v>279</v>
      </c>
      <c r="G183" s="68" t="s">
        <v>302</v>
      </c>
      <c r="H183" s="68" t="s">
        <v>225</v>
      </c>
      <c r="I183" s="68" t="s">
        <v>226</v>
      </c>
      <c r="J183" s="68" t="s">
        <v>281</v>
      </c>
      <c r="K183" s="68" t="s">
        <v>281</v>
      </c>
      <c r="L183" s="68" t="s">
        <v>282</v>
      </c>
      <c r="M183" s="77" t="s">
        <v>952</v>
      </c>
      <c r="N183" s="68" t="s">
        <v>951</v>
      </c>
      <c r="O183" s="68" t="s">
        <v>953</v>
      </c>
      <c r="P183" s="68"/>
      <c r="Q183" s="68"/>
      <c r="R183" s="68"/>
      <c r="S183" s="68"/>
      <c r="T183" s="68"/>
      <c r="U183" s="68" t="s">
        <v>285</v>
      </c>
      <c r="V183" s="68"/>
      <c r="W183" s="68" t="s">
        <v>285</v>
      </c>
      <c r="X183" s="68"/>
      <c r="Y183" s="68"/>
      <c r="Z183" s="68"/>
      <c r="AA183" s="92" t="s">
        <v>286</v>
      </c>
    </row>
    <row r="184" ht="14.25" hidden="1" customHeight="1" spans="2:27">
      <c r="B184" s="72" t="s">
        <v>954</v>
      </c>
      <c r="C184" s="72">
        <v>2</v>
      </c>
      <c r="D184" s="72" t="s">
        <v>340</v>
      </c>
      <c r="E184" s="72" t="s">
        <v>205</v>
      </c>
      <c r="F184" s="72" t="s">
        <v>279</v>
      </c>
      <c r="G184" s="72" t="s">
        <v>289</v>
      </c>
      <c r="H184" s="72" t="s">
        <v>225</v>
      </c>
      <c r="I184" s="72" t="s">
        <v>226</v>
      </c>
      <c r="J184" s="72" t="s">
        <v>227</v>
      </c>
      <c r="K184" s="72" t="s">
        <v>955</v>
      </c>
      <c r="L184" s="72" t="s">
        <v>353</v>
      </c>
      <c r="M184" s="83" t="s">
        <v>956</v>
      </c>
      <c r="N184" s="72" t="s">
        <v>954</v>
      </c>
      <c r="O184" s="72" t="s">
        <v>957</v>
      </c>
      <c r="P184" s="72" t="s">
        <v>285</v>
      </c>
      <c r="Q184" s="72"/>
      <c r="R184" s="72"/>
      <c r="S184" s="72"/>
      <c r="T184" s="72"/>
      <c r="U184" s="72" t="s">
        <v>285</v>
      </c>
      <c r="V184" s="72"/>
      <c r="W184" s="72" t="s">
        <v>285</v>
      </c>
      <c r="X184" s="72" t="s">
        <v>285</v>
      </c>
      <c r="Y184" s="72"/>
      <c r="Z184" s="72"/>
      <c r="AA184" s="92" t="s">
        <v>286</v>
      </c>
    </row>
    <row r="185" ht="14.25" hidden="1" customHeight="1" spans="1:27">
      <c r="A185" s="94"/>
      <c r="B185" s="73" t="s">
        <v>958</v>
      </c>
      <c r="C185" s="73">
        <v>2</v>
      </c>
      <c r="D185" s="73" t="s">
        <v>378</v>
      </c>
      <c r="E185" s="73" t="s">
        <v>205</v>
      </c>
      <c r="F185" s="73" t="s">
        <v>364</v>
      </c>
      <c r="G185" s="73" t="s">
        <v>289</v>
      </c>
      <c r="H185" s="73" t="s">
        <v>225</v>
      </c>
      <c r="I185" s="73" t="s">
        <v>226</v>
      </c>
      <c r="J185" s="73" t="s">
        <v>281</v>
      </c>
      <c r="K185" s="73" t="s">
        <v>281</v>
      </c>
      <c r="L185" s="73" t="s">
        <v>312</v>
      </c>
      <c r="M185" s="86" t="s">
        <v>959</v>
      </c>
      <c r="N185" s="73" t="s">
        <v>958</v>
      </c>
      <c r="O185" s="73" t="s">
        <v>960</v>
      </c>
      <c r="P185" s="73"/>
      <c r="Q185" s="73"/>
      <c r="R185" s="73"/>
      <c r="S185" s="73"/>
      <c r="T185" s="73"/>
      <c r="U185" s="73" t="s">
        <v>285</v>
      </c>
      <c r="V185" s="73" t="s">
        <v>285</v>
      </c>
      <c r="W185" s="73" t="s">
        <v>285</v>
      </c>
      <c r="X185" s="73"/>
      <c r="Y185" s="73"/>
      <c r="Z185" s="73"/>
      <c r="AA185" s="92" t="s">
        <v>310</v>
      </c>
    </row>
    <row r="186" ht="14.25" customHeight="1" spans="2:27">
      <c r="B186" s="68" t="s">
        <v>961</v>
      </c>
      <c r="C186" s="68">
        <v>2</v>
      </c>
      <c r="D186" s="68" t="s">
        <v>294</v>
      </c>
      <c r="E186" s="68" t="s">
        <v>205</v>
      </c>
      <c r="F186" s="68" t="s">
        <v>279</v>
      </c>
      <c r="G186" s="68" t="s">
        <v>280</v>
      </c>
      <c r="H186" s="68" t="s">
        <v>225</v>
      </c>
      <c r="I186" s="68" t="s">
        <v>226</v>
      </c>
      <c r="J186" s="68" t="s">
        <v>227</v>
      </c>
      <c r="K186" s="68" t="s">
        <v>962</v>
      </c>
      <c r="L186" s="68" t="s">
        <v>282</v>
      </c>
      <c r="M186" s="82" t="s">
        <v>963</v>
      </c>
      <c r="N186" s="68" t="s">
        <v>961</v>
      </c>
      <c r="O186" s="68" t="s">
        <v>964</v>
      </c>
      <c r="P186" s="68" t="s">
        <v>285</v>
      </c>
      <c r="Q186" s="68"/>
      <c r="R186" s="68"/>
      <c r="S186" s="68"/>
      <c r="T186" s="68"/>
      <c r="U186" s="68" t="s">
        <v>285</v>
      </c>
      <c r="V186" s="68" t="s">
        <v>285</v>
      </c>
      <c r="W186" s="68" t="s">
        <v>285</v>
      </c>
      <c r="X186" s="68"/>
      <c r="Y186" s="68"/>
      <c r="Z186" s="68"/>
      <c r="AA186" s="92" t="s">
        <v>286</v>
      </c>
    </row>
    <row r="187" ht="14.25" hidden="1" customHeight="1" spans="2:27">
      <c r="B187" s="73" t="s">
        <v>965</v>
      </c>
      <c r="C187" s="73">
        <v>2</v>
      </c>
      <c r="D187" s="73" t="s">
        <v>378</v>
      </c>
      <c r="E187" s="73" t="s">
        <v>285</v>
      </c>
      <c r="F187" s="73" t="s">
        <v>279</v>
      </c>
      <c r="G187" s="73" t="s">
        <v>302</v>
      </c>
      <c r="H187" s="73" t="s">
        <v>225</v>
      </c>
      <c r="I187" s="73" t="s">
        <v>226</v>
      </c>
      <c r="J187" s="73" t="s">
        <v>281</v>
      </c>
      <c r="K187" s="73" t="s">
        <v>281</v>
      </c>
      <c r="L187" s="73" t="s">
        <v>484</v>
      </c>
      <c r="M187" s="86" t="s">
        <v>966</v>
      </c>
      <c r="N187" s="73" t="s">
        <v>965</v>
      </c>
      <c r="O187" s="73" t="s">
        <v>967</v>
      </c>
      <c r="P187" s="73" t="s">
        <v>285</v>
      </c>
      <c r="Q187" s="73" t="s">
        <v>285</v>
      </c>
      <c r="R187" s="73"/>
      <c r="S187" s="73"/>
      <c r="T187" s="73" t="s">
        <v>285</v>
      </c>
      <c r="U187" s="73"/>
      <c r="V187" s="73"/>
      <c r="W187" s="73"/>
      <c r="X187" s="73"/>
      <c r="Y187" s="73"/>
      <c r="Z187" s="73"/>
      <c r="AA187" s="92" t="s">
        <v>286</v>
      </c>
    </row>
    <row r="188" ht="14.25" hidden="1" customHeight="1" spans="1:27">
      <c r="A188" s="94"/>
      <c r="B188" s="70" t="s">
        <v>968</v>
      </c>
      <c r="C188" s="70">
        <v>2</v>
      </c>
      <c r="D188" s="70" t="s">
        <v>306</v>
      </c>
      <c r="E188" s="70" t="s">
        <v>285</v>
      </c>
      <c r="F188" s="70" t="s">
        <v>279</v>
      </c>
      <c r="G188" s="70" t="s">
        <v>969</v>
      </c>
      <c r="H188" s="70" t="s">
        <v>225</v>
      </c>
      <c r="I188" s="70" t="s">
        <v>226</v>
      </c>
      <c r="J188" s="70" t="s">
        <v>281</v>
      </c>
      <c r="K188" s="70" t="s">
        <v>281</v>
      </c>
      <c r="L188" s="70" t="s">
        <v>585</v>
      </c>
      <c r="M188" s="79" t="s">
        <v>970</v>
      </c>
      <c r="N188" s="70" t="s">
        <v>968</v>
      </c>
      <c r="O188" s="70" t="s">
        <v>971</v>
      </c>
      <c r="P188" s="70" t="s">
        <v>285</v>
      </c>
      <c r="Q188" s="70"/>
      <c r="R188" s="70" t="s">
        <v>285</v>
      </c>
      <c r="S188" s="70"/>
      <c r="T188" s="70"/>
      <c r="U188" s="70"/>
      <c r="V188" s="70"/>
      <c r="W188" s="70" t="s">
        <v>285</v>
      </c>
      <c r="X188" s="70" t="s">
        <v>285</v>
      </c>
      <c r="Y188" s="70"/>
      <c r="Z188" s="70"/>
      <c r="AA188" s="92" t="s">
        <v>310</v>
      </c>
    </row>
    <row r="189" ht="14.25" hidden="1" customHeight="1" spans="1:27">
      <c r="A189" s="94"/>
      <c r="B189" s="68" t="s">
        <v>972</v>
      </c>
      <c r="C189" s="68">
        <v>2</v>
      </c>
      <c r="D189" s="68" t="s">
        <v>294</v>
      </c>
      <c r="E189" s="68" t="s">
        <v>205</v>
      </c>
      <c r="F189" s="68" t="s">
        <v>279</v>
      </c>
      <c r="G189" s="68" t="s">
        <v>512</v>
      </c>
      <c r="H189" s="68" t="s">
        <v>225</v>
      </c>
      <c r="I189" s="68" t="s">
        <v>226</v>
      </c>
      <c r="J189" s="68" t="s">
        <v>227</v>
      </c>
      <c r="K189" s="68" t="s">
        <v>973</v>
      </c>
      <c r="L189" s="68" t="s">
        <v>282</v>
      </c>
      <c r="M189" s="82" t="s">
        <v>974</v>
      </c>
      <c r="N189" s="68" t="s">
        <v>972</v>
      </c>
      <c r="O189" s="68" t="s">
        <v>975</v>
      </c>
      <c r="P189" s="68"/>
      <c r="Q189" s="68"/>
      <c r="R189" s="68"/>
      <c r="S189" s="68"/>
      <c r="T189" s="68"/>
      <c r="U189" s="68" t="s">
        <v>285</v>
      </c>
      <c r="V189" s="68"/>
      <c r="W189" s="68" t="s">
        <v>285</v>
      </c>
      <c r="X189" s="68"/>
      <c r="Y189" s="68"/>
      <c r="Z189" s="68"/>
      <c r="AA189" s="92" t="s">
        <v>310</v>
      </c>
    </row>
    <row r="190" ht="14.25" customHeight="1" spans="1:27">
      <c r="A190" s="94"/>
      <c r="B190" s="70" t="s">
        <v>976</v>
      </c>
      <c r="C190" s="70">
        <v>2</v>
      </c>
      <c r="D190" s="70" t="s">
        <v>306</v>
      </c>
      <c r="E190" s="70" t="s">
        <v>205</v>
      </c>
      <c r="F190" s="70" t="s">
        <v>279</v>
      </c>
      <c r="G190" s="70" t="s">
        <v>341</v>
      </c>
      <c r="H190" s="70" t="s">
        <v>225</v>
      </c>
      <c r="I190" s="70" t="s">
        <v>226</v>
      </c>
      <c r="J190" s="70" t="s">
        <v>227</v>
      </c>
      <c r="K190" s="70" t="s">
        <v>977</v>
      </c>
      <c r="L190" s="70" t="s">
        <v>484</v>
      </c>
      <c r="M190" s="79" t="s">
        <v>978</v>
      </c>
      <c r="N190" s="70" t="s">
        <v>976</v>
      </c>
      <c r="O190" s="70" t="s">
        <v>979</v>
      </c>
      <c r="P190" s="70"/>
      <c r="Q190" s="70"/>
      <c r="R190" s="70"/>
      <c r="S190" s="70"/>
      <c r="T190" s="70"/>
      <c r="U190" s="70" t="s">
        <v>285</v>
      </c>
      <c r="V190" s="70" t="s">
        <v>285</v>
      </c>
      <c r="W190" s="70" t="s">
        <v>285</v>
      </c>
      <c r="X190" s="70" t="s">
        <v>285</v>
      </c>
      <c r="Y190" s="70"/>
      <c r="Z190" s="70"/>
      <c r="AA190" s="92" t="s">
        <v>286</v>
      </c>
    </row>
    <row r="191" ht="14.25" hidden="1" customHeight="1" spans="2:27">
      <c r="B191" s="70" t="s">
        <v>980</v>
      </c>
      <c r="C191" s="70">
        <v>2</v>
      </c>
      <c r="D191" s="70" t="s">
        <v>306</v>
      </c>
      <c r="E191" s="70" t="s">
        <v>205</v>
      </c>
      <c r="F191" s="70" t="s">
        <v>279</v>
      </c>
      <c r="G191" s="70" t="s">
        <v>341</v>
      </c>
      <c r="H191" s="70" t="s">
        <v>225</v>
      </c>
      <c r="I191" s="70" t="s">
        <v>226</v>
      </c>
      <c r="J191" s="70" t="s">
        <v>227</v>
      </c>
      <c r="K191" s="70" t="s">
        <v>981</v>
      </c>
      <c r="L191" s="70" t="s">
        <v>484</v>
      </c>
      <c r="M191" s="79" t="s">
        <v>982</v>
      </c>
      <c r="N191" s="70" t="s">
        <v>980</v>
      </c>
      <c r="O191" s="70" t="s">
        <v>983</v>
      </c>
      <c r="P191" s="70"/>
      <c r="Q191" s="70"/>
      <c r="R191" s="70" t="s">
        <v>285</v>
      </c>
      <c r="S191" s="70"/>
      <c r="T191" s="70" t="s">
        <v>285</v>
      </c>
      <c r="U191" s="70"/>
      <c r="V191" s="70"/>
      <c r="W191" s="70"/>
      <c r="X191" s="70"/>
      <c r="Y191" s="70"/>
      <c r="Z191" s="70"/>
      <c r="AA191" s="92" t="s">
        <v>286</v>
      </c>
    </row>
    <row r="192" ht="14.25" hidden="1" customHeight="1" spans="2:27">
      <c r="B192" s="68" t="s">
        <v>984</v>
      </c>
      <c r="C192" s="68">
        <v>2</v>
      </c>
      <c r="D192" s="68" t="s">
        <v>294</v>
      </c>
      <c r="E192" s="68" t="s">
        <v>205</v>
      </c>
      <c r="F192" s="68" t="s">
        <v>364</v>
      </c>
      <c r="G192" s="68" t="s">
        <v>280</v>
      </c>
      <c r="H192" s="68" t="s">
        <v>225</v>
      </c>
      <c r="I192" s="68" t="s">
        <v>226</v>
      </c>
      <c r="J192" s="68" t="s">
        <v>281</v>
      </c>
      <c r="K192" s="68" t="s">
        <v>281</v>
      </c>
      <c r="L192" s="68" t="s">
        <v>360</v>
      </c>
      <c r="M192" s="82" t="s">
        <v>985</v>
      </c>
      <c r="N192" s="68" t="s">
        <v>984</v>
      </c>
      <c r="O192" s="68" t="s">
        <v>986</v>
      </c>
      <c r="P192" s="68"/>
      <c r="Q192" s="68" t="s">
        <v>285</v>
      </c>
      <c r="R192" s="68"/>
      <c r="S192" s="68"/>
      <c r="T192" s="68"/>
      <c r="U192" s="68"/>
      <c r="V192" s="68"/>
      <c r="W192" s="68"/>
      <c r="X192" s="68"/>
      <c r="Y192" s="68"/>
      <c r="Z192" s="68"/>
      <c r="AA192" s="92" t="s">
        <v>286</v>
      </c>
    </row>
    <row r="193" ht="14.25" customHeight="1" spans="2:27">
      <c r="B193" s="71" t="s">
        <v>238</v>
      </c>
      <c r="C193" s="71">
        <v>2</v>
      </c>
      <c r="D193" s="71" t="s">
        <v>329</v>
      </c>
      <c r="E193" s="71" t="s">
        <v>205</v>
      </c>
      <c r="F193" s="71" t="s">
        <v>279</v>
      </c>
      <c r="G193" s="71" t="s">
        <v>320</v>
      </c>
      <c r="H193" s="71" t="s">
        <v>225</v>
      </c>
      <c r="I193" s="71" t="s">
        <v>281</v>
      </c>
      <c r="J193" s="71" t="s">
        <v>227</v>
      </c>
      <c r="K193" s="71" t="s">
        <v>987</v>
      </c>
      <c r="L193" s="71" t="s">
        <v>988</v>
      </c>
      <c r="M193" s="89" t="s">
        <v>989</v>
      </c>
      <c r="N193" s="71" t="s">
        <v>238</v>
      </c>
      <c r="O193" s="71" t="s">
        <v>990</v>
      </c>
      <c r="P193" s="71" t="s">
        <v>285</v>
      </c>
      <c r="Q193" s="71"/>
      <c r="R193" s="71"/>
      <c r="S193" s="71"/>
      <c r="T193" s="71"/>
      <c r="U193" s="71" t="s">
        <v>285</v>
      </c>
      <c r="V193" s="71" t="s">
        <v>285</v>
      </c>
      <c r="W193" s="71" t="s">
        <v>285</v>
      </c>
      <c r="X193" s="71"/>
      <c r="Y193" s="71"/>
      <c r="Z193" s="71"/>
      <c r="AA193" s="92" t="s">
        <v>286</v>
      </c>
    </row>
    <row r="194" ht="14.25" hidden="1" customHeight="1" spans="1:27">
      <c r="A194" s="94"/>
      <c r="B194" s="66" t="s">
        <v>991</v>
      </c>
      <c r="C194" s="66">
        <v>2</v>
      </c>
      <c r="D194" s="66" t="s">
        <v>278</v>
      </c>
      <c r="E194" s="66" t="s">
        <v>205</v>
      </c>
      <c r="F194" s="66" t="s">
        <v>279</v>
      </c>
      <c r="G194" s="66" t="s">
        <v>512</v>
      </c>
      <c r="H194" s="66" t="s">
        <v>225</v>
      </c>
      <c r="I194" s="66" t="s">
        <v>226</v>
      </c>
      <c r="J194" s="66" t="s">
        <v>227</v>
      </c>
      <c r="K194" s="66" t="s">
        <v>992</v>
      </c>
      <c r="L194" s="66" t="s">
        <v>585</v>
      </c>
      <c r="M194" s="107" t="s">
        <v>993</v>
      </c>
      <c r="N194" s="66" t="s">
        <v>991</v>
      </c>
      <c r="O194" s="66" t="s">
        <v>994</v>
      </c>
      <c r="P194" s="66"/>
      <c r="Q194" s="66"/>
      <c r="R194" s="66" t="s">
        <v>285</v>
      </c>
      <c r="S194" s="66"/>
      <c r="T194" s="66" t="s">
        <v>285</v>
      </c>
      <c r="U194" s="66"/>
      <c r="V194" s="66"/>
      <c r="W194" s="66"/>
      <c r="X194" s="66"/>
      <c r="Y194" s="114"/>
      <c r="Z194" s="114"/>
      <c r="AA194" s="92" t="s">
        <v>377</v>
      </c>
    </row>
    <row r="195" ht="14.25" hidden="1" customHeight="1" spans="1:27">
      <c r="A195" s="94"/>
      <c r="B195" s="71" t="s">
        <v>995</v>
      </c>
      <c r="C195" s="71">
        <v>2</v>
      </c>
      <c r="D195" s="71" t="s">
        <v>329</v>
      </c>
      <c r="E195" s="71" t="s">
        <v>205</v>
      </c>
      <c r="F195" s="71" t="s">
        <v>279</v>
      </c>
      <c r="G195" s="71" t="s">
        <v>512</v>
      </c>
      <c r="H195" s="71" t="s">
        <v>225</v>
      </c>
      <c r="I195" s="71" t="s">
        <v>281</v>
      </c>
      <c r="J195" s="71" t="s">
        <v>281</v>
      </c>
      <c r="K195" s="71" t="s">
        <v>281</v>
      </c>
      <c r="L195" s="71" t="s">
        <v>290</v>
      </c>
      <c r="M195" s="108" t="s">
        <v>996</v>
      </c>
      <c r="N195" s="71" t="s">
        <v>995</v>
      </c>
      <c r="O195" s="71" t="s">
        <v>997</v>
      </c>
      <c r="P195" s="71"/>
      <c r="Q195" s="71"/>
      <c r="R195" s="71"/>
      <c r="S195" s="71"/>
      <c r="T195" s="71"/>
      <c r="U195" s="71" t="s">
        <v>285</v>
      </c>
      <c r="V195" s="71"/>
      <c r="W195" s="71" t="s">
        <v>285</v>
      </c>
      <c r="X195" s="71"/>
      <c r="Y195" s="93"/>
      <c r="Z195" s="93"/>
      <c r="AA195" s="92" t="s">
        <v>377</v>
      </c>
    </row>
    <row r="196" ht="14.25" hidden="1" customHeight="1" spans="2:27">
      <c r="B196" s="67" t="s">
        <v>998</v>
      </c>
      <c r="C196" s="67">
        <v>2</v>
      </c>
      <c r="D196" s="67" t="s">
        <v>288</v>
      </c>
      <c r="E196" s="67" t="s">
        <v>205</v>
      </c>
      <c r="F196" s="67" t="s">
        <v>279</v>
      </c>
      <c r="G196" s="67" t="s">
        <v>341</v>
      </c>
      <c r="H196" s="67" t="s">
        <v>225</v>
      </c>
      <c r="I196" s="67" t="s">
        <v>226</v>
      </c>
      <c r="J196" s="67" t="s">
        <v>227</v>
      </c>
      <c r="K196" s="67" t="s">
        <v>999</v>
      </c>
      <c r="L196" s="67" t="s">
        <v>353</v>
      </c>
      <c r="M196" s="76" t="s">
        <v>1000</v>
      </c>
      <c r="N196" s="67" t="s">
        <v>998</v>
      </c>
      <c r="O196" s="67" t="s">
        <v>1001</v>
      </c>
      <c r="P196" s="67"/>
      <c r="Q196" s="67" t="s">
        <v>285</v>
      </c>
      <c r="R196" s="67"/>
      <c r="S196" s="67"/>
      <c r="T196" s="67"/>
      <c r="U196" s="67"/>
      <c r="V196" s="67"/>
      <c r="W196" s="67"/>
      <c r="X196" s="67"/>
      <c r="Y196" s="67"/>
      <c r="Z196" s="67"/>
      <c r="AA196" s="92" t="s">
        <v>286</v>
      </c>
    </row>
    <row r="197" ht="14.25" hidden="1" customHeight="1" spans="1:27">
      <c r="A197" s="94"/>
      <c r="B197" s="68" t="s">
        <v>1002</v>
      </c>
      <c r="C197" s="68">
        <v>2</v>
      </c>
      <c r="D197" s="68" t="s">
        <v>294</v>
      </c>
      <c r="E197" s="68" t="s">
        <v>205</v>
      </c>
      <c r="F197" s="68" t="s">
        <v>279</v>
      </c>
      <c r="G197" s="68" t="s">
        <v>289</v>
      </c>
      <c r="H197" s="68" t="s">
        <v>225</v>
      </c>
      <c r="I197" s="68" t="s">
        <v>281</v>
      </c>
      <c r="J197" s="68" t="s">
        <v>281</v>
      </c>
      <c r="K197" s="68" t="s">
        <v>281</v>
      </c>
      <c r="L197" s="68" t="s">
        <v>484</v>
      </c>
      <c r="M197" s="82" t="s">
        <v>1003</v>
      </c>
      <c r="N197" s="68" t="s">
        <v>1002</v>
      </c>
      <c r="O197" s="68" t="s">
        <v>1004</v>
      </c>
      <c r="P197" s="68" t="s">
        <v>285</v>
      </c>
      <c r="Q197" s="68"/>
      <c r="R197" s="68" t="s">
        <v>285</v>
      </c>
      <c r="S197" s="68"/>
      <c r="T197" s="68"/>
      <c r="U197" s="68" t="s">
        <v>285</v>
      </c>
      <c r="V197" s="68"/>
      <c r="W197" s="68" t="s">
        <v>285</v>
      </c>
      <c r="X197" s="68"/>
      <c r="Y197" s="68"/>
      <c r="Z197" s="68"/>
      <c r="AA197" s="92" t="s">
        <v>310</v>
      </c>
    </row>
    <row r="198" ht="14.25" hidden="1" customHeight="1" spans="1:27">
      <c r="A198" s="94"/>
      <c r="B198" s="66" t="s">
        <v>1005</v>
      </c>
      <c r="C198" s="66">
        <v>2</v>
      </c>
      <c r="D198" s="66" t="s">
        <v>278</v>
      </c>
      <c r="E198" s="66" t="s">
        <v>205</v>
      </c>
      <c r="F198" s="66" t="s">
        <v>279</v>
      </c>
      <c r="G198" s="66" t="s">
        <v>280</v>
      </c>
      <c r="H198" s="66" t="s">
        <v>225</v>
      </c>
      <c r="I198" s="66" t="s">
        <v>226</v>
      </c>
      <c r="J198" s="66" t="s">
        <v>227</v>
      </c>
      <c r="K198" s="66" t="s">
        <v>1006</v>
      </c>
      <c r="L198" s="66" t="s">
        <v>585</v>
      </c>
      <c r="M198" s="80" t="s">
        <v>1007</v>
      </c>
      <c r="N198" s="66" t="s">
        <v>1005</v>
      </c>
      <c r="O198" s="66" t="s">
        <v>1008</v>
      </c>
      <c r="P198" s="66"/>
      <c r="Q198" s="66"/>
      <c r="R198" s="66"/>
      <c r="S198" s="66"/>
      <c r="T198" s="66"/>
      <c r="U198" s="66" t="s">
        <v>285</v>
      </c>
      <c r="V198" s="66"/>
      <c r="W198" s="66" t="s">
        <v>285</v>
      </c>
      <c r="X198" s="66" t="s">
        <v>285</v>
      </c>
      <c r="Y198" s="66"/>
      <c r="Z198" s="66"/>
      <c r="AA198" s="92" t="s">
        <v>286</v>
      </c>
    </row>
    <row r="199" ht="14.25" hidden="1" customHeight="1" spans="1:27">
      <c r="A199" s="94"/>
      <c r="B199" s="66" t="s">
        <v>1009</v>
      </c>
      <c r="C199" s="66">
        <v>2</v>
      </c>
      <c r="D199" s="66" t="s">
        <v>278</v>
      </c>
      <c r="E199" s="66" t="s">
        <v>285</v>
      </c>
      <c r="F199" s="66" t="s">
        <v>279</v>
      </c>
      <c r="G199" s="66" t="s">
        <v>289</v>
      </c>
      <c r="H199" s="66" t="s">
        <v>281</v>
      </c>
      <c r="I199" s="66" t="s">
        <v>226</v>
      </c>
      <c r="J199" s="66" t="s">
        <v>281</v>
      </c>
      <c r="K199" s="66" t="s">
        <v>281</v>
      </c>
      <c r="L199" s="66" t="s">
        <v>585</v>
      </c>
      <c r="M199" s="107" t="s">
        <v>1010</v>
      </c>
      <c r="N199" s="66" t="s">
        <v>1009</v>
      </c>
      <c r="O199" s="66" t="s">
        <v>1011</v>
      </c>
      <c r="P199" s="66"/>
      <c r="Q199" s="66"/>
      <c r="R199" s="66"/>
      <c r="S199" s="66"/>
      <c r="T199" s="66"/>
      <c r="U199" s="66"/>
      <c r="V199" s="66"/>
      <c r="W199" s="66"/>
      <c r="X199" s="66"/>
      <c r="Y199" s="66" t="s">
        <v>285</v>
      </c>
      <c r="Z199" s="66" t="s">
        <v>285</v>
      </c>
      <c r="AA199" s="92" t="s">
        <v>413</v>
      </c>
    </row>
    <row r="200" ht="14.25" hidden="1" customHeight="1" spans="1:27">
      <c r="A200" s="94"/>
      <c r="B200" s="71" t="s">
        <v>1012</v>
      </c>
      <c r="C200" s="71">
        <v>2</v>
      </c>
      <c r="D200" s="71" t="s">
        <v>329</v>
      </c>
      <c r="E200" s="71" t="s">
        <v>205</v>
      </c>
      <c r="F200" s="71" t="s">
        <v>279</v>
      </c>
      <c r="G200" s="71" t="s">
        <v>280</v>
      </c>
      <c r="H200" s="71" t="s">
        <v>225</v>
      </c>
      <c r="I200" s="71" t="s">
        <v>226</v>
      </c>
      <c r="J200" s="71" t="s">
        <v>281</v>
      </c>
      <c r="K200" s="71" t="s">
        <v>281</v>
      </c>
      <c r="L200" s="71" t="s">
        <v>397</v>
      </c>
      <c r="M200" s="81" t="s">
        <v>1013</v>
      </c>
      <c r="N200" s="71" t="s">
        <v>1012</v>
      </c>
      <c r="O200" s="71" t="s">
        <v>1014</v>
      </c>
      <c r="P200" s="71" t="s">
        <v>285</v>
      </c>
      <c r="Q200" s="71" t="s">
        <v>285</v>
      </c>
      <c r="R200" s="71"/>
      <c r="S200" s="71" t="s">
        <v>285</v>
      </c>
      <c r="T200" s="71"/>
      <c r="U200" s="71"/>
      <c r="V200" s="71"/>
      <c r="W200" s="71"/>
      <c r="X200" s="71"/>
      <c r="Y200" s="71"/>
      <c r="Z200" s="71"/>
      <c r="AA200" s="92" t="s">
        <v>286</v>
      </c>
    </row>
    <row r="201" ht="14.25" hidden="1" customHeight="1" spans="2:27">
      <c r="B201" s="71" t="s">
        <v>1015</v>
      </c>
      <c r="C201" s="71">
        <v>2</v>
      </c>
      <c r="D201" s="71" t="s">
        <v>329</v>
      </c>
      <c r="E201" s="71" t="s">
        <v>205</v>
      </c>
      <c r="F201" s="71" t="s">
        <v>1016</v>
      </c>
      <c r="G201" s="71" t="s">
        <v>289</v>
      </c>
      <c r="H201" s="71" t="s">
        <v>225</v>
      </c>
      <c r="I201" s="71" t="s">
        <v>226</v>
      </c>
      <c r="J201" s="71" t="s">
        <v>281</v>
      </c>
      <c r="K201" s="71" t="s">
        <v>281</v>
      </c>
      <c r="L201" s="102" t="s">
        <v>282</v>
      </c>
      <c r="M201" s="85" t="s">
        <v>1017</v>
      </c>
      <c r="N201" s="71" t="s">
        <v>1015</v>
      </c>
      <c r="O201" s="71" t="s">
        <v>1018</v>
      </c>
      <c r="P201" s="71" t="s">
        <v>285</v>
      </c>
      <c r="Q201" s="71"/>
      <c r="R201" s="71"/>
      <c r="S201" s="71"/>
      <c r="T201" s="71"/>
      <c r="U201" s="71"/>
      <c r="V201" s="71"/>
      <c r="W201" s="71" t="s">
        <v>285</v>
      </c>
      <c r="X201" s="71"/>
      <c r="Y201" s="93"/>
      <c r="Z201" s="93"/>
      <c r="AA201" s="105" t="s">
        <v>732</v>
      </c>
    </row>
    <row r="202" ht="14.25" hidden="1" customHeight="1" spans="2:27">
      <c r="B202" s="71" t="s">
        <v>1019</v>
      </c>
      <c r="C202" s="71">
        <v>2</v>
      </c>
      <c r="D202" s="71" t="s">
        <v>329</v>
      </c>
      <c r="E202" s="71" t="s">
        <v>205</v>
      </c>
      <c r="F202" s="71" t="s">
        <v>279</v>
      </c>
      <c r="G202" s="71" t="s">
        <v>280</v>
      </c>
      <c r="H202" s="71" t="s">
        <v>281</v>
      </c>
      <c r="I202" s="71" t="s">
        <v>226</v>
      </c>
      <c r="J202" s="71" t="s">
        <v>227</v>
      </c>
      <c r="K202" s="71" t="s">
        <v>1020</v>
      </c>
      <c r="L202" s="102" t="s">
        <v>360</v>
      </c>
      <c r="M202" s="85" t="s">
        <v>1021</v>
      </c>
      <c r="N202" s="71" t="s">
        <v>1019</v>
      </c>
      <c r="O202" s="71" t="s">
        <v>1022</v>
      </c>
      <c r="P202" s="71"/>
      <c r="Q202" s="71"/>
      <c r="R202" s="71"/>
      <c r="S202" s="71"/>
      <c r="T202" s="71"/>
      <c r="U202" s="71"/>
      <c r="V202" s="71"/>
      <c r="W202" s="71" t="s">
        <v>285</v>
      </c>
      <c r="X202" s="71"/>
      <c r="Y202" s="93"/>
      <c r="Z202" s="93"/>
      <c r="AA202" s="105" t="s">
        <v>732</v>
      </c>
    </row>
    <row r="203" ht="14.25" hidden="1" customHeight="1" spans="2:27">
      <c r="B203" s="73" t="s">
        <v>1023</v>
      </c>
      <c r="C203" s="73">
        <v>2</v>
      </c>
      <c r="D203" s="73" t="s">
        <v>378</v>
      </c>
      <c r="E203" s="73" t="s">
        <v>205</v>
      </c>
      <c r="F203" s="73" t="s">
        <v>279</v>
      </c>
      <c r="G203" s="73" t="s">
        <v>280</v>
      </c>
      <c r="H203" s="73" t="s">
        <v>225</v>
      </c>
      <c r="I203" s="73" t="s">
        <v>226</v>
      </c>
      <c r="J203" s="73" t="s">
        <v>227</v>
      </c>
      <c r="K203" s="73" t="s">
        <v>1024</v>
      </c>
      <c r="L203" s="99" t="s">
        <v>312</v>
      </c>
      <c r="M203" s="100" t="s">
        <v>1025</v>
      </c>
      <c r="N203" s="73" t="s">
        <v>1023</v>
      </c>
      <c r="O203" s="73" t="s">
        <v>1026</v>
      </c>
      <c r="P203" s="73" t="s">
        <v>285</v>
      </c>
      <c r="Q203" s="73"/>
      <c r="R203" s="73"/>
      <c r="S203" s="73"/>
      <c r="T203" s="73"/>
      <c r="U203" s="73" t="s">
        <v>285</v>
      </c>
      <c r="V203" s="73"/>
      <c r="W203" s="73" t="s">
        <v>285</v>
      </c>
      <c r="X203" s="73"/>
      <c r="Y203" s="104"/>
      <c r="Z203" s="104"/>
      <c r="AA203" s="105" t="s">
        <v>1027</v>
      </c>
    </row>
    <row r="204" ht="14.25" hidden="1" customHeight="1" spans="2:27">
      <c r="B204" s="68" t="s">
        <v>1028</v>
      </c>
      <c r="C204" s="68">
        <v>2</v>
      </c>
      <c r="D204" s="68" t="s">
        <v>294</v>
      </c>
      <c r="E204" s="68" t="s">
        <v>205</v>
      </c>
      <c r="F204" s="68" t="s">
        <v>279</v>
      </c>
      <c r="G204" s="68" t="s">
        <v>1029</v>
      </c>
      <c r="H204" s="68" t="s">
        <v>281</v>
      </c>
      <c r="I204" s="68" t="s">
        <v>226</v>
      </c>
      <c r="J204" s="68" t="s">
        <v>227</v>
      </c>
      <c r="K204" s="68" t="s">
        <v>1030</v>
      </c>
      <c r="L204" s="101" t="s">
        <v>282</v>
      </c>
      <c r="M204" s="98" t="s">
        <v>1031</v>
      </c>
      <c r="N204" s="68" t="s">
        <v>1028</v>
      </c>
      <c r="O204" s="68" t="s">
        <v>1032</v>
      </c>
      <c r="P204" s="68"/>
      <c r="Q204" s="68"/>
      <c r="R204" s="68"/>
      <c r="S204" s="68"/>
      <c r="T204" s="68"/>
      <c r="U204" s="68" t="s">
        <v>285</v>
      </c>
      <c r="V204" s="68"/>
      <c r="W204" s="68" t="s">
        <v>285</v>
      </c>
      <c r="X204" s="68"/>
      <c r="Y204" s="103"/>
      <c r="Z204" s="103"/>
      <c r="AA204" s="105" t="s">
        <v>1027</v>
      </c>
    </row>
    <row r="205" ht="14.25" hidden="1" customHeight="1" spans="2:27">
      <c r="B205" s="72" t="s">
        <v>1033</v>
      </c>
      <c r="C205" s="72">
        <v>2</v>
      </c>
      <c r="D205" s="72" t="s">
        <v>340</v>
      </c>
      <c r="E205" s="72" t="s">
        <v>205</v>
      </c>
      <c r="F205" s="72" t="s">
        <v>279</v>
      </c>
      <c r="G205" s="72" t="s">
        <v>289</v>
      </c>
      <c r="H205" s="72" t="s">
        <v>225</v>
      </c>
      <c r="I205" s="72" t="s">
        <v>226</v>
      </c>
      <c r="J205" s="72" t="s">
        <v>227</v>
      </c>
      <c r="K205" s="72" t="s">
        <v>1034</v>
      </c>
      <c r="L205" s="109" t="s">
        <v>353</v>
      </c>
      <c r="M205" s="96" t="s">
        <v>1035</v>
      </c>
      <c r="N205" s="72" t="s">
        <v>1033</v>
      </c>
      <c r="O205" s="72" t="s">
        <v>1036</v>
      </c>
      <c r="P205" s="72" t="s">
        <v>285</v>
      </c>
      <c r="Q205" s="72" t="s">
        <v>285</v>
      </c>
      <c r="R205" s="72"/>
      <c r="S205" s="72"/>
      <c r="T205" s="72"/>
      <c r="U205" s="72"/>
      <c r="V205" s="72" t="s">
        <v>285</v>
      </c>
      <c r="W205" s="72" t="s">
        <v>285</v>
      </c>
      <c r="X205" s="72"/>
      <c r="Y205" s="115"/>
      <c r="Z205" s="115"/>
      <c r="AA205" s="105" t="s">
        <v>741</v>
      </c>
    </row>
    <row r="206" ht="14.25" hidden="1" customHeight="1" spans="2:27">
      <c r="B206" s="70" t="s">
        <v>1037</v>
      </c>
      <c r="C206" s="70">
        <v>2</v>
      </c>
      <c r="D206" s="70" t="s">
        <v>306</v>
      </c>
      <c r="E206" s="70" t="s">
        <v>205</v>
      </c>
      <c r="F206" s="70" t="s">
        <v>364</v>
      </c>
      <c r="G206" s="70" t="s">
        <v>289</v>
      </c>
      <c r="H206" s="70" t="s">
        <v>281</v>
      </c>
      <c r="I206" s="70" t="s">
        <v>226</v>
      </c>
      <c r="J206" s="70" t="s">
        <v>281</v>
      </c>
      <c r="K206" s="70" t="s">
        <v>281</v>
      </c>
      <c r="L206" s="110" t="s">
        <v>312</v>
      </c>
      <c r="M206" s="97" t="s">
        <v>1038</v>
      </c>
      <c r="N206" s="70" t="s">
        <v>1037</v>
      </c>
      <c r="O206" s="70" t="s">
        <v>1039</v>
      </c>
      <c r="P206" s="70" t="s">
        <v>285</v>
      </c>
      <c r="Q206" s="70"/>
      <c r="R206" s="70"/>
      <c r="S206" s="70"/>
      <c r="T206" s="70"/>
      <c r="U206" s="70" t="s">
        <v>285</v>
      </c>
      <c r="V206" s="70"/>
      <c r="W206" s="70" t="s">
        <v>285</v>
      </c>
      <c r="X206" s="70" t="s">
        <v>285</v>
      </c>
      <c r="Y206" s="116"/>
      <c r="Z206" s="116"/>
      <c r="AA206" s="105" t="s">
        <v>741</v>
      </c>
    </row>
    <row r="207" ht="14.25" hidden="1" customHeight="1" spans="2:27">
      <c r="B207" s="66" t="s">
        <v>1040</v>
      </c>
      <c r="C207" s="66">
        <v>2</v>
      </c>
      <c r="D207" s="66" t="s">
        <v>278</v>
      </c>
      <c r="E207" s="66" t="s">
        <v>205</v>
      </c>
      <c r="F207" s="66" t="s">
        <v>279</v>
      </c>
      <c r="G207" s="66" t="s">
        <v>512</v>
      </c>
      <c r="H207" s="66" t="s">
        <v>225</v>
      </c>
      <c r="I207" s="66" t="s">
        <v>226</v>
      </c>
      <c r="J207" s="66" t="s">
        <v>281</v>
      </c>
      <c r="K207" s="66" t="s">
        <v>281</v>
      </c>
      <c r="L207" s="111" t="s">
        <v>282</v>
      </c>
      <c r="M207" s="107" t="s">
        <v>1041</v>
      </c>
      <c r="N207" s="66" t="s">
        <v>1040</v>
      </c>
      <c r="O207" s="66" t="s">
        <v>1042</v>
      </c>
      <c r="P207" s="66"/>
      <c r="Q207" s="66"/>
      <c r="R207" s="66"/>
      <c r="S207" s="66"/>
      <c r="T207" s="66"/>
      <c r="U207" s="66" t="s">
        <v>285</v>
      </c>
      <c r="V207" s="66"/>
      <c r="W207" s="66" t="s">
        <v>285</v>
      </c>
      <c r="X207" s="66" t="s">
        <v>285</v>
      </c>
      <c r="Y207" s="114"/>
      <c r="Z207" s="114"/>
      <c r="AA207" s="105" t="s">
        <v>741</v>
      </c>
    </row>
    <row r="208" ht="14.25" hidden="1" customHeight="1" spans="2:27">
      <c r="B208" s="69" t="s">
        <v>1043</v>
      </c>
      <c r="C208" s="69">
        <v>2</v>
      </c>
      <c r="D208" s="69" t="s">
        <v>301</v>
      </c>
      <c r="E208" s="69" t="s">
        <v>205</v>
      </c>
      <c r="F208" s="69" t="s">
        <v>279</v>
      </c>
      <c r="G208" s="69" t="s">
        <v>280</v>
      </c>
      <c r="H208" s="69" t="s">
        <v>225</v>
      </c>
      <c r="I208" s="69" t="s">
        <v>226</v>
      </c>
      <c r="J208" s="69" t="s">
        <v>227</v>
      </c>
      <c r="K208" s="69" t="s">
        <v>1044</v>
      </c>
      <c r="L208" s="112" t="s">
        <v>282</v>
      </c>
      <c r="M208" s="87" t="s">
        <v>1045</v>
      </c>
      <c r="N208" s="69" t="s">
        <v>1043</v>
      </c>
      <c r="O208" s="69" t="s">
        <v>1046</v>
      </c>
      <c r="P208" s="69"/>
      <c r="Q208" s="69"/>
      <c r="R208" s="69" t="s">
        <v>285</v>
      </c>
      <c r="S208" s="69"/>
      <c r="T208" s="69"/>
      <c r="U208" s="69" t="s">
        <v>285</v>
      </c>
      <c r="V208" s="69"/>
      <c r="W208" s="69" t="s">
        <v>285</v>
      </c>
      <c r="X208" s="69"/>
      <c r="Y208" s="117"/>
      <c r="Z208" s="117"/>
      <c r="AA208" s="105" t="s">
        <v>741</v>
      </c>
    </row>
    <row r="209" ht="14.25" hidden="1" customHeight="1" spans="1:27">
      <c r="A209" s="94"/>
      <c r="B209" s="69" t="s">
        <v>1047</v>
      </c>
      <c r="C209" s="69">
        <v>3</v>
      </c>
      <c r="D209" s="69" t="s">
        <v>301</v>
      </c>
      <c r="E209" s="69" t="s">
        <v>205</v>
      </c>
      <c r="F209" s="69" t="s">
        <v>360</v>
      </c>
      <c r="G209" s="69" t="s">
        <v>386</v>
      </c>
      <c r="H209" s="69" t="s">
        <v>225</v>
      </c>
      <c r="I209" s="69" t="s">
        <v>226</v>
      </c>
      <c r="J209" s="69" t="s">
        <v>227</v>
      </c>
      <c r="K209" s="69" t="s">
        <v>1048</v>
      </c>
      <c r="L209" s="69" t="s">
        <v>282</v>
      </c>
      <c r="M209" s="88" t="s">
        <v>1049</v>
      </c>
      <c r="N209" s="69" t="s">
        <v>1047</v>
      </c>
      <c r="O209" s="69" t="s">
        <v>1050</v>
      </c>
      <c r="P209" s="69"/>
      <c r="Q209" s="69" t="s">
        <v>285</v>
      </c>
      <c r="R209" s="69"/>
      <c r="S209" s="69"/>
      <c r="T209" s="69"/>
      <c r="U209" s="69"/>
      <c r="V209" s="69"/>
      <c r="W209" s="69" t="s">
        <v>285</v>
      </c>
      <c r="X209" s="69"/>
      <c r="Y209" s="69"/>
      <c r="Z209" s="69"/>
      <c r="AA209" s="92" t="s">
        <v>286</v>
      </c>
    </row>
    <row r="210" ht="14.25" hidden="1" customHeight="1" spans="1:27">
      <c r="A210" s="94"/>
      <c r="B210" s="68" t="s">
        <v>1051</v>
      </c>
      <c r="C210" s="68">
        <v>3</v>
      </c>
      <c r="D210" s="68" t="s">
        <v>294</v>
      </c>
      <c r="E210" s="68" t="s">
        <v>205</v>
      </c>
      <c r="F210" s="68" t="s">
        <v>279</v>
      </c>
      <c r="G210" s="68" t="s">
        <v>1052</v>
      </c>
      <c r="H210" s="68" t="s">
        <v>225</v>
      </c>
      <c r="I210" s="68" t="s">
        <v>281</v>
      </c>
      <c r="J210" s="68" t="s">
        <v>281</v>
      </c>
      <c r="K210" s="68" t="s">
        <v>281</v>
      </c>
      <c r="L210" s="68" t="s">
        <v>312</v>
      </c>
      <c r="M210" s="77" t="s">
        <v>1053</v>
      </c>
      <c r="N210" s="68" t="s">
        <v>1051</v>
      </c>
      <c r="O210" s="68" t="s">
        <v>1054</v>
      </c>
      <c r="P210" s="68"/>
      <c r="Q210" s="68"/>
      <c r="R210" s="68"/>
      <c r="S210" s="68" t="s">
        <v>285</v>
      </c>
      <c r="T210" s="68"/>
      <c r="U210" s="68"/>
      <c r="V210" s="68"/>
      <c r="W210" s="68"/>
      <c r="X210" s="68"/>
      <c r="Y210" s="68"/>
      <c r="Z210" s="68"/>
      <c r="AA210" s="92" t="s">
        <v>286</v>
      </c>
    </row>
    <row r="211" ht="14.25" hidden="1" customHeight="1" spans="1:27">
      <c r="A211" s="94"/>
      <c r="B211" s="67" t="s">
        <v>1055</v>
      </c>
      <c r="C211" s="67">
        <v>3</v>
      </c>
      <c r="D211" s="67" t="s">
        <v>288</v>
      </c>
      <c r="E211" s="67" t="s">
        <v>205</v>
      </c>
      <c r="F211" s="67" t="s">
        <v>279</v>
      </c>
      <c r="G211" s="67" t="s">
        <v>320</v>
      </c>
      <c r="H211" s="67" t="s">
        <v>225</v>
      </c>
      <c r="I211" s="67" t="s">
        <v>226</v>
      </c>
      <c r="J211" s="67" t="s">
        <v>281</v>
      </c>
      <c r="K211" s="67" t="s">
        <v>281</v>
      </c>
      <c r="L211" s="67" t="s">
        <v>312</v>
      </c>
      <c r="M211" s="76" t="s">
        <v>1056</v>
      </c>
      <c r="N211" s="67" t="s">
        <v>1055</v>
      </c>
      <c r="O211" s="67" t="s">
        <v>1057</v>
      </c>
      <c r="P211" s="67"/>
      <c r="Q211" s="67" t="s">
        <v>285</v>
      </c>
      <c r="R211" s="67"/>
      <c r="S211" s="67"/>
      <c r="T211" s="67"/>
      <c r="U211" s="67"/>
      <c r="V211" s="67"/>
      <c r="W211" s="67"/>
      <c r="X211" s="67"/>
      <c r="Y211" s="67"/>
      <c r="Z211" s="67"/>
      <c r="AA211" s="92" t="s">
        <v>286</v>
      </c>
    </row>
    <row r="212" ht="14.25" hidden="1" customHeight="1" spans="1:27">
      <c r="A212" s="94"/>
      <c r="B212" s="69" t="s">
        <v>1058</v>
      </c>
      <c r="C212" s="69">
        <v>3</v>
      </c>
      <c r="D212" s="69" t="s">
        <v>301</v>
      </c>
      <c r="E212" s="69" t="s">
        <v>205</v>
      </c>
      <c r="F212" s="69" t="s">
        <v>279</v>
      </c>
      <c r="G212" s="69" t="s">
        <v>341</v>
      </c>
      <c r="H212" s="69" t="s">
        <v>225</v>
      </c>
      <c r="I212" s="69" t="s">
        <v>226</v>
      </c>
      <c r="J212" s="69" t="s">
        <v>281</v>
      </c>
      <c r="K212" s="69" t="s">
        <v>281</v>
      </c>
      <c r="L212" s="69" t="s">
        <v>312</v>
      </c>
      <c r="M212" s="78" t="s">
        <v>1059</v>
      </c>
      <c r="N212" s="69" t="s">
        <v>1058</v>
      </c>
      <c r="O212" s="69" t="s">
        <v>1060</v>
      </c>
      <c r="P212" s="69" t="s">
        <v>285</v>
      </c>
      <c r="Q212" s="69" t="s">
        <v>285</v>
      </c>
      <c r="R212" s="69"/>
      <c r="S212" s="69"/>
      <c r="T212" s="69"/>
      <c r="U212" s="69"/>
      <c r="V212" s="69"/>
      <c r="W212" s="69" t="s">
        <v>285</v>
      </c>
      <c r="X212" s="69"/>
      <c r="Y212" s="69"/>
      <c r="Z212" s="69"/>
      <c r="AA212" s="92" t="s">
        <v>286</v>
      </c>
    </row>
    <row r="213" ht="14.25" hidden="1" customHeight="1" spans="1:27">
      <c r="A213" s="94"/>
      <c r="B213" s="68" t="s">
        <v>1061</v>
      </c>
      <c r="C213" s="68">
        <v>3</v>
      </c>
      <c r="D213" s="68" t="s">
        <v>294</v>
      </c>
      <c r="E213" s="68" t="s">
        <v>205</v>
      </c>
      <c r="F213" s="68" t="s">
        <v>364</v>
      </c>
      <c r="G213" s="68" t="s">
        <v>289</v>
      </c>
      <c r="H213" s="68" t="s">
        <v>225</v>
      </c>
      <c r="I213" s="68" t="s">
        <v>281</v>
      </c>
      <c r="J213" s="68" t="s">
        <v>281</v>
      </c>
      <c r="K213" s="68" t="s">
        <v>281</v>
      </c>
      <c r="L213" s="68" t="s">
        <v>312</v>
      </c>
      <c r="M213" s="77" t="s">
        <v>1062</v>
      </c>
      <c r="N213" s="68" t="s">
        <v>1061</v>
      </c>
      <c r="O213" s="68" t="s">
        <v>1063</v>
      </c>
      <c r="P213" s="68"/>
      <c r="Q213" s="68"/>
      <c r="R213" s="68"/>
      <c r="S213" s="68" t="s">
        <v>285</v>
      </c>
      <c r="T213" s="68"/>
      <c r="U213" s="68"/>
      <c r="V213" s="68"/>
      <c r="W213" s="68" t="s">
        <v>285</v>
      </c>
      <c r="X213" s="68"/>
      <c r="Y213" s="68"/>
      <c r="Z213" s="68"/>
      <c r="AA213" s="92" t="s">
        <v>286</v>
      </c>
    </row>
    <row r="214" ht="14.25" hidden="1" customHeight="1" spans="1:27">
      <c r="A214" s="94"/>
      <c r="B214" s="70" t="s">
        <v>1064</v>
      </c>
      <c r="C214" s="70">
        <v>3</v>
      </c>
      <c r="D214" s="70" t="s">
        <v>306</v>
      </c>
      <c r="E214" s="70" t="s">
        <v>205</v>
      </c>
      <c r="F214" s="70" t="s">
        <v>279</v>
      </c>
      <c r="G214" s="70" t="s">
        <v>289</v>
      </c>
      <c r="H214" s="70" t="s">
        <v>225</v>
      </c>
      <c r="I214" s="70" t="s">
        <v>226</v>
      </c>
      <c r="J214" s="70" t="s">
        <v>281</v>
      </c>
      <c r="K214" s="70" t="s">
        <v>281</v>
      </c>
      <c r="L214" s="70" t="s">
        <v>360</v>
      </c>
      <c r="M214" s="84" t="s">
        <v>1065</v>
      </c>
      <c r="N214" s="70" t="s">
        <v>1064</v>
      </c>
      <c r="O214" s="70" t="s">
        <v>1066</v>
      </c>
      <c r="P214" s="70"/>
      <c r="Q214" s="70"/>
      <c r="R214" s="70"/>
      <c r="S214" s="70"/>
      <c r="T214" s="70"/>
      <c r="U214" s="70" t="s">
        <v>285</v>
      </c>
      <c r="V214" s="70"/>
      <c r="W214" s="70" t="s">
        <v>285</v>
      </c>
      <c r="X214" s="70" t="s">
        <v>285</v>
      </c>
      <c r="Y214" s="70"/>
      <c r="Z214" s="70"/>
      <c r="AA214" s="92" t="s">
        <v>286</v>
      </c>
    </row>
    <row r="215" ht="14.25" hidden="1" customHeight="1" spans="1:27">
      <c r="A215" s="94"/>
      <c r="B215" s="66" t="s">
        <v>1067</v>
      </c>
      <c r="C215" s="66">
        <v>3</v>
      </c>
      <c r="D215" s="66" t="s">
        <v>278</v>
      </c>
      <c r="E215" s="66" t="s">
        <v>205</v>
      </c>
      <c r="F215" s="66" t="s">
        <v>279</v>
      </c>
      <c r="G215" s="66" t="s">
        <v>302</v>
      </c>
      <c r="H215" s="66" t="s">
        <v>225</v>
      </c>
      <c r="I215" s="66" t="s">
        <v>226</v>
      </c>
      <c r="J215" s="66" t="s">
        <v>281</v>
      </c>
      <c r="K215" s="66" t="s">
        <v>281</v>
      </c>
      <c r="L215" s="66" t="s">
        <v>484</v>
      </c>
      <c r="M215" s="75" t="s">
        <v>1068</v>
      </c>
      <c r="N215" s="66" t="s">
        <v>1067</v>
      </c>
      <c r="O215" s="66" t="s">
        <v>1069</v>
      </c>
      <c r="P215" s="66"/>
      <c r="Q215" s="66"/>
      <c r="R215" s="66" t="s">
        <v>285</v>
      </c>
      <c r="S215" s="66"/>
      <c r="T215" s="66"/>
      <c r="U215" s="66"/>
      <c r="V215" s="66"/>
      <c r="W215" s="66"/>
      <c r="X215" s="66"/>
      <c r="Y215" s="66"/>
      <c r="Z215" s="66"/>
      <c r="AA215" s="92" t="s">
        <v>286</v>
      </c>
    </row>
    <row r="216" ht="14.25" hidden="1" customHeight="1" spans="1:27">
      <c r="A216" s="94"/>
      <c r="B216" s="71" t="s">
        <v>1070</v>
      </c>
      <c r="C216" s="71">
        <v>3</v>
      </c>
      <c r="D216" s="71" t="s">
        <v>329</v>
      </c>
      <c r="E216" s="71" t="s">
        <v>205</v>
      </c>
      <c r="F216" s="71" t="s">
        <v>279</v>
      </c>
      <c r="G216" s="71" t="s">
        <v>320</v>
      </c>
      <c r="H216" s="71" t="s">
        <v>281</v>
      </c>
      <c r="I216" s="71" t="s">
        <v>226</v>
      </c>
      <c r="J216" s="71" t="s">
        <v>227</v>
      </c>
      <c r="K216" s="71" t="s">
        <v>1071</v>
      </c>
      <c r="L216" s="71" t="s">
        <v>397</v>
      </c>
      <c r="M216" s="81" t="s">
        <v>1072</v>
      </c>
      <c r="N216" s="71" t="s">
        <v>1070</v>
      </c>
      <c r="O216" s="71" t="s">
        <v>1073</v>
      </c>
      <c r="P216" s="71" t="s">
        <v>285</v>
      </c>
      <c r="Q216" s="71"/>
      <c r="R216" s="71"/>
      <c r="S216" s="71"/>
      <c r="T216" s="71"/>
      <c r="U216" s="71" t="s">
        <v>285</v>
      </c>
      <c r="V216" s="71"/>
      <c r="W216" s="71" t="s">
        <v>285</v>
      </c>
      <c r="X216" s="71" t="s">
        <v>285</v>
      </c>
      <c r="Y216" s="71"/>
      <c r="Z216" s="71"/>
      <c r="AA216" s="92" t="s">
        <v>310</v>
      </c>
    </row>
    <row r="217" ht="14.25" hidden="1" customHeight="1" spans="2:27">
      <c r="B217" s="72" t="s">
        <v>1074</v>
      </c>
      <c r="C217" s="72">
        <v>3</v>
      </c>
      <c r="D217" s="72" t="s">
        <v>340</v>
      </c>
      <c r="E217" s="72" t="s">
        <v>205</v>
      </c>
      <c r="F217" s="72" t="s">
        <v>397</v>
      </c>
      <c r="G217" s="72" t="s">
        <v>1075</v>
      </c>
      <c r="H217" s="72" t="s">
        <v>225</v>
      </c>
      <c r="I217" s="72" t="s">
        <v>226</v>
      </c>
      <c r="J217" s="72" t="s">
        <v>227</v>
      </c>
      <c r="K217" s="72" t="s">
        <v>1076</v>
      </c>
      <c r="L217" s="72" t="s">
        <v>484</v>
      </c>
      <c r="M217" s="95" t="s">
        <v>1077</v>
      </c>
      <c r="N217" s="72" t="s">
        <v>1074</v>
      </c>
      <c r="O217" s="72" t="s">
        <v>1078</v>
      </c>
      <c r="P217" s="72" t="s">
        <v>285</v>
      </c>
      <c r="Q217" s="72" t="s">
        <v>285</v>
      </c>
      <c r="R217" s="72"/>
      <c r="S217" s="72"/>
      <c r="T217" s="72"/>
      <c r="U217" s="72" t="s">
        <v>285</v>
      </c>
      <c r="V217" s="72"/>
      <c r="W217" s="72" t="s">
        <v>285</v>
      </c>
      <c r="X217" s="72"/>
      <c r="Y217" s="72"/>
      <c r="Z217" s="72"/>
      <c r="AA217" s="92" t="s">
        <v>286</v>
      </c>
    </row>
    <row r="218" ht="14.25" hidden="1" customHeight="1" spans="1:27">
      <c r="A218" s="94"/>
      <c r="B218" s="66" t="s">
        <v>1079</v>
      </c>
      <c r="C218" s="66">
        <v>3</v>
      </c>
      <c r="D218" s="66" t="s">
        <v>278</v>
      </c>
      <c r="E218" s="66" t="s">
        <v>205</v>
      </c>
      <c r="F218" s="66" t="s">
        <v>279</v>
      </c>
      <c r="G218" s="66" t="s">
        <v>280</v>
      </c>
      <c r="H218" s="66" t="s">
        <v>225</v>
      </c>
      <c r="I218" s="66" t="s">
        <v>226</v>
      </c>
      <c r="J218" s="66" t="s">
        <v>281</v>
      </c>
      <c r="K218" s="66" t="s">
        <v>281</v>
      </c>
      <c r="L218" s="66" t="s">
        <v>585</v>
      </c>
      <c r="M218" s="75" t="s">
        <v>1080</v>
      </c>
      <c r="N218" s="66" t="s">
        <v>1079</v>
      </c>
      <c r="O218" s="66" t="s">
        <v>1081</v>
      </c>
      <c r="P218" s="66"/>
      <c r="Q218" s="66"/>
      <c r="R218" s="66" t="s">
        <v>285</v>
      </c>
      <c r="S218" s="66"/>
      <c r="T218" s="66" t="s">
        <v>285</v>
      </c>
      <c r="U218" s="66"/>
      <c r="V218" s="66"/>
      <c r="W218" s="66"/>
      <c r="X218" s="66"/>
      <c r="Y218" s="66"/>
      <c r="Z218" s="66"/>
      <c r="AA218" s="92" t="s">
        <v>286</v>
      </c>
    </row>
    <row r="219" ht="14.25" hidden="1" customHeight="1" spans="1:27">
      <c r="A219" s="94"/>
      <c r="B219" s="66" t="s">
        <v>1082</v>
      </c>
      <c r="C219" s="66">
        <v>3</v>
      </c>
      <c r="D219" s="66" t="s">
        <v>278</v>
      </c>
      <c r="E219" s="66" t="s">
        <v>205</v>
      </c>
      <c r="F219" s="66" t="s">
        <v>279</v>
      </c>
      <c r="G219" s="66" t="s">
        <v>1083</v>
      </c>
      <c r="H219" s="66" t="s">
        <v>225</v>
      </c>
      <c r="I219" s="66" t="s">
        <v>226</v>
      </c>
      <c r="J219" s="66" t="s">
        <v>227</v>
      </c>
      <c r="K219" s="66" t="s">
        <v>1084</v>
      </c>
      <c r="L219" s="66" t="s">
        <v>282</v>
      </c>
      <c r="M219" s="75" t="s">
        <v>1085</v>
      </c>
      <c r="N219" s="66" t="s">
        <v>1082</v>
      </c>
      <c r="O219" s="66" t="s">
        <v>1086</v>
      </c>
      <c r="P219" s="66"/>
      <c r="Q219" s="66"/>
      <c r="R219" s="66"/>
      <c r="S219" s="66"/>
      <c r="T219" s="66" t="s">
        <v>285</v>
      </c>
      <c r="U219" s="66"/>
      <c r="V219" s="66"/>
      <c r="W219" s="66"/>
      <c r="X219" s="66"/>
      <c r="Y219" s="66"/>
      <c r="Z219" s="66"/>
      <c r="AA219" s="92" t="s">
        <v>286</v>
      </c>
    </row>
    <row r="220" ht="14.25" customHeight="1" spans="1:27">
      <c r="A220" s="94"/>
      <c r="B220" s="67" t="s">
        <v>1087</v>
      </c>
      <c r="C220" s="67">
        <v>3</v>
      </c>
      <c r="D220" s="67" t="s">
        <v>288</v>
      </c>
      <c r="E220" s="67" t="s">
        <v>205</v>
      </c>
      <c r="F220" s="67" t="s">
        <v>1088</v>
      </c>
      <c r="G220" s="67" t="s">
        <v>280</v>
      </c>
      <c r="H220" s="67" t="s">
        <v>281</v>
      </c>
      <c r="I220" s="67" t="s">
        <v>226</v>
      </c>
      <c r="J220" s="67" t="s">
        <v>281</v>
      </c>
      <c r="K220" s="67" t="s">
        <v>281</v>
      </c>
      <c r="L220" s="67" t="s">
        <v>282</v>
      </c>
      <c r="M220" s="76" t="s">
        <v>1089</v>
      </c>
      <c r="N220" s="67" t="s">
        <v>1087</v>
      </c>
      <c r="O220" s="67" t="s">
        <v>1090</v>
      </c>
      <c r="P220" s="67"/>
      <c r="Q220" s="67"/>
      <c r="R220" s="67"/>
      <c r="S220" s="67"/>
      <c r="T220" s="67"/>
      <c r="U220" s="67" t="s">
        <v>285</v>
      </c>
      <c r="V220" s="67" t="s">
        <v>285</v>
      </c>
      <c r="W220" s="67" t="s">
        <v>285</v>
      </c>
      <c r="X220" s="67"/>
      <c r="Y220" s="67"/>
      <c r="Z220" s="67"/>
      <c r="AA220" s="92" t="s">
        <v>286</v>
      </c>
    </row>
    <row r="221" ht="14.25" hidden="1" customHeight="1" spans="2:27">
      <c r="B221" s="66" t="s">
        <v>1091</v>
      </c>
      <c r="C221" s="66">
        <v>3</v>
      </c>
      <c r="D221" s="66" t="s">
        <v>278</v>
      </c>
      <c r="E221" s="66" t="s">
        <v>205</v>
      </c>
      <c r="F221" s="66" t="s">
        <v>279</v>
      </c>
      <c r="G221" s="66" t="s">
        <v>320</v>
      </c>
      <c r="H221" s="66" t="s">
        <v>225</v>
      </c>
      <c r="I221" s="66" t="s">
        <v>226</v>
      </c>
      <c r="J221" s="66" t="s">
        <v>281</v>
      </c>
      <c r="K221" s="66" t="s">
        <v>281</v>
      </c>
      <c r="L221" s="66" t="s">
        <v>282</v>
      </c>
      <c r="M221" s="75" t="s">
        <v>1092</v>
      </c>
      <c r="N221" s="66" t="s">
        <v>1091</v>
      </c>
      <c r="O221" s="66" t="s">
        <v>1093</v>
      </c>
      <c r="P221" s="66"/>
      <c r="Q221" s="66" t="s">
        <v>285</v>
      </c>
      <c r="R221" s="66"/>
      <c r="S221" s="66" t="s">
        <v>285</v>
      </c>
      <c r="T221" s="66"/>
      <c r="U221" s="66"/>
      <c r="V221" s="66"/>
      <c r="W221" s="66"/>
      <c r="X221" s="66" t="s">
        <v>285</v>
      </c>
      <c r="Y221" s="66"/>
      <c r="Z221" s="66"/>
      <c r="AA221" s="92" t="s">
        <v>286</v>
      </c>
    </row>
    <row r="222" ht="14.25" hidden="1" customHeight="1" spans="1:27">
      <c r="A222" s="94"/>
      <c r="B222" s="68" t="s">
        <v>1094</v>
      </c>
      <c r="C222" s="68">
        <v>3</v>
      </c>
      <c r="D222" s="68" t="s">
        <v>294</v>
      </c>
      <c r="E222" s="68" t="s">
        <v>205</v>
      </c>
      <c r="F222" s="68" t="s">
        <v>279</v>
      </c>
      <c r="G222" s="68" t="s">
        <v>289</v>
      </c>
      <c r="H222" s="68" t="s">
        <v>225</v>
      </c>
      <c r="I222" s="68" t="s">
        <v>281</v>
      </c>
      <c r="J222" s="68" t="s">
        <v>281</v>
      </c>
      <c r="K222" s="68" t="s">
        <v>281</v>
      </c>
      <c r="L222" s="68" t="s">
        <v>312</v>
      </c>
      <c r="M222" s="77" t="s">
        <v>1095</v>
      </c>
      <c r="N222" s="68" t="s">
        <v>1094</v>
      </c>
      <c r="O222" s="68" t="s">
        <v>1096</v>
      </c>
      <c r="P222" s="68"/>
      <c r="Q222" s="68"/>
      <c r="R222" s="68"/>
      <c r="S222" s="68" t="s">
        <v>285</v>
      </c>
      <c r="T222" s="68"/>
      <c r="U222" s="68"/>
      <c r="V222" s="68"/>
      <c r="W222" s="68"/>
      <c r="X222" s="68"/>
      <c r="Y222" s="68"/>
      <c r="Z222" s="68"/>
      <c r="AA222" s="92" t="s">
        <v>286</v>
      </c>
    </row>
    <row r="223" ht="14.25" hidden="1" customHeight="1" spans="2:27">
      <c r="B223" s="68" t="s">
        <v>1097</v>
      </c>
      <c r="C223" s="68">
        <v>3</v>
      </c>
      <c r="D223" s="68" t="s">
        <v>294</v>
      </c>
      <c r="E223" s="68" t="s">
        <v>205</v>
      </c>
      <c r="F223" s="68" t="s">
        <v>279</v>
      </c>
      <c r="G223" s="68" t="s">
        <v>280</v>
      </c>
      <c r="H223" s="68" t="s">
        <v>225</v>
      </c>
      <c r="I223" s="68" t="s">
        <v>226</v>
      </c>
      <c r="J223" s="68" t="s">
        <v>281</v>
      </c>
      <c r="K223" s="68" t="s">
        <v>281</v>
      </c>
      <c r="L223" s="68" t="s">
        <v>353</v>
      </c>
      <c r="M223" s="77" t="s">
        <v>1098</v>
      </c>
      <c r="N223" s="68" t="s">
        <v>1097</v>
      </c>
      <c r="O223" s="68" t="s">
        <v>1099</v>
      </c>
      <c r="P223" s="68"/>
      <c r="Q223" s="68" t="s">
        <v>285</v>
      </c>
      <c r="R223" s="68" t="s">
        <v>285</v>
      </c>
      <c r="S223" s="68" t="s">
        <v>285</v>
      </c>
      <c r="T223" s="68" t="s">
        <v>285</v>
      </c>
      <c r="U223" s="68" t="s">
        <v>285</v>
      </c>
      <c r="V223" s="68"/>
      <c r="W223" s="68"/>
      <c r="X223" s="68"/>
      <c r="Y223" s="68"/>
      <c r="Z223" s="68"/>
      <c r="AA223" s="92" t="s">
        <v>286</v>
      </c>
    </row>
    <row r="224" ht="14.25" customHeight="1" spans="2:27">
      <c r="B224" s="67" t="s">
        <v>1100</v>
      </c>
      <c r="C224" s="67">
        <v>3</v>
      </c>
      <c r="D224" s="67" t="s">
        <v>288</v>
      </c>
      <c r="E224" s="67" t="s">
        <v>205</v>
      </c>
      <c r="F224" s="67" t="s">
        <v>279</v>
      </c>
      <c r="G224" s="67" t="s">
        <v>302</v>
      </c>
      <c r="H224" s="67" t="s">
        <v>225</v>
      </c>
      <c r="I224" s="67" t="s">
        <v>226</v>
      </c>
      <c r="J224" s="67" t="s">
        <v>281</v>
      </c>
      <c r="K224" s="67" t="s">
        <v>281</v>
      </c>
      <c r="L224" s="67" t="s">
        <v>282</v>
      </c>
      <c r="M224" s="76" t="s">
        <v>1101</v>
      </c>
      <c r="N224" s="67" t="s">
        <v>1100</v>
      </c>
      <c r="O224" s="67" t="s">
        <v>1102</v>
      </c>
      <c r="P224" s="67" t="s">
        <v>285</v>
      </c>
      <c r="Q224" s="67" t="s">
        <v>285</v>
      </c>
      <c r="R224" s="67" t="s">
        <v>285</v>
      </c>
      <c r="S224" s="67" t="s">
        <v>285</v>
      </c>
      <c r="T224" s="67"/>
      <c r="U224" s="67" t="s">
        <v>285</v>
      </c>
      <c r="V224" s="67" t="s">
        <v>285</v>
      </c>
      <c r="W224" s="67" t="s">
        <v>285</v>
      </c>
      <c r="X224" s="67" t="s">
        <v>285</v>
      </c>
      <c r="Y224" s="67"/>
      <c r="Z224" s="67"/>
      <c r="AA224" s="92" t="s">
        <v>286</v>
      </c>
    </row>
    <row r="225" ht="14.25" hidden="1" customHeight="1" spans="1:27">
      <c r="A225" s="94"/>
      <c r="B225" s="70" t="s">
        <v>1103</v>
      </c>
      <c r="C225" s="70">
        <v>3</v>
      </c>
      <c r="D225" s="70" t="s">
        <v>306</v>
      </c>
      <c r="E225" s="70" t="s">
        <v>205</v>
      </c>
      <c r="F225" s="70" t="s">
        <v>279</v>
      </c>
      <c r="G225" s="70" t="s">
        <v>341</v>
      </c>
      <c r="H225" s="70" t="s">
        <v>225</v>
      </c>
      <c r="I225" s="70" t="s">
        <v>226</v>
      </c>
      <c r="J225" s="70" t="s">
        <v>281</v>
      </c>
      <c r="K225" s="70" t="s">
        <v>281</v>
      </c>
      <c r="L225" s="70" t="s">
        <v>585</v>
      </c>
      <c r="M225" s="84" t="s">
        <v>1104</v>
      </c>
      <c r="N225" s="70" t="s">
        <v>1103</v>
      </c>
      <c r="O225" s="70" t="s">
        <v>1105</v>
      </c>
      <c r="P225" s="70"/>
      <c r="Q225" s="70"/>
      <c r="R225" s="70"/>
      <c r="S225" s="70" t="s">
        <v>285</v>
      </c>
      <c r="T225" s="70"/>
      <c r="U225" s="70"/>
      <c r="V225" s="70"/>
      <c r="W225" s="70"/>
      <c r="X225" s="70" t="s">
        <v>285</v>
      </c>
      <c r="Y225" s="70"/>
      <c r="Z225" s="70"/>
      <c r="AA225" s="92" t="s">
        <v>286</v>
      </c>
    </row>
    <row r="226" ht="14.25" hidden="1" customHeight="1" spans="2:27">
      <c r="B226" s="71" t="s">
        <v>1106</v>
      </c>
      <c r="C226" s="71">
        <v>3</v>
      </c>
      <c r="D226" s="71" t="s">
        <v>329</v>
      </c>
      <c r="E226" s="71" t="s">
        <v>205</v>
      </c>
      <c r="F226" s="71" t="s">
        <v>279</v>
      </c>
      <c r="G226" s="70" t="s">
        <v>341</v>
      </c>
      <c r="H226" s="71" t="s">
        <v>225</v>
      </c>
      <c r="I226" s="71" t="s">
        <v>226</v>
      </c>
      <c r="J226" s="71" t="s">
        <v>281</v>
      </c>
      <c r="K226" s="71" t="s">
        <v>281</v>
      </c>
      <c r="L226" s="71" t="s">
        <v>312</v>
      </c>
      <c r="M226" s="81" t="s">
        <v>1107</v>
      </c>
      <c r="N226" s="71" t="s">
        <v>1106</v>
      </c>
      <c r="O226" s="71" t="s">
        <v>1108</v>
      </c>
      <c r="P226" s="71" t="s">
        <v>285</v>
      </c>
      <c r="Q226" s="71"/>
      <c r="R226" s="71"/>
      <c r="S226" s="71"/>
      <c r="T226" s="71"/>
      <c r="U226" s="71" t="s">
        <v>285</v>
      </c>
      <c r="V226" s="71" t="s">
        <v>285</v>
      </c>
      <c r="W226" s="71" t="s">
        <v>285</v>
      </c>
      <c r="X226" s="71"/>
      <c r="Y226" s="71"/>
      <c r="Z226" s="71"/>
      <c r="AA226" s="92" t="s">
        <v>310</v>
      </c>
    </row>
    <row r="227" ht="14.25" hidden="1" customHeight="1" spans="2:27">
      <c r="B227" s="70" t="s">
        <v>1109</v>
      </c>
      <c r="C227" s="70">
        <v>3</v>
      </c>
      <c r="D227" s="70" t="s">
        <v>306</v>
      </c>
      <c r="E227" s="70" t="s">
        <v>205</v>
      </c>
      <c r="F227" s="70" t="s">
        <v>279</v>
      </c>
      <c r="G227" s="70" t="s">
        <v>302</v>
      </c>
      <c r="H227" s="70" t="s">
        <v>225</v>
      </c>
      <c r="I227" s="70" t="s">
        <v>226</v>
      </c>
      <c r="J227" s="70" t="s">
        <v>227</v>
      </c>
      <c r="K227" s="70" t="s">
        <v>1110</v>
      </c>
      <c r="L227" s="70" t="s">
        <v>282</v>
      </c>
      <c r="M227" s="84" t="s">
        <v>1111</v>
      </c>
      <c r="N227" s="70" t="s">
        <v>1109</v>
      </c>
      <c r="O227" s="70" t="s">
        <v>1112</v>
      </c>
      <c r="P227" s="70"/>
      <c r="Q227" s="70"/>
      <c r="R227" s="70" t="s">
        <v>285</v>
      </c>
      <c r="S227" s="70"/>
      <c r="T227" s="70"/>
      <c r="U227" s="70" t="s">
        <v>285</v>
      </c>
      <c r="V227" s="70"/>
      <c r="W227" s="70" t="s">
        <v>285</v>
      </c>
      <c r="X227" s="70"/>
      <c r="Y227" s="70"/>
      <c r="Z227" s="70"/>
      <c r="AA227" s="92" t="s">
        <v>310</v>
      </c>
    </row>
    <row r="228" ht="14.25" customHeight="1" spans="2:27">
      <c r="B228" s="73" t="s">
        <v>1113</v>
      </c>
      <c r="C228" s="73">
        <v>3</v>
      </c>
      <c r="D228" s="73" t="s">
        <v>378</v>
      </c>
      <c r="E228" s="73" t="s">
        <v>205</v>
      </c>
      <c r="F228" s="73" t="s">
        <v>279</v>
      </c>
      <c r="G228" s="73" t="s">
        <v>1029</v>
      </c>
      <c r="H228" s="73" t="s">
        <v>225</v>
      </c>
      <c r="I228" s="73" t="s">
        <v>226</v>
      </c>
      <c r="J228" s="73" t="s">
        <v>227</v>
      </c>
      <c r="K228" s="73" t="s">
        <v>1114</v>
      </c>
      <c r="L228" s="73" t="s">
        <v>312</v>
      </c>
      <c r="M228" s="86" t="s">
        <v>1115</v>
      </c>
      <c r="N228" s="73" t="s">
        <v>1113</v>
      </c>
      <c r="O228" s="73" t="s">
        <v>1116</v>
      </c>
      <c r="P228" s="73" t="s">
        <v>285</v>
      </c>
      <c r="Q228" s="73"/>
      <c r="R228" s="73"/>
      <c r="S228" s="73"/>
      <c r="T228" s="73"/>
      <c r="U228" s="73" t="s">
        <v>285</v>
      </c>
      <c r="V228" s="73" t="s">
        <v>285</v>
      </c>
      <c r="W228" s="73" t="s">
        <v>285</v>
      </c>
      <c r="X228" s="73"/>
      <c r="Y228" s="73"/>
      <c r="Z228" s="73"/>
      <c r="AA228" s="92" t="s">
        <v>286</v>
      </c>
    </row>
    <row r="229" ht="14.25" hidden="1" customHeight="1" spans="1:27">
      <c r="A229" s="94"/>
      <c r="B229" s="69" t="s">
        <v>1117</v>
      </c>
      <c r="C229" s="69">
        <v>3</v>
      </c>
      <c r="D229" s="69" t="s">
        <v>301</v>
      </c>
      <c r="E229" s="69" t="s">
        <v>285</v>
      </c>
      <c r="F229" s="69" t="s">
        <v>279</v>
      </c>
      <c r="G229" s="69" t="s">
        <v>341</v>
      </c>
      <c r="H229" s="69" t="s">
        <v>225</v>
      </c>
      <c r="I229" s="69" t="s">
        <v>226</v>
      </c>
      <c r="J229" s="69" t="s">
        <v>227</v>
      </c>
      <c r="K229" s="69" t="s">
        <v>1118</v>
      </c>
      <c r="L229" s="69" t="s">
        <v>353</v>
      </c>
      <c r="M229" s="88" t="s">
        <v>1119</v>
      </c>
      <c r="N229" s="69" t="s">
        <v>1117</v>
      </c>
      <c r="O229" s="69" t="s">
        <v>1120</v>
      </c>
      <c r="P229" s="69" t="s">
        <v>285</v>
      </c>
      <c r="Q229" s="69" t="s">
        <v>285</v>
      </c>
      <c r="R229" s="69" t="s">
        <v>285</v>
      </c>
      <c r="S229" s="69"/>
      <c r="T229" s="69"/>
      <c r="U229" s="69"/>
      <c r="V229" s="69"/>
      <c r="W229" s="69" t="s">
        <v>285</v>
      </c>
      <c r="X229" s="69"/>
      <c r="Y229" s="69"/>
      <c r="Z229" s="69"/>
      <c r="AA229" s="92" t="s">
        <v>286</v>
      </c>
    </row>
    <row r="230" ht="14.25" hidden="1" customHeight="1" spans="2:27">
      <c r="B230" s="68" t="s">
        <v>1121</v>
      </c>
      <c r="C230" s="68">
        <v>3</v>
      </c>
      <c r="D230" s="68" t="s">
        <v>294</v>
      </c>
      <c r="E230" s="68" t="s">
        <v>205</v>
      </c>
      <c r="F230" s="68" t="s">
        <v>279</v>
      </c>
      <c r="G230" s="68" t="s">
        <v>1122</v>
      </c>
      <c r="H230" s="68" t="s">
        <v>225</v>
      </c>
      <c r="I230" s="68" t="s">
        <v>226</v>
      </c>
      <c r="J230" s="68" t="s">
        <v>227</v>
      </c>
      <c r="K230" s="68" t="s">
        <v>1123</v>
      </c>
      <c r="L230" s="68" t="s">
        <v>282</v>
      </c>
      <c r="M230" s="77" t="s">
        <v>1124</v>
      </c>
      <c r="N230" s="68" t="s">
        <v>1121</v>
      </c>
      <c r="O230" s="68" t="s">
        <v>1125</v>
      </c>
      <c r="P230" s="68"/>
      <c r="Q230" s="68"/>
      <c r="R230" s="68"/>
      <c r="S230" s="68"/>
      <c r="T230" s="68"/>
      <c r="U230" s="68" t="s">
        <v>285</v>
      </c>
      <c r="V230" s="68"/>
      <c r="W230" s="68" t="s">
        <v>285</v>
      </c>
      <c r="X230" s="68"/>
      <c r="Y230" s="68"/>
      <c r="Z230" s="68"/>
      <c r="AA230" s="92" t="s">
        <v>286</v>
      </c>
    </row>
    <row r="231" ht="14.25" hidden="1" customHeight="1" spans="1:27">
      <c r="A231" s="94"/>
      <c r="B231" s="70" t="s">
        <v>1126</v>
      </c>
      <c r="C231" s="70">
        <v>3</v>
      </c>
      <c r="D231" s="70" t="s">
        <v>306</v>
      </c>
      <c r="E231" s="70" t="s">
        <v>205</v>
      </c>
      <c r="F231" s="70" t="s">
        <v>279</v>
      </c>
      <c r="G231" s="70" t="s">
        <v>341</v>
      </c>
      <c r="H231" s="70" t="s">
        <v>225</v>
      </c>
      <c r="I231" s="70" t="s">
        <v>226</v>
      </c>
      <c r="J231" s="70" t="s">
        <v>281</v>
      </c>
      <c r="K231" s="70" t="s">
        <v>281</v>
      </c>
      <c r="L231" s="70" t="s">
        <v>585</v>
      </c>
      <c r="M231" s="79" t="s">
        <v>1127</v>
      </c>
      <c r="N231" s="70" t="s">
        <v>1126</v>
      </c>
      <c r="O231" s="70" t="s">
        <v>1128</v>
      </c>
      <c r="P231" s="70"/>
      <c r="Q231" s="70"/>
      <c r="R231" s="70" t="s">
        <v>285</v>
      </c>
      <c r="S231" s="70"/>
      <c r="T231" s="70" t="s">
        <v>285</v>
      </c>
      <c r="U231" s="70" t="s">
        <v>285</v>
      </c>
      <c r="V231" s="70"/>
      <c r="W231" s="70" t="s">
        <v>285</v>
      </c>
      <c r="X231" s="70" t="s">
        <v>285</v>
      </c>
      <c r="Y231" s="70"/>
      <c r="Z231" s="70"/>
      <c r="AA231" s="92" t="s">
        <v>310</v>
      </c>
    </row>
    <row r="232" ht="14.25" customHeight="1" spans="1:27">
      <c r="A232" s="94"/>
      <c r="B232" s="70" t="s">
        <v>1129</v>
      </c>
      <c r="C232" s="70">
        <v>3</v>
      </c>
      <c r="D232" s="70" t="s">
        <v>306</v>
      </c>
      <c r="E232" s="70" t="s">
        <v>205</v>
      </c>
      <c r="F232" s="70" t="s">
        <v>279</v>
      </c>
      <c r="G232" s="70" t="s">
        <v>341</v>
      </c>
      <c r="H232" s="70" t="s">
        <v>225</v>
      </c>
      <c r="I232" s="70" t="s">
        <v>226</v>
      </c>
      <c r="J232" s="70" t="s">
        <v>227</v>
      </c>
      <c r="K232" s="70" t="s">
        <v>1130</v>
      </c>
      <c r="L232" s="70" t="s">
        <v>484</v>
      </c>
      <c r="M232" s="79" t="s">
        <v>1131</v>
      </c>
      <c r="N232" s="70" t="s">
        <v>1129</v>
      </c>
      <c r="O232" s="70" t="s">
        <v>1132</v>
      </c>
      <c r="P232" s="70"/>
      <c r="Q232" s="70"/>
      <c r="R232" s="70"/>
      <c r="S232" s="70"/>
      <c r="T232" s="70"/>
      <c r="U232" s="70" t="s">
        <v>285</v>
      </c>
      <c r="V232" s="70" t="s">
        <v>285</v>
      </c>
      <c r="W232" s="70" t="s">
        <v>285</v>
      </c>
      <c r="X232" s="70" t="s">
        <v>285</v>
      </c>
      <c r="Y232" s="70"/>
      <c r="Z232" s="70"/>
      <c r="AA232" s="92" t="s">
        <v>286</v>
      </c>
    </row>
    <row r="233" ht="14.25" customHeight="1" spans="1:27">
      <c r="A233" s="94"/>
      <c r="B233" s="70" t="s">
        <v>1133</v>
      </c>
      <c r="C233" s="70">
        <v>3</v>
      </c>
      <c r="D233" s="70" t="s">
        <v>306</v>
      </c>
      <c r="E233" s="70" t="s">
        <v>205</v>
      </c>
      <c r="F233" s="70" t="s">
        <v>279</v>
      </c>
      <c r="G233" s="70" t="s">
        <v>341</v>
      </c>
      <c r="H233" s="70" t="s">
        <v>225</v>
      </c>
      <c r="I233" s="70" t="s">
        <v>226</v>
      </c>
      <c r="J233" s="70" t="s">
        <v>227</v>
      </c>
      <c r="K233" s="70" t="s">
        <v>1134</v>
      </c>
      <c r="L233" s="70" t="s">
        <v>585</v>
      </c>
      <c r="M233" s="84" t="s">
        <v>1135</v>
      </c>
      <c r="N233" s="70" t="s">
        <v>1133</v>
      </c>
      <c r="O233" s="70" t="s">
        <v>1136</v>
      </c>
      <c r="P233" s="70"/>
      <c r="Q233" s="70"/>
      <c r="R233" s="70"/>
      <c r="S233" s="70"/>
      <c r="T233" s="70"/>
      <c r="U233" s="70" t="s">
        <v>285</v>
      </c>
      <c r="V233" s="70" t="s">
        <v>285</v>
      </c>
      <c r="W233" s="70" t="s">
        <v>285</v>
      </c>
      <c r="X233" s="70"/>
      <c r="Y233" s="70"/>
      <c r="Z233" s="70"/>
      <c r="AA233" s="92" t="s">
        <v>286</v>
      </c>
    </row>
    <row r="234" ht="14.25" hidden="1" customHeight="1" spans="1:27">
      <c r="A234" s="94"/>
      <c r="B234" s="67" t="s">
        <v>1137</v>
      </c>
      <c r="C234" s="67">
        <v>3</v>
      </c>
      <c r="D234" s="67" t="s">
        <v>288</v>
      </c>
      <c r="E234" s="67" t="s">
        <v>205</v>
      </c>
      <c r="F234" s="67" t="s">
        <v>353</v>
      </c>
      <c r="G234" s="67" t="s">
        <v>341</v>
      </c>
      <c r="H234" s="67" t="s">
        <v>225</v>
      </c>
      <c r="I234" s="67" t="s">
        <v>226</v>
      </c>
      <c r="J234" s="67" t="s">
        <v>227</v>
      </c>
      <c r="K234" s="67" t="s">
        <v>1138</v>
      </c>
      <c r="L234" s="67" t="s">
        <v>1139</v>
      </c>
      <c r="M234" s="90" t="s">
        <v>1140</v>
      </c>
      <c r="N234" s="67" t="s">
        <v>1137</v>
      </c>
      <c r="O234" s="67" t="s">
        <v>1141</v>
      </c>
      <c r="P234" s="67" t="s">
        <v>285</v>
      </c>
      <c r="Q234" s="67" t="s">
        <v>285</v>
      </c>
      <c r="R234" s="67"/>
      <c r="S234" s="67"/>
      <c r="T234" s="67"/>
      <c r="U234" s="67"/>
      <c r="V234" s="67"/>
      <c r="W234" s="67" t="s">
        <v>285</v>
      </c>
      <c r="X234" s="67" t="s">
        <v>285</v>
      </c>
      <c r="Y234" s="67"/>
      <c r="Z234" s="67"/>
      <c r="AA234" s="92" t="s">
        <v>286</v>
      </c>
    </row>
    <row r="235" ht="14.25" hidden="1" customHeight="1" spans="1:27">
      <c r="A235" s="94"/>
      <c r="B235" s="70" t="s">
        <v>1142</v>
      </c>
      <c r="C235" s="70">
        <v>3</v>
      </c>
      <c r="D235" s="70" t="s">
        <v>306</v>
      </c>
      <c r="E235" s="70" t="s">
        <v>205</v>
      </c>
      <c r="F235" s="70" t="s">
        <v>279</v>
      </c>
      <c r="G235" s="70" t="s">
        <v>320</v>
      </c>
      <c r="H235" s="70" t="s">
        <v>225</v>
      </c>
      <c r="I235" s="70" t="s">
        <v>226</v>
      </c>
      <c r="J235" s="70" t="s">
        <v>227</v>
      </c>
      <c r="K235" s="70" t="s">
        <v>1143</v>
      </c>
      <c r="L235" s="70" t="s">
        <v>312</v>
      </c>
      <c r="M235" s="79" t="s">
        <v>1144</v>
      </c>
      <c r="N235" s="70" t="s">
        <v>1142</v>
      </c>
      <c r="O235" s="70" t="s">
        <v>1145</v>
      </c>
      <c r="P235" s="70"/>
      <c r="Q235" s="70"/>
      <c r="R235" s="70"/>
      <c r="S235" s="70"/>
      <c r="T235" s="70"/>
      <c r="U235" s="70" t="s">
        <v>285</v>
      </c>
      <c r="V235" s="70"/>
      <c r="W235" s="70" t="s">
        <v>285</v>
      </c>
      <c r="X235" s="70" t="s">
        <v>285</v>
      </c>
      <c r="Y235" s="70"/>
      <c r="Z235" s="70"/>
      <c r="AA235" s="92" t="s">
        <v>286</v>
      </c>
    </row>
    <row r="236" ht="14.25" customHeight="1" spans="2:27">
      <c r="B236" s="66" t="s">
        <v>1146</v>
      </c>
      <c r="C236" s="66">
        <v>3</v>
      </c>
      <c r="D236" s="66" t="s">
        <v>278</v>
      </c>
      <c r="E236" s="66" t="s">
        <v>205</v>
      </c>
      <c r="F236" s="66" t="s">
        <v>279</v>
      </c>
      <c r="G236" s="66" t="s">
        <v>1122</v>
      </c>
      <c r="H236" s="66" t="s">
        <v>225</v>
      </c>
      <c r="I236" s="66" t="s">
        <v>226</v>
      </c>
      <c r="J236" s="66" t="s">
        <v>227</v>
      </c>
      <c r="K236" s="66" t="s">
        <v>1147</v>
      </c>
      <c r="L236" s="66" t="s">
        <v>312</v>
      </c>
      <c r="M236" s="80" t="s">
        <v>1148</v>
      </c>
      <c r="N236" s="66" t="s">
        <v>1146</v>
      </c>
      <c r="O236" s="66" t="s">
        <v>1149</v>
      </c>
      <c r="P236" s="66"/>
      <c r="Q236" s="66"/>
      <c r="R236" s="66"/>
      <c r="S236" s="66"/>
      <c r="T236" s="66"/>
      <c r="U236" s="66"/>
      <c r="V236" s="66" t="s">
        <v>285</v>
      </c>
      <c r="W236" s="66"/>
      <c r="X236" s="66"/>
      <c r="Y236" s="66"/>
      <c r="Z236" s="66"/>
      <c r="AA236" s="92" t="s">
        <v>286</v>
      </c>
    </row>
    <row r="237" ht="14.25" customHeight="1" spans="2:27">
      <c r="B237" s="73" t="s">
        <v>1150</v>
      </c>
      <c r="C237" s="73">
        <v>3</v>
      </c>
      <c r="D237" s="73" t="s">
        <v>378</v>
      </c>
      <c r="E237" s="73" t="s">
        <v>205</v>
      </c>
      <c r="F237" s="73" t="s">
        <v>279</v>
      </c>
      <c r="G237" s="73" t="s">
        <v>302</v>
      </c>
      <c r="H237" s="73" t="s">
        <v>281</v>
      </c>
      <c r="I237" s="73" t="s">
        <v>226</v>
      </c>
      <c r="J237" s="73" t="s">
        <v>227</v>
      </c>
      <c r="K237" s="73" t="s">
        <v>1151</v>
      </c>
      <c r="L237" s="73" t="s">
        <v>312</v>
      </c>
      <c r="M237" s="91" t="s">
        <v>1152</v>
      </c>
      <c r="N237" s="73" t="s">
        <v>1150</v>
      </c>
      <c r="O237" s="73" t="s">
        <v>1153</v>
      </c>
      <c r="P237" s="73" t="s">
        <v>285</v>
      </c>
      <c r="Q237" s="73"/>
      <c r="R237" s="73"/>
      <c r="S237" s="73"/>
      <c r="T237" s="73"/>
      <c r="U237" s="73" t="s">
        <v>285</v>
      </c>
      <c r="V237" s="73" t="s">
        <v>285</v>
      </c>
      <c r="W237" s="73" t="s">
        <v>285</v>
      </c>
      <c r="X237" s="73"/>
      <c r="Y237" s="73"/>
      <c r="Z237" s="73"/>
      <c r="AA237" s="92" t="s">
        <v>286</v>
      </c>
    </row>
    <row r="238" ht="14.25" hidden="1" customHeight="1" spans="1:27">
      <c r="A238" s="94"/>
      <c r="B238" s="67" t="s">
        <v>1154</v>
      </c>
      <c r="C238" s="67">
        <v>3</v>
      </c>
      <c r="D238" s="67" t="s">
        <v>288</v>
      </c>
      <c r="E238" s="67" t="s">
        <v>205</v>
      </c>
      <c r="F238" s="67" t="s">
        <v>279</v>
      </c>
      <c r="G238" s="67" t="s">
        <v>320</v>
      </c>
      <c r="H238" s="67" t="s">
        <v>225</v>
      </c>
      <c r="I238" s="67" t="s">
        <v>281</v>
      </c>
      <c r="J238" s="67" t="s">
        <v>281</v>
      </c>
      <c r="K238" s="67" t="s">
        <v>281</v>
      </c>
      <c r="L238" s="67" t="s">
        <v>585</v>
      </c>
      <c r="M238" s="113" t="s">
        <v>1155</v>
      </c>
      <c r="N238" s="67" t="s">
        <v>1154</v>
      </c>
      <c r="O238" s="67" t="s">
        <v>1156</v>
      </c>
      <c r="P238" s="67" t="s">
        <v>285</v>
      </c>
      <c r="Q238" s="67"/>
      <c r="R238" s="67"/>
      <c r="S238" s="67"/>
      <c r="T238" s="67"/>
      <c r="U238" s="67" t="s">
        <v>285</v>
      </c>
      <c r="V238" s="67" t="s">
        <v>285</v>
      </c>
      <c r="W238" s="67" t="s">
        <v>285</v>
      </c>
      <c r="X238" s="67" t="s">
        <v>285</v>
      </c>
      <c r="Y238" s="118"/>
      <c r="Z238" s="118"/>
      <c r="AA238" s="92" t="s">
        <v>377</v>
      </c>
    </row>
    <row r="239" ht="14.25" hidden="1" customHeight="1" spans="1:27">
      <c r="A239" s="94"/>
      <c r="B239" s="68" t="s">
        <v>1157</v>
      </c>
      <c r="C239" s="68">
        <v>3</v>
      </c>
      <c r="D239" s="68" t="s">
        <v>294</v>
      </c>
      <c r="E239" s="68" t="s">
        <v>285</v>
      </c>
      <c r="F239" s="68" t="s">
        <v>360</v>
      </c>
      <c r="G239" s="68" t="s">
        <v>1158</v>
      </c>
      <c r="H239" s="68" t="s">
        <v>225</v>
      </c>
      <c r="I239" s="68" t="s">
        <v>226</v>
      </c>
      <c r="J239" s="68" t="s">
        <v>227</v>
      </c>
      <c r="K239" s="68" t="s">
        <v>1159</v>
      </c>
      <c r="L239" s="68" t="s">
        <v>462</v>
      </c>
      <c r="M239" s="82" t="s">
        <v>1160</v>
      </c>
      <c r="N239" s="68" t="s">
        <v>1157</v>
      </c>
      <c r="O239" s="68" t="s">
        <v>1161</v>
      </c>
      <c r="P239" s="68" t="s">
        <v>285</v>
      </c>
      <c r="Q239" s="68"/>
      <c r="R239" s="68"/>
      <c r="S239" s="68"/>
      <c r="T239" s="68"/>
      <c r="U239" s="68"/>
      <c r="V239" s="68"/>
      <c r="W239" s="68" t="s">
        <v>285</v>
      </c>
      <c r="X239" s="68"/>
      <c r="Y239" s="68"/>
      <c r="Z239" s="68"/>
      <c r="AA239" s="92" t="s">
        <v>286</v>
      </c>
    </row>
    <row r="240" ht="14.25" hidden="1" customHeight="1" spans="1:27">
      <c r="A240" s="94"/>
      <c r="B240" s="69" t="s">
        <v>1162</v>
      </c>
      <c r="C240" s="69">
        <v>3</v>
      </c>
      <c r="D240" s="69" t="s">
        <v>301</v>
      </c>
      <c r="E240" s="69" t="s">
        <v>205</v>
      </c>
      <c r="F240" s="69" t="s">
        <v>279</v>
      </c>
      <c r="G240" s="69" t="s">
        <v>320</v>
      </c>
      <c r="H240" s="69" t="s">
        <v>225</v>
      </c>
      <c r="I240" s="69" t="s">
        <v>226</v>
      </c>
      <c r="J240" s="69" t="s">
        <v>281</v>
      </c>
      <c r="K240" s="69" t="s">
        <v>281</v>
      </c>
      <c r="L240" s="69" t="s">
        <v>282</v>
      </c>
      <c r="M240" s="78" t="s">
        <v>1163</v>
      </c>
      <c r="N240" s="69" t="s">
        <v>1162</v>
      </c>
      <c r="O240" s="69" t="s">
        <v>1164</v>
      </c>
      <c r="P240" s="69"/>
      <c r="Q240" s="69" t="s">
        <v>285</v>
      </c>
      <c r="R240" s="69"/>
      <c r="S240" s="69"/>
      <c r="T240" s="69"/>
      <c r="U240" s="69"/>
      <c r="V240" s="69"/>
      <c r="W240" s="69" t="s">
        <v>285</v>
      </c>
      <c r="X240" s="69"/>
      <c r="Y240" s="69"/>
      <c r="Z240" s="69"/>
      <c r="AA240" s="92" t="s">
        <v>310</v>
      </c>
    </row>
    <row r="241" ht="14.25" hidden="1" customHeight="1" spans="1:27">
      <c r="A241" s="94"/>
      <c r="B241" s="70" t="s">
        <v>1165</v>
      </c>
      <c r="C241" s="70">
        <v>3</v>
      </c>
      <c r="D241" s="70" t="s">
        <v>306</v>
      </c>
      <c r="E241" s="70" t="s">
        <v>205</v>
      </c>
      <c r="F241" s="70" t="s">
        <v>364</v>
      </c>
      <c r="G241" s="70" t="s">
        <v>289</v>
      </c>
      <c r="H241" s="70" t="s">
        <v>225</v>
      </c>
      <c r="I241" s="70" t="s">
        <v>226</v>
      </c>
      <c r="J241" s="70" t="s">
        <v>281</v>
      </c>
      <c r="K241" s="70" t="s">
        <v>281</v>
      </c>
      <c r="L241" s="70" t="s">
        <v>312</v>
      </c>
      <c r="M241" s="84" t="s">
        <v>1166</v>
      </c>
      <c r="N241" s="70" t="s">
        <v>1165</v>
      </c>
      <c r="O241" s="70" t="s">
        <v>1167</v>
      </c>
      <c r="P241" s="70"/>
      <c r="Q241" s="70"/>
      <c r="R241" s="70"/>
      <c r="S241" s="70"/>
      <c r="T241" s="70" t="s">
        <v>285</v>
      </c>
      <c r="U241" s="70"/>
      <c r="V241" s="70"/>
      <c r="W241" s="70"/>
      <c r="X241" s="70"/>
      <c r="Y241" s="70"/>
      <c r="Z241" s="70"/>
      <c r="AA241" s="92" t="s">
        <v>286</v>
      </c>
    </row>
    <row r="242" ht="14.25" hidden="1" customHeight="1" spans="1:27">
      <c r="A242" s="94"/>
      <c r="B242" s="68" t="s">
        <v>1168</v>
      </c>
      <c r="C242" s="68">
        <v>3</v>
      </c>
      <c r="D242" s="68" t="s">
        <v>294</v>
      </c>
      <c r="E242" s="68" t="s">
        <v>205</v>
      </c>
      <c r="F242" s="68" t="s">
        <v>279</v>
      </c>
      <c r="G242" s="68" t="s">
        <v>1169</v>
      </c>
      <c r="H242" s="68" t="s">
        <v>225</v>
      </c>
      <c r="I242" s="68" t="s">
        <v>226</v>
      </c>
      <c r="J242" s="68" t="s">
        <v>227</v>
      </c>
      <c r="K242" s="68" t="s">
        <v>1170</v>
      </c>
      <c r="L242" s="68" t="s">
        <v>282</v>
      </c>
      <c r="M242" s="77" t="s">
        <v>1171</v>
      </c>
      <c r="N242" s="68" t="s">
        <v>1168</v>
      </c>
      <c r="O242" s="68" t="s">
        <v>1172</v>
      </c>
      <c r="P242" s="68"/>
      <c r="Q242" s="68"/>
      <c r="R242" s="68"/>
      <c r="S242" s="68"/>
      <c r="T242" s="68"/>
      <c r="U242" s="68" t="s">
        <v>285</v>
      </c>
      <c r="V242" s="68"/>
      <c r="W242" s="68" t="s">
        <v>285</v>
      </c>
      <c r="X242" s="68"/>
      <c r="Y242" s="68"/>
      <c r="Z242" s="68"/>
      <c r="AA242" s="92" t="s">
        <v>286</v>
      </c>
    </row>
    <row r="243" ht="14.25" customHeight="1" spans="1:27">
      <c r="A243" s="94"/>
      <c r="B243" s="66" t="s">
        <v>1173</v>
      </c>
      <c r="C243" s="66">
        <v>3</v>
      </c>
      <c r="D243" s="66" t="s">
        <v>278</v>
      </c>
      <c r="E243" s="66" t="s">
        <v>205</v>
      </c>
      <c r="F243" s="66" t="s">
        <v>360</v>
      </c>
      <c r="G243" s="66" t="s">
        <v>386</v>
      </c>
      <c r="H243" s="66" t="s">
        <v>225</v>
      </c>
      <c r="I243" s="66" t="s">
        <v>226</v>
      </c>
      <c r="J243" s="66" t="s">
        <v>227</v>
      </c>
      <c r="K243" s="66" t="s">
        <v>1174</v>
      </c>
      <c r="L243" s="66" t="s">
        <v>353</v>
      </c>
      <c r="M243" s="80" t="s">
        <v>1175</v>
      </c>
      <c r="N243" s="66" t="s">
        <v>1173</v>
      </c>
      <c r="O243" s="66" t="s">
        <v>1176</v>
      </c>
      <c r="P243" s="66"/>
      <c r="Q243" s="66" t="s">
        <v>285</v>
      </c>
      <c r="R243" s="66"/>
      <c r="S243" s="66" t="s">
        <v>285</v>
      </c>
      <c r="T243" s="66"/>
      <c r="U243" s="66"/>
      <c r="V243" s="66" t="s">
        <v>285</v>
      </c>
      <c r="W243" s="66" t="s">
        <v>285</v>
      </c>
      <c r="X243" s="66"/>
      <c r="Y243" s="66"/>
      <c r="Z243" s="66"/>
      <c r="AA243" s="92" t="s">
        <v>286</v>
      </c>
    </row>
    <row r="244" ht="14.25" customHeight="1" spans="1:27">
      <c r="A244" s="94"/>
      <c r="B244" s="73" t="s">
        <v>1177</v>
      </c>
      <c r="C244" s="73">
        <v>3</v>
      </c>
      <c r="D244" s="73" t="s">
        <v>378</v>
      </c>
      <c r="E244" s="73" t="s">
        <v>205</v>
      </c>
      <c r="F244" s="73" t="s">
        <v>279</v>
      </c>
      <c r="G244" s="73" t="s">
        <v>302</v>
      </c>
      <c r="H244" s="73" t="s">
        <v>225</v>
      </c>
      <c r="I244" s="73" t="s">
        <v>226</v>
      </c>
      <c r="J244" s="73" t="s">
        <v>227</v>
      </c>
      <c r="K244" s="73" t="s">
        <v>379</v>
      </c>
      <c r="L244" s="73" t="s">
        <v>484</v>
      </c>
      <c r="M244" s="91" t="s">
        <v>1178</v>
      </c>
      <c r="N244" s="73" t="s">
        <v>1177</v>
      </c>
      <c r="O244" s="73" t="s">
        <v>1179</v>
      </c>
      <c r="P244" s="73" t="s">
        <v>285</v>
      </c>
      <c r="Q244" s="73"/>
      <c r="R244" s="73"/>
      <c r="S244" s="73"/>
      <c r="T244" s="73"/>
      <c r="U244" s="73" t="s">
        <v>285</v>
      </c>
      <c r="V244" s="73" t="s">
        <v>285</v>
      </c>
      <c r="W244" s="73" t="s">
        <v>285</v>
      </c>
      <c r="X244" s="73"/>
      <c r="Y244" s="73"/>
      <c r="Z244" s="73"/>
      <c r="AA244" s="92" t="s">
        <v>286</v>
      </c>
    </row>
    <row r="245" ht="14.25" hidden="1" customHeight="1" spans="2:27">
      <c r="B245" s="68" t="s">
        <v>1180</v>
      </c>
      <c r="C245" s="68">
        <v>3</v>
      </c>
      <c r="D245" s="68" t="s">
        <v>294</v>
      </c>
      <c r="E245" s="68" t="s">
        <v>205</v>
      </c>
      <c r="F245" s="68" t="s">
        <v>364</v>
      </c>
      <c r="G245" s="68" t="s">
        <v>280</v>
      </c>
      <c r="H245" s="68" t="s">
        <v>225</v>
      </c>
      <c r="I245" s="68" t="s">
        <v>281</v>
      </c>
      <c r="J245" s="68" t="s">
        <v>281</v>
      </c>
      <c r="K245" s="68" t="s">
        <v>281</v>
      </c>
      <c r="L245" s="68" t="s">
        <v>282</v>
      </c>
      <c r="M245" s="77" t="s">
        <v>1181</v>
      </c>
      <c r="N245" s="68" t="s">
        <v>1180</v>
      </c>
      <c r="O245" s="68" t="s">
        <v>1182</v>
      </c>
      <c r="P245" s="68"/>
      <c r="Q245" s="68" t="s">
        <v>285</v>
      </c>
      <c r="R245" s="68"/>
      <c r="S245" s="68"/>
      <c r="T245" s="68"/>
      <c r="U245" s="68"/>
      <c r="V245" s="68"/>
      <c r="W245" s="68"/>
      <c r="X245" s="68"/>
      <c r="Y245" s="68"/>
      <c r="Z245" s="68"/>
      <c r="AA245" s="92" t="s">
        <v>286</v>
      </c>
    </row>
    <row r="246" ht="14.25" hidden="1" customHeight="1" spans="1:27">
      <c r="A246" s="94"/>
      <c r="B246" s="70" t="s">
        <v>1183</v>
      </c>
      <c r="C246" s="70">
        <v>3</v>
      </c>
      <c r="D246" s="70" t="s">
        <v>306</v>
      </c>
      <c r="E246" s="70" t="s">
        <v>285</v>
      </c>
      <c r="F246" s="70" t="s">
        <v>279</v>
      </c>
      <c r="G246" s="70" t="s">
        <v>341</v>
      </c>
      <c r="H246" s="70" t="s">
        <v>225</v>
      </c>
      <c r="I246" s="70" t="s">
        <v>226</v>
      </c>
      <c r="J246" s="70" t="s">
        <v>281</v>
      </c>
      <c r="K246" s="70" t="s">
        <v>281</v>
      </c>
      <c r="L246" s="70" t="s">
        <v>462</v>
      </c>
      <c r="M246" s="84" t="s">
        <v>1184</v>
      </c>
      <c r="N246" s="70" t="s">
        <v>1183</v>
      </c>
      <c r="O246" s="70" t="s">
        <v>1185</v>
      </c>
      <c r="P246" s="70"/>
      <c r="Q246" s="70" t="s">
        <v>285</v>
      </c>
      <c r="R246" s="70" t="s">
        <v>285</v>
      </c>
      <c r="S246" s="70"/>
      <c r="T246" s="70"/>
      <c r="U246" s="70"/>
      <c r="V246" s="70"/>
      <c r="W246" s="70"/>
      <c r="X246" s="70"/>
      <c r="Y246" s="70"/>
      <c r="Z246" s="70"/>
      <c r="AA246" s="92" t="s">
        <v>286</v>
      </c>
    </row>
    <row r="247" ht="14.25" hidden="1" customHeight="1" spans="1:27">
      <c r="A247" s="94"/>
      <c r="B247" s="68" t="s">
        <v>1186</v>
      </c>
      <c r="C247" s="68">
        <v>3</v>
      </c>
      <c r="D247" s="68" t="s">
        <v>294</v>
      </c>
      <c r="E247" s="68" t="s">
        <v>205</v>
      </c>
      <c r="F247" s="68" t="s">
        <v>279</v>
      </c>
      <c r="G247" s="68" t="s">
        <v>289</v>
      </c>
      <c r="H247" s="68" t="s">
        <v>225</v>
      </c>
      <c r="I247" s="68" t="s">
        <v>226</v>
      </c>
      <c r="J247" s="68" t="s">
        <v>227</v>
      </c>
      <c r="K247" s="68" t="s">
        <v>1187</v>
      </c>
      <c r="L247" s="68" t="s">
        <v>484</v>
      </c>
      <c r="M247" s="82" t="s">
        <v>1188</v>
      </c>
      <c r="N247" s="68" t="s">
        <v>1186</v>
      </c>
      <c r="O247" s="68" t="s">
        <v>1189</v>
      </c>
      <c r="P247" s="68"/>
      <c r="Q247" s="68"/>
      <c r="R247" s="68"/>
      <c r="S247" s="68"/>
      <c r="T247" s="68"/>
      <c r="U247" s="68" t="s">
        <v>285</v>
      </c>
      <c r="V247" s="68"/>
      <c r="W247" s="68" t="s">
        <v>285</v>
      </c>
      <c r="X247" s="68"/>
      <c r="Y247" s="68"/>
      <c r="Z247" s="68"/>
      <c r="AA247" s="92" t="s">
        <v>310</v>
      </c>
    </row>
    <row r="248" ht="14.25" hidden="1" customHeight="1" spans="1:27">
      <c r="A248" s="94"/>
      <c r="B248" s="67" t="s">
        <v>1190</v>
      </c>
      <c r="C248" s="67">
        <v>3</v>
      </c>
      <c r="D248" s="67" t="s">
        <v>288</v>
      </c>
      <c r="E248" s="67" t="s">
        <v>205</v>
      </c>
      <c r="F248" s="67" t="s">
        <v>279</v>
      </c>
      <c r="G248" s="67" t="s">
        <v>341</v>
      </c>
      <c r="H248" s="67" t="s">
        <v>225</v>
      </c>
      <c r="I248" s="67" t="s">
        <v>226</v>
      </c>
      <c r="J248" s="67" t="s">
        <v>227</v>
      </c>
      <c r="K248" s="67" t="s">
        <v>1191</v>
      </c>
      <c r="L248" s="67" t="s">
        <v>462</v>
      </c>
      <c r="M248" s="76" t="s">
        <v>1192</v>
      </c>
      <c r="N248" s="67" t="s">
        <v>1190</v>
      </c>
      <c r="O248" s="67" t="s">
        <v>1193</v>
      </c>
      <c r="P248" s="67" t="s">
        <v>285</v>
      </c>
      <c r="Q248" s="67"/>
      <c r="R248" s="67"/>
      <c r="S248" s="67"/>
      <c r="T248" s="67" t="s">
        <v>285</v>
      </c>
      <c r="U248" s="67"/>
      <c r="V248" s="67"/>
      <c r="W248" s="67" t="s">
        <v>285</v>
      </c>
      <c r="X248" s="67"/>
      <c r="Y248" s="67"/>
      <c r="Z248" s="67"/>
      <c r="AA248" s="92" t="s">
        <v>286</v>
      </c>
    </row>
    <row r="249" ht="14.25" hidden="1" customHeight="1" spans="1:27">
      <c r="A249" s="94"/>
      <c r="B249" s="73" t="s">
        <v>1194</v>
      </c>
      <c r="C249" s="73">
        <v>3</v>
      </c>
      <c r="D249" s="73" t="s">
        <v>378</v>
      </c>
      <c r="E249" s="73" t="s">
        <v>285</v>
      </c>
      <c r="F249" s="73" t="s">
        <v>360</v>
      </c>
      <c r="G249" s="73" t="s">
        <v>320</v>
      </c>
      <c r="H249" s="73" t="s">
        <v>225</v>
      </c>
      <c r="I249" s="73" t="s">
        <v>226</v>
      </c>
      <c r="J249" s="73" t="s">
        <v>281</v>
      </c>
      <c r="K249" s="73" t="s">
        <v>281</v>
      </c>
      <c r="L249" s="73" t="s">
        <v>353</v>
      </c>
      <c r="M249" s="91" t="s">
        <v>1195</v>
      </c>
      <c r="N249" s="73" t="s">
        <v>1194</v>
      </c>
      <c r="O249" s="73" t="s">
        <v>1196</v>
      </c>
      <c r="P249" s="73"/>
      <c r="Q249" s="73"/>
      <c r="R249" s="73"/>
      <c r="S249" s="73"/>
      <c r="T249" s="73"/>
      <c r="U249" s="73"/>
      <c r="V249" s="73"/>
      <c r="W249" s="73" t="s">
        <v>285</v>
      </c>
      <c r="X249" s="73"/>
      <c r="Y249" s="73"/>
      <c r="Z249" s="73"/>
      <c r="AA249" s="92" t="s">
        <v>286</v>
      </c>
    </row>
    <row r="250" ht="14.25" hidden="1" customHeight="1" spans="1:27">
      <c r="A250" s="94"/>
      <c r="B250" s="70" t="s">
        <v>1197</v>
      </c>
      <c r="C250" s="70">
        <v>3</v>
      </c>
      <c r="D250" s="70" t="s">
        <v>306</v>
      </c>
      <c r="E250" s="70" t="s">
        <v>205</v>
      </c>
      <c r="F250" s="70" t="s">
        <v>1198</v>
      </c>
      <c r="G250" s="70" t="s">
        <v>1122</v>
      </c>
      <c r="H250" s="70" t="s">
        <v>225</v>
      </c>
      <c r="I250" s="70" t="s">
        <v>226</v>
      </c>
      <c r="J250" s="70" t="s">
        <v>281</v>
      </c>
      <c r="K250" s="70" t="s">
        <v>281</v>
      </c>
      <c r="L250" s="70" t="s">
        <v>282</v>
      </c>
      <c r="M250" s="79" t="s">
        <v>1199</v>
      </c>
      <c r="N250" s="70" t="s">
        <v>1197</v>
      </c>
      <c r="O250" s="70" t="s">
        <v>1200</v>
      </c>
      <c r="P250" s="70" t="s">
        <v>285</v>
      </c>
      <c r="Q250" s="70"/>
      <c r="R250" s="70" t="s">
        <v>285</v>
      </c>
      <c r="S250" s="70"/>
      <c r="T250" s="70" t="s">
        <v>285</v>
      </c>
      <c r="U250" s="70"/>
      <c r="V250" s="70"/>
      <c r="W250" s="70"/>
      <c r="X250" s="70"/>
      <c r="Y250" s="70"/>
      <c r="Z250" s="70"/>
      <c r="AA250" s="92" t="s">
        <v>286</v>
      </c>
    </row>
    <row r="251" ht="14.25" hidden="1" customHeight="1" spans="1:27">
      <c r="A251" s="94"/>
      <c r="B251" s="67" t="s">
        <v>1201</v>
      </c>
      <c r="C251" s="67">
        <v>3</v>
      </c>
      <c r="D251" s="67" t="s">
        <v>288</v>
      </c>
      <c r="E251" s="67" t="s">
        <v>205</v>
      </c>
      <c r="F251" s="67" t="s">
        <v>279</v>
      </c>
      <c r="G251" s="67" t="s">
        <v>341</v>
      </c>
      <c r="H251" s="67" t="s">
        <v>225</v>
      </c>
      <c r="I251" s="67" t="s">
        <v>226</v>
      </c>
      <c r="J251" s="67" t="s">
        <v>281</v>
      </c>
      <c r="K251" s="67" t="s">
        <v>281</v>
      </c>
      <c r="L251" s="67" t="s">
        <v>585</v>
      </c>
      <c r="M251" s="76" t="s">
        <v>1202</v>
      </c>
      <c r="N251" s="67" t="s">
        <v>1201</v>
      </c>
      <c r="O251" s="67" t="s">
        <v>1203</v>
      </c>
      <c r="P251" s="67"/>
      <c r="Q251" s="67" t="s">
        <v>285</v>
      </c>
      <c r="R251" s="67" t="s">
        <v>285</v>
      </c>
      <c r="S251" s="67"/>
      <c r="T251" s="67" t="s">
        <v>285</v>
      </c>
      <c r="U251" s="67" t="s">
        <v>285</v>
      </c>
      <c r="V251" s="67"/>
      <c r="W251" s="67" t="s">
        <v>285</v>
      </c>
      <c r="X251" s="67" t="s">
        <v>285</v>
      </c>
      <c r="Y251" s="67"/>
      <c r="Z251" s="67"/>
      <c r="AA251" s="92" t="s">
        <v>286</v>
      </c>
    </row>
    <row r="252" ht="14.25" hidden="1" customHeight="1" spans="1:27">
      <c r="A252" s="94"/>
      <c r="B252" s="68" t="s">
        <v>1204</v>
      </c>
      <c r="C252" s="68">
        <v>3</v>
      </c>
      <c r="D252" s="68" t="s">
        <v>294</v>
      </c>
      <c r="E252" s="68" t="s">
        <v>205</v>
      </c>
      <c r="F252" s="68" t="s">
        <v>279</v>
      </c>
      <c r="G252" s="68" t="s">
        <v>1029</v>
      </c>
      <c r="H252" s="68" t="s">
        <v>225</v>
      </c>
      <c r="I252" s="68" t="s">
        <v>226</v>
      </c>
      <c r="J252" s="68" t="s">
        <v>281</v>
      </c>
      <c r="K252" s="68" t="s">
        <v>281</v>
      </c>
      <c r="L252" s="68" t="s">
        <v>282</v>
      </c>
      <c r="M252" s="98" t="s">
        <v>1205</v>
      </c>
      <c r="N252" s="68" t="s">
        <v>1204</v>
      </c>
      <c r="O252" s="68" t="s">
        <v>1206</v>
      </c>
      <c r="P252" s="68"/>
      <c r="Q252" s="68"/>
      <c r="R252" s="68"/>
      <c r="S252" s="68"/>
      <c r="T252" s="68"/>
      <c r="U252" s="68"/>
      <c r="V252" s="68"/>
      <c r="W252" s="68"/>
      <c r="X252" s="68"/>
      <c r="Y252" s="68" t="s">
        <v>285</v>
      </c>
      <c r="Z252" s="68" t="s">
        <v>285</v>
      </c>
      <c r="AA252" s="92" t="s">
        <v>413</v>
      </c>
    </row>
    <row r="253" ht="14.25" customHeight="1" spans="1:27">
      <c r="A253" s="94"/>
      <c r="B253" s="67" t="s">
        <v>1207</v>
      </c>
      <c r="C253" s="67">
        <v>3</v>
      </c>
      <c r="D253" s="67" t="s">
        <v>288</v>
      </c>
      <c r="E253" s="67" t="s">
        <v>205</v>
      </c>
      <c r="F253" s="67" t="s">
        <v>279</v>
      </c>
      <c r="G253" s="67" t="s">
        <v>341</v>
      </c>
      <c r="H253" s="67" t="s">
        <v>225</v>
      </c>
      <c r="I253" s="67" t="s">
        <v>226</v>
      </c>
      <c r="J253" s="67" t="s">
        <v>281</v>
      </c>
      <c r="K253" s="67" t="s">
        <v>281</v>
      </c>
      <c r="L253" s="67" t="s">
        <v>282</v>
      </c>
      <c r="M253" s="76" t="s">
        <v>1208</v>
      </c>
      <c r="N253" s="67" t="s">
        <v>1207</v>
      </c>
      <c r="O253" s="67" t="s">
        <v>1209</v>
      </c>
      <c r="P253" s="67"/>
      <c r="Q253" s="67" t="s">
        <v>285</v>
      </c>
      <c r="R253" s="67"/>
      <c r="S253" s="67" t="s">
        <v>285</v>
      </c>
      <c r="T253" s="67"/>
      <c r="U253" s="67"/>
      <c r="V253" s="67" t="s">
        <v>285</v>
      </c>
      <c r="W253" s="67" t="s">
        <v>285</v>
      </c>
      <c r="X253" s="67"/>
      <c r="Y253" s="67"/>
      <c r="Z253" s="67"/>
      <c r="AA253" s="92" t="s">
        <v>286</v>
      </c>
    </row>
    <row r="254" ht="14.25" hidden="1" customHeight="1" spans="1:27">
      <c r="A254" s="94"/>
      <c r="B254" s="69" t="s">
        <v>1210</v>
      </c>
      <c r="C254" s="69">
        <v>3</v>
      </c>
      <c r="D254" s="69" t="s">
        <v>301</v>
      </c>
      <c r="E254" s="69" t="s">
        <v>205</v>
      </c>
      <c r="F254" s="69" t="s">
        <v>279</v>
      </c>
      <c r="G254" s="69" t="s">
        <v>341</v>
      </c>
      <c r="H254" s="69" t="s">
        <v>225</v>
      </c>
      <c r="I254" s="69" t="s">
        <v>226</v>
      </c>
      <c r="J254" s="69" t="s">
        <v>227</v>
      </c>
      <c r="K254" s="69" t="s">
        <v>1211</v>
      </c>
      <c r="L254" s="69" t="s">
        <v>282</v>
      </c>
      <c r="M254" s="88" t="s">
        <v>1212</v>
      </c>
      <c r="N254" s="69" t="s">
        <v>1210</v>
      </c>
      <c r="O254" s="69" t="s">
        <v>1213</v>
      </c>
      <c r="P254" s="69"/>
      <c r="Q254" s="69" t="s">
        <v>285</v>
      </c>
      <c r="R254" s="69"/>
      <c r="S254" s="69" t="s">
        <v>285</v>
      </c>
      <c r="T254" s="69"/>
      <c r="U254" s="69"/>
      <c r="V254" s="69"/>
      <c r="W254" s="69"/>
      <c r="X254" s="69" t="s">
        <v>285</v>
      </c>
      <c r="Y254" s="69"/>
      <c r="Z254" s="69"/>
      <c r="AA254" s="92" t="s">
        <v>286</v>
      </c>
    </row>
    <row r="255" ht="14.25" hidden="1" customHeight="1" spans="1:27">
      <c r="A255" s="94"/>
      <c r="B255" s="68" t="s">
        <v>1214</v>
      </c>
      <c r="C255" s="68">
        <v>3</v>
      </c>
      <c r="D255" s="68" t="s">
        <v>294</v>
      </c>
      <c r="E255" s="68" t="s">
        <v>205</v>
      </c>
      <c r="F255" s="68" t="s">
        <v>279</v>
      </c>
      <c r="G255" s="68" t="s">
        <v>1215</v>
      </c>
      <c r="H255" s="68" t="s">
        <v>225</v>
      </c>
      <c r="I255" s="68" t="s">
        <v>226</v>
      </c>
      <c r="J255" s="68" t="s">
        <v>227</v>
      </c>
      <c r="K255" s="68" t="s">
        <v>1216</v>
      </c>
      <c r="L255" s="68" t="s">
        <v>290</v>
      </c>
      <c r="M255" s="77" t="s">
        <v>1217</v>
      </c>
      <c r="N255" s="68" t="s">
        <v>1214</v>
      </c>
      <c r="O255" s="68" t="s">
        <v>1218</v>
      </c>
      <c r="P255" s="68" t="s">
        <v>285</v>
      </c>
      <c r="Q255" s="68" t="s">
        <v>285</v>
      </c>
      <c r="R255" s="68"/>
      <c r="S255" s="68"/>
      <c r="T255" s="68"/>
      <c r="U255" s="68"/>
      <c r="V255" s="68"/>
      <c r="W255" s="68" t="s">
        <v>285</v>
      </c>
      <c r="X255" s="68"/>
      <c r="Y255" s="68"/>
      <c r="Z255" s="68"/>
      <c r="AA255" s="92" t="s">
        <v>286</v>
      </c>
    </row>
    <row r="256" ht="14.25" hidden="1" customHeight="1" spans="2:27">
      <c r="B256" s="66" t="s">
        <v>1219</v>
      </c>
      <c r="C256" s="66">
        <v>3</v>
      </c>
      <c r="D256" s="66" t="s">
        <v>278</v>
      </c>
      <c r="E256" s="66" t="s">
        <v>205</v>
      </c>
      <c r="F256" s="66" t="s">
        <v>279</v>
      </c>
      <c r="G256" s="66" t="s">
        <v>1122</v>
      </c>
      <c r="H256" s="66" t="s">
        <v>225</v>
      </c>
      <c r="I256" s="66" t="s">
        <v>226</v>
      </c>
      <c r="J256" s="66" t="s">
        <v>227</v>
      </c>
      <c r="K256" s="66" t="s">
        <v>1220</v>
      </c>
      <c r="L256" s="66" t="s">
        <v>312</v>
      </c>
      <c r="M256" s="80" t="s">
        <v>1221</v>
      </c>
      <c r="N256" s="66" t="s">
        <v>1219</v>
      </c>
      <c r="O256" s="66" t="s">
        <v>1222</v>
      </c>
      <c r="P256" s="66"/>
      <c r="Q256" s="66"/>
      <c r="R256" s="66" t="s">
        <v>285</v>
      </c>
      <c r="S256" s="66"/>
      <c r="T256" s="66"/>
      <c r="U256" s="66" t="s">
        <v>285</v>
      </c>
      <c r="V256" s="66"/>
      <c r="W256" s="66" t="s">
        <v>285</v>
      </c>
      <c r="X256" s="66"/>
      <c r="Y256" s="66"/>
      <c r="Z256" s="66"/>
      <c r="AA256" s="92" t="s">
        <v>286</v>
      </c>
    </row>
    <row r="257" ht="14.25" hidden="1" customHeight="1" spans="2:27">
      <c r="B257" s="70" t="s">
        <v>1223</v>
      </c>
      <c r="C257" s="70">
        <v>3</v>
      </c>
      <c r="D257" s="70" t="s">
        <v>306</v>
      </c>
      <c r="E257" s="70" t="s">
        <v>205</v>
      </c>
      <c r="F257" s="70" t="s">
        <v>279</v>
      </c>
      <c r="G257" s="70" t="s">
        <v>302</v>
      </c>
      <c r="H257" s="70" t="s">
        <v>225</v>
      </c>
      <c r="I257" s="70" t="s">
        <v>226</v>
      </c>
      <c r="J257" s="70" t="s">
        <v>227</v>
      </c>
      <c r="K257" s="70" t="s">
        <v>1224</v>
      </c>
      <c r="L257" s="70" t="s">
        <v>312</v>
      </c>
      <c r="M257" s="79" t="s">
        <v>1225</v>
      </c>
      <c r="N257" s="70" t="s">
        <v>1223</v>
      </c>
      <c r="O257" s="70" t="s">
        <v>1226</v>
      </c>
      <c r="P257" s="70"/>
      <c r="Q257" s="70"/>
      <c r="R257" s="70"/>
      <c r="S257" s="70"/>
      <c r="T257" s="70"/>
      <c r="U257" s="70" t="s">
        <v>285</v>
      </c>
      <c r="V257" s="70"/>
      <c r="W257" s="70" t="s">
        <v>285</v>
      </c>
      <c r="X257" s="70"/>
      <c r="Y257" s="70"/>
      <c r="Z257" s="70"/>
      <c r="AA257" s="92" t="s">
        <v>286</v>
      </c>
    </row>
    <row r="258" ht="14.25" hidden="1" customHeight="1" spans="2:27">
      <c r="B258" s="69" t="s">
        <v>1227</v>
      </c>
      <c r="C258" s="69">
        <v>3</v>
      </c>
      <c r="D258" s="69" t="s">
        <v>301</v>
      </c>
      <c r="E258" s="69" t="s">
        <v>205</v>
      </c>
      <c r="F258" s="69" t="s">
        <v>279</v>
      </c>
      <c r="G258" s="69" t="s">
        <v>386</v>
      </c>
      <c r="H258" s="69" t="s">
        <v>225</v>
      </c>
      <c r="I258" s="69" t="s">
        <v>226</v>
      </c>
      <c r="J258" s="69" t="s">
        <v>227</v>
      </c>
      <c r="K258" s="69" t="s">
        <v>1228</v>
      </c>
      <c r="L258" s="69" t="s">
        <v>397</v>
      </c>
      <c r="M258" s="88" t="s">
        <v>1229</v>
      </c>
      <c r="N258" s="69" t="s">
        <v>1227</v>
      </c>
      <c r="O258" s="69" t="s">
        <v>1230</v>
      </c>
      <c r="P258" s="69" t="s">
        <v>285</v>
      </c>
      <c r="Q258" s="69" t="s">
        <v>285</v>
      </c>
      <c r="R258" s="69"/>
      <c r="S258" s="69"/>
      <c r="T258" s="69"/>
      <c r="U258" s="69"/>
      <c r="V258" s="69"/>
      <c r="W258" s="69"/>
      <c r="X258" s="69"/>
      <c r="Y258" s="69"/>
      <c r="Z258" s="69"/>
      <c r="AA258" s="92" t="s">
        <v>286</v>
      </c>
    </row>
    <row r="259" ht="14.25" hidden="1" customHeight="1" spans="1:27">
      <c r="A259" s="94"/>
      <c r="B259" s="70" t="s">
        <v>1231</v>
      </c>
      <c r="C259" s="70">
        <v>3</v>
      </c>
      <c r="D259" s="70" t="s">
        <v>306</v>
      </c>
      <c r="E259" s="70" t="s">
        <v>205</v>
      </c>
      <c r="F259" s="70" t="s">
        <v>279</v>
      </c>
      <c r="G259" s="70" t="s">
        <v>1052</v>
      </c>
      <c r="H259" s="70" t="s">
        <v>225</v>
      </c>
      <c r="I259" s="70" t="s">
        <v>226</v>
      </c>
      <c r="J259" s="70" t="s">
        <v>281</v>
      </c>
      <c r="K259" s="70" t="s">
        <v>281</v>
      </c>
      <c r="L259" s="70" t="s">
        <v>397</v>
      </c>
      <c r="M259" s="79" t="s">
        <v>1232</v>
      </c>
      <c r="N259" s="70" t="s">
        <v>1231</v>
      </c>
      <c r="O259" s="70" t="s">
        <v>1233</v>
      </c>
      <c r="P259" s="70" t="s">
        <v>285</v>
      </c>
      <c r="Q259" s="70"/>
      <c r="R259" s="70" t="s">
        <v>285</v>
      </c>
      <c r="S259" s="70"/>
      <c r="T259" s="70" t="s">
        <v>285</v>
      </c>
      <c r="U259" s="70"/>
      <c r="V259" s="70"/>
      <c r="W259" s="70"/>
      <c r="X259" s="70"/>
      <c r="Y259" s="70"/>
      <c r="Z259" s="70"/>
      <c r="AA259" s="92" t="s">
        <v>286</v>
      </c>
    </row>
    <row r="260" ht="14.25" hidden="1" customHeight="1" spans="2:27">
      <c r="B260" s="66" t="s">
        <v>1234</v>
      </c>
      <c r="C260" s="66">
        <v>3</v>
      </c>
      <c r="D260" s="66" t="s">
        <v>278</v>
      </c>
      <c r="E260" s="66" t="s">
        <v>205</v>
      </c>
      <c r="F260" s="66" t="s">
        <v>279</v>
      </c>
      <c r="G260" s="66" t="s">
        <v>1235</v>
      </c>
      <c r="H260" s="66" t="s">
        <v>225</v>
      </c>
      <c r="I260" s="66" t="s">
        <v>226</v>
      </c>
      <c r="J260" s="66" t="s">
        <v>227</v>
      </c>
      <c r="K260" s="66" t="s">
        <v>1236</v>
      </c>
      <c r="L260" s="66" t="s">
        <v>484</v>
      </c>
      <c r="M260" s="80" t="s">
        <v>1237</v>
      </c>
      <c r="N260" s="66" t="s">
        <v>1234</v>
      </c>
      <c r="O260" s="66" t="s">
        <v>1238</v>
      </c>
      <c r="P260" s="66"/>
      <c r="Q260" s="66" t="s">
        <v>285</v>
      </c>
      <c r="R260" s="66"/>
      <c r="S260" s="66"/>
      <c r="T260" s="66"/>
      <c r="U260" s="66"/>
      <c r="V260" s="66"/>
      <c r="W260" s="66"/>
      <c r="X260" s="66"/>
      <c r="Y260" s="66"/>
      <c r="Z260" s="66"/>
      <c r="AA260" s="92" t="s">
        <v>286</v>
      </c>
    </row>
    <row r="261" ht="14.25" hidden="1" customHeight="1" spans="1:27">
      <c r="A261" s="94"/>
      <c r="B261" s="69" t="s">
        <v>1239</v>
      </c>
      <c r="C261" s="69">
        <v>3</v>
      </c>
      <c r="D261" s="69" t="s">
        <v>301</v>
      </c>
      <c r="E261" s="69" t="s">
        <v>205</v>
      </c>
      <c r="F261" s="69" t="s">
        <v>364</v>
      </c>
      <c r="G261" s="69" t="s">
        <v>289</v>
      </c>
      <c r="H261" s="69" t="s">
        <v>225</v>
      </c>
      <c r="I261" s="69" t="s">
        <v>226</v>
      </c>
      <c r="J261" s="69" t="s">
        <v>281</v>
      </c>
      <c r="K261" s="69" t="s">
        <v>281</v>
      </c>
      <c r="L261" s="69" t="s">
        <v>312</v>
      </c>
      <c r="M261" s="87" t="s">
        <v>1240</v>
      </c>
      <c r="N261" s="69" t="s">
        <v>1239</v>
      </c>
      <c r="O261" s="69" t="s">
        <v>1241</v>
      </c>
      <c r="P261" s="69"/>
      <c r="Q261" s="69" t="s">
        <v>285</v>
      </c>
      <c r="R261" s="69"/>
      <c r="S261" s="69" t="s">
        <v>285</v>
      </c>
      <c r="T261" s="69"/>
      <c r="U261" s="69"/>
      <c r="V261" s="69" t="s">
        <v>285</v>
      </c>
      <c r="W261" s="69" t="s">
        <v>285</v>
      </c>
      <c r="X261" s="69"/>
      <c r="Y261" s="117"/>
      <c r="Z261" s="117"/>
      <c r="AA261" s="92" t="s">
        <v>377</v>
      </c>
    </row>
    <row r="262" ht="14.25" hidden="1" customHeight="1" spans="2:27">
      <c r="B262" s="66" t="s">
        <v>1242</v>
      </c>
      <c r="C262" s="66">
        <v>3</v>
      </c>
      <c r="D262" s="66" t="s">
        <v>278</v>
      </c>
      <c r="E262" s="66" t="s">
        <v>205</v>
      </c>
      <c r="F262" s="66" t="s">
        <v>279</v>
      </c>
      <c r="G262" s="66" t="s">
        <v>512</v>
      </c>
      <c r="H262" s="66" t="s">
        <v>225</v>
      </c>
      <c r="I262" s="66" t="s">
        <v>226</v>
      </c>
      <c r="J262" s="66" t="s">
        <v>227</v>
      </c>
      <c r="K262" s="66" t="s">
        <v>1243</v>
      </c>
      <c r="L262" s="66" t="s">
        <v>312</v>
      </c>
      <c r="M262" s="75" t="s">
        <v>1244</v>
      </c>
      <c r="N262" s="66" t="s">
        <v>1242</v>
      </c>
      <c r="O262" s="66" t="s">
        <v>1245</v>
      </c>
      <c r="P262" s="66" t="s">
        <v>285</v>
      </c>
      <c r="Q262" s="66"/>
      <c r="R262" s="66"/>
      <c r="S262" s="66"/>
      <c r="T262" s="66"/>
      <c r="U262" s="66" t="s">
        <v>285</v>
      </c>
      <c r="V262" s="66"/>
      <c r="W262" s="66" t="s">
        <v>285</v>
      </c>
      <c r="X262" s="66"/>
      <c r="Y262" s="66"/>
      <c r="Z262" s="66"/>
      <c r="AA262" s="92" t="s">
        <v>286</v>
      </c>
    </row>
    <row r="263" ht="14.25" hidden="1" customHeight="1" spans="2:27">
      <c r="B263" s="66" t="s">
        <v>1246</v>
      </c>
      <c r="C263" s="66">
        <v>3</v>
      </c>
      <c r="D263" s="66" t="s">
        <v>278</v>
      </c>
      <c r="E263" s="66" t="s">
        <v>205</v>
      </c>
      <c r="F263" s="66" t="s">
        <v>279</v>
      </c>
      <c r="G263" s="66" t="s">
        <v>512</v>
      </c>
      <c r="H263" s="66" t="s">
        <v>225</v>
      </c>
      <c r="I263" s="66" t="s">
        <v>226</v>
      </c>
      <c r="J263" s="66" t="s">
        <v>227</v>
      </c>
      <c r="K263" s="66" t="s">
        <v>1247</v>
      </c>
      <c r="L263" s="66" t="s">
        <v>585</v>
      </c>
      <c r="M263" s="107" t="s">
        <v>1248</v>
      </c>
      <c r="N263" s="66" t="s">
        <v>1246</v>
      </c>
      <c r="O263" s="66" t="s">
        <v>1249</v>
      </c>
      <c r="P263" s="66"/>
      <c r="Q263" s="66"/>
      <c r="R263" s="66" t="s">
        <v>285</v>
      </c>
      <c r="S263" s="66"/>
      <c r="T263" s="66" t="s">
        <v>285</v>
      </c>
      <c r="U263" s="66"/>
      <c r="V263" s="66" t="s">
        <v>285</v>
      </c>
      <c r="W263" s="66" t="s">
        <v>285</v>
      </c>
      <c r="X263" s="66"/>
      <c r="Y263" s="114"/>
      <c r="Z263" s="114"/>
      <c r="AA263" s="92" t="s">
        <v>377</v>
      </c>
    </row>
    <row r="264" ht="14.25" hidden="1" customHeight="1" spans="1:27">
      <c r="A264" s="94"/>
      <c r="B264" s="66" t="s">
        <v>1250</v>
      </c>
      <c r="C264" s="66">
        <v>3</v>
      </c>
      <c r="D264" s="66" t="s">
        <v>278</v>
      </c>
      <c r="E264" s="66" t="s">
        <v>205</v>
      </c>
      <c r="F264" s="66" t="s">
        <v>279</v>
      </c>
      <c r="G264" s="66" t="s">
        <v>280</v>
      </c>
      <c r="H264" s="66" t="s">
        <v>225</v>
      </c>
      <c r="I264" s="66" t="s">
        <v>226</v>
      </c>
      <c r="J264" s="66" t="s">
        <v>227</v>
      </c>
      <c r="K264" s="66" t="s">
        <v>1251</v>
      </c>
      <c r="L264" s="66" t="s">
        <v>585</v>
      </c>
      <c r="M264" s="75" t="s">
        <v>1252</v>
      </c>
      <c r="N264" s="66" t="s">
        <v>1250</v>
      </c>
      <c r="O264" s="66" t="s">
        <v>1253</v>
      </c>
      <c r="P264" s="66"/>
      <c r="Q264" s="66"/>
      <c r="R264" s="66"/>
      <c r="S264" s="66"/>
      <c r="T264" s="66"/>
      <c r="U264" s="66"/>
      <c r="V264" s="66" t="s">
        <v>285</v>
      </c>
      <c r="W264" s="66" t="s">
        <v>285</v>
      </c>
      <c r="X264" s="66"/>
      <c r="Y264" s="66"/>
      <c r="Z264" s="66"/>
      <c r="AA264" s="92" t="s">
        <v>310</v>
      </c>
    </row>
    <row r="265" ht="14.25" hidden="1" customHeight="1" spans="1:27">
      <c r="A265" s="94"/>
      <c r="B265" s="66" t="s">
        <v>1254</v>
      </c>
      <c r="C265" s="66">
        <v>3</v>
      </c>
      <c r="D265" s="66" t="s">
        <v>278</v>
      </c>
      <c r="E265" s="66" t="s">
        <v>205</v>
      </c>
      <c r="F265" s="66" t="s">
        <v>279</v>
      </c>
      <c r="G265" s="66" t="s">
        <v>512</v>
      </c>
      <c r="H265" s="66" t="s">
        <v>225</v>
      </c>
      <c r="I265" s="66" t="s">
        <v>226</v>
      </c>
      <c r="J265" s="66" t="s">
        <v>227</v>
      </c>
      <c r="K265" s="66" t="s">
        <v>1255</v>
      </c>
      <c r="L265" s="66" t="s">
        <v>585</v>
      </c>
      <c r="M265" s="119" t="s">
        <v>1256</v>
      </c>
      <c r="N265" s="66" t="s">
        <v>1254</v>
      </c>
      <c r="O265" s="66" t="s">
        <v>1257</v>
      </c>
      <c r="P265" s="66"/>
      <c r="Q265" s="66"/>
      <c r="R265" s="66"/>
      <c r="S265" s="66"/>
      <c r="T265" s="66"/>
      <c r="U265" s="66"/>
      <c r="V265" s="66" t="s">
        <v>285</v>
      </c>
      <c r="W265" s="66" t="s">
        <v>285</v>
      </c>
      <c r="X265" s="66"/>
      <c r="Y265" s="114"/>
      <c r="Z265" s="114"/>
      <c r="AA265" s="92" t="s">
        <v>377</v>
      </c>
    </row>
    <row r="266" ht="14.25" hidden="1" customHeight="1" spans="1:27">
      <c r="A266" s="94"/>
      <c r="B266" s="69" t="s">
        <v>1258</v>
      </c>
      <c r="C266" s="69">
        <v>3</v>
      </c>
      <c r="D266" s="69" t="s">
        <v>301</v>
      </c>
      <c r="E266" s="69" t="s">
        <v>205</v>
      </c>
      <c r="F266" s="69" t="s">
        <v>279</v>
      </c>
      <c r="G266" s="69" t="s">
        <v>512</v>
      </c>
      <c r="H266" s="69" t="s">
        <v>225</v>
      </c>
      <c r="I266" s="69" t="s">
        <v>226</v>
      </c>
      <c r="J266" s="69" t="s">
        <v>227</v>
      </c>
      <c r="K266" s="69" t="s">
        <v>1259</v>
      </c>
      <c r="L266" s="69" t="s">
        <v>585</v>
      </c>
      <c r="M266" s="87" t="s">
        <v>1260</v>
      </c>
      <c r="N266" s="69" t="s">
        <v>1258</v>
      </c>
      <c r="O266" s="69" t="s">
        <v>1261</v>
      </c>
      <c r="P266" s="69"/>
      <c r="Q266" s="69"/>
      <c r="R266" s="69"/>
      <c r="S266" s="69"/>
      <c r="T266" s="69"/>
      <c r="U266" s="69"/>
      <c r="V266" s="69" t="s">
        <v>285</v>
      </c>
      <c r="W266" s="69" t="s">
        <v>285</v>
      </c>
      <c r="X266" s="69"/>
      <c r="Y266" s="117"/>
      <c r="Z266" s="117"/>
      <c r="AA266" s="92" t="s">
        <v>377</v>
      </c>
    </row>
    <row r="267" ht="14.25" hidden="1" customHeight="1" spans="1:27">
      <c r="A267" s="94"/>
      <c r="B267" s="66" t="s">
        <v>1262</v>
      </c>
      <c r="C267" s="66">
        <v>3</v>
      </c>
      <c r="D267" s="66" t="s">
        <v>278</v>
      </c>
      <c r="E267" s="66" t="s">
        <v>205</v>
      </c>
      <c r="F267" s="66" t="s">
        <v>279</v>
      </c>
      <c r="G267" s="66" t="s">
        <v>512</v>
      </c>
      <c r="H267" s="66" t="s">
        <v>225</v>
      </c>
      <c r="I267" s="66" t="s">
        <v>281</v>
      </c>
      <c r="J267" s="66" t="s">
        <v>281</v>
      </c>
      <c r="K267" s="66" t="s">
        <v>281</v>
      </c>
      <c r="L267" s="66" t="s">
        <v>282</v>
      </c>
      <c r="M267" s="80" t="s">
        <v>1263</v>
      </c>
      <c r="N267" s="66" t="s">
        <v>1262</v>
      </c>
      <c r="O267" s="66" t="s">
        <v>1264</v>
      </c>
      <c r="P267" s="66"/>
      <c r="Q267" s="66"/>
      <c r="R267" s="66"/>
      <c r="S267" s="66"/>
      <c r="T267" s="66"/>
      <c r="U267" s="66" t="s">
        <v>285</v>
      </c>
      <c r="V267" s="66" t="s">
        <v>285</v>
      </c>
      <c r="W267" s="66" t="s">
        <v>285</v>
      </c>
      <c r="X267" s="66"/>
      <c r="Y267" s="66"/>
      <c r="Z267" s="66"/>
      <c r="AA267" s="92" t="s">
        <v>310</v>
      </c>
    </row>
    <row r="268" ht="14.25" hidden="1" customHeight="1" spans="1:27">
      <c r="A268" s="94"/>
      <c r="B268" s="66" t="s">
        <v>1265</v>
      </c>
      <c r="C268" s="66">
        <v>3</v>
      </c>
      <c r="D268" s="66" t="s">
        <v>278</v>
      </c>
      <c r="E268" s="66" t="s">
        <v>205</v>
      </c>
      <c r="F268" s="66" t="s">
        <v>279</v>
      </c>
      <c r="G268" s="66" t="s">
        <v>302</v>
      </c>
      <c r="H268" s="66" t="s">
        <v>225</v>
      </c>
      <c r="I268" s="66" t="s">
        <v>226</v>
      </c>
      <c r="J268" s="66" t="s">
        <v>227</v>
      </c>
      <c r="K268" s="66" t="s">
        <v>1266</v>
      </c>
      <c r="L268" s="66" t="s">
        <v>282</v>
      </c>
      <c r="M268" s="75" t="s">
        <v>1267</v>
      </c>
      <c r="N268" s="66" t="s">
        <v>1265</v>
      </c>
      <c r="O268" s="66" t="s">
        <v>1268</v>
      </c>
      <c r="P268" s="66"/>
      <c r="Q268" s="66"/>
      <c r="R268" s="66" t="s">
        <v>285</v>
      </c>
      <c r="S268" s="66"/>
      <c r="T268" s="66"/>
      <c r="U268" s="66" t="s">
        <v>285</v>
      </c>
      <c r="V268" s="66"/>
      <c r="W268" s="66" t="s">
        <v>285</v>
      </c>
      <c r="X268" s="66"/>
      <c r="Y268" s="66"/>
      <c r="Z268" s="66"/>
      <c r="AA268" s="92" t="s">
        <v>310</v>
      </c>
    </row>
    <row r="269" ht="14.25" hidden="1" customHeight="1" spans="1:27">
      <c r="A269" s="94"/>
      <c r="B269" s="70" t="s">
        <v>1269</v>
      </c>
      <c r="C269" s="70">
        <v>3</v>
      </c>
      <c r="D269" s="70" t="s">
        <v>306</v>
      </c>
      <c r="E269" s="70" t="s">
        <v>205</v>
      </c>
      <c r="F269" s="70" t="s">
        <v>360</v>
      </c>
      <c r="G269" s="70" t="s">
        <v>341</v>
      </c>
      <c r="H269" s="70" t="s">
        <v>225</v>
      </c>
      <c r="I269" s="70" t="s">
        <v>226</v>
      </c>
      <c r="J269" s="70" t="s">
        <v>281</v>
      </c>
      <c r="K269" s="70" t="s">
        <v>281</v>
      </c>
      <c r="L269" s="70" t="s">
        <v>462</v>
      </c>
      <c r="M269" s="79" t="s">
        <v>1270</v>
      </c>
      <c r="N269" s="70" t="s">
        <v>1269</v>
      </c>
      <c r="O269" s="70" t="s">
        <v>1271</v>
      </c>
      <c r="P269" s="70"/>
      <c r="Q269" s="70"/>
      <c r="R269" s="70"/>
      <c r="S269" s="70"/>
      <c r="T269" s="70"/>
      <c r="U269" s="70"/>
      <c r="V269" s="70"/>
      <c r="W269" s="70" t="s">
        <v>285</v>
      </c>
      <c r="X269" s="70" t="s">
        <v>285</v>
      </c>
      <c r="Y269" s="70"/>
      <c r="Z269" s="70"/>
      <c r="AA269" s="92" t="s">
        <v>310</v>
      </c>
    </row>
    <row r="270" ht="14.25" customHeight="1" spans="1:27">
      <c r="A270" s="94"/>
      <c r="B270" s="72" t="s">
        <v>1272</v>
      </c>
      <c r="C270" s="72">
        <v>3</v>
      </c>
      <c r="D270" s="72" t="s">
        <v>340</v>
      </c>
      <c r="E270" s="72" t="s">
        <v>205</v>
      </c>
      <c r="F270" s="72" t="s">
        <v>279</v>
      </c>
      <c r="G270" s="72" t="s">
        <v>341</v>
      </c>
      <c r="H270" s="72" t="s">
        <v>225</v>
      </c>
      <c r="I270" s="72" t="s">
        <v>281</v>
      </c>
      <c r="J270" s="72" t="s">
        <v>227</v>
      </c>
      <c r="K270" s="72" t="s">
        <v>1273</v>
      </c>
      <c r="L270" s="72" t="s">
        <v>353</v>
      </c>
      <c r="M270" s="83" t="s">
        <v>1274</v>
      </c>
      <c r="N270" s="72" t="s">
        <v>1272</v>
      </c>
      <c r="O270" s="72" t="s">
        <v>1275</v>
      </c>
      <c r="P270" s="72" t="s">
        <v>285</v>
      </c>
      <c r="Q270" s="72" t="s">
        <v>285</v>
      </c>
      <c r="R270" s="72"/>
      <c r="S270" s="72"/>
      <c r="T270" s="72"/>
      <c r="U270" s="72" t="s">
        <v>285</v>
      </c>
      <c r="V270" s="72" t="s">
        <v>285</v>
      </c>
      <c r="W270" s="72" t="s">
        <v>285</v>
      </c>
      <c r="X270" s="72"/>
      <c r="Y270" s="72"/>
      <c r="Z270" s="72"/>
      <c r="AA270" s="92" t="s">
        <v>286</v>
      </c>
    </row>
    <row r="271" ht="14.25" customHeight="1" spans="1:27">
      <c r="A271" s="94"/>
      <c r="B271" s="69" t="s">
        <v>1276</v>
      </c>
      <c r="C271" s="69">
        <v>3</v>
      </c>
      <c r="D271" s="69" t="s">
        <v>301</v>
      </c>
      <c r="E271" s="69" t="s">
        <v>205</v>
      </c>
      <c r="F271" s="69" t="s">
        <v>279</v>
      </c>
      <c r="G271" s="69" t="s">
        <v>289</v>
      </c>
      <c r="H271" s="69" t="s">
        <v>225</v>
      </c>
      <c r="I271" s="69" t="s">
        <v>226</v>
      </c>
      <c r="J271" s="69" t="s">
        <v>281</v>
      </c>
      <c r="K271" s="69" t="s">
        <v>281</v>
      </c>
      <c r="L271" s="69" t="s">
        <v>312</v>
      </c>
      <c r="M271" s="88" t="s">
        <v>1277</v>
      </c>
      <c r="N271" s="69" t="s">
        <v>1276</v>
      </c>
      <c r="O271" s="69" t="s">
        <v>1278</v>
      </c>
      <c r="P271" s="69"/>
      <c r="Q271" s="69"/>
      <c r="R271" s="69"/>
      <c r="S271" s="69"/>
      <c r="T271" s="69"/>
      <c r="U271" s="69"/>
      <c r="V271" s="69" t="s">
        <v>285</v>
      </c>
      <c r="W271" s="69" t="s">
        <v>285</v>
      </c>
      <c r="X271" s="69"/>
      <c r="Y271" s="69"/>
      <c r="Z271" s="69"/>
      <c r="AA271" s="92" t="s">
        <v>286</v>
      </c>
    </row>
    <row r="272" ht="14.25" hidden="1" customHeight="1" spans="1:27">
      <c r="A272" s="94"/>
      <c r="B272" s="68" t="s">
        <v>1279</v>
      </c>
      <c r="C272" s="68">
        <v>3</v>
      </c>
      <c r="D272" s="68" t="s">
        <v>294</v>
      </c>
      <c r="E272" s="68" t="s">
        <v>205</v>
      </c>
      <c r="F272" s="68" t="s">
        <v>279</v>
      </c>
      <c r="G272" s="68" t="s">
        <v>512</v>
      </c>
      <c r="H272" s="68" t="s">
        <v>225</v>
      </c>
      <c r="I272" s="68" t="s">
        <v>226</v>
      </c>
      <c r="J272" s="68" t="s">
        <v>227</v>
      </c>
      <c r="K272" s="68" t="s">
        <v>1280</v>
      </c>
      <c r="L272" s="68" t="s">
        <v>484</v>
      </c>
      <c r="M272" s="77" t="s">
        <v>1281</v>
      </c>
      <c r="N272" s="68" t="s">
        <v>1279</v>
      </c>
      <c r="O272" s="68" t="s">
        <v>1282</v>
      </c>
      <c r="P272" s="68"/>
      <c r="Q272" s="68"/>
      <c r="R272" s="68"/>
      <c r="S272" s="68"/>
      <c r="T272" s="68"/>
      <c r="U272" s="68"/>
      <c r="V272" s="68"/>
      <c r="W272" s="68" t="s">
        <v>285</v>
      </c>
      <c r="X272" s="68"/>
      <c r="Y272" s="68"/>
      <c r="Z272" s="68"/>
      <c r="AA272" s="92" t="s">
        <v>310</v>
      </c>
    </row>
    <row r="273" ht="14.25" hidden="1" customHeight="1" spans="1:27">
      <c r="A273" s="94"/>
      <c r="B273" s="68" t="s">
        <v>1283</v>
      </c>
      <c r="C273" s="68">
        <v>3</v>
      </c>
      <c r="D273" s="68" t="s">
        <v>294</v>
      </c>
      <c r="E273" s="68" t="s">
        <v>205</v>
      </c>
      <c r="F273" s="68" t="s">
        <v>279</v>
      </c>
      <c r="G273" s="68" t="s">
        <v>280</v>
      </c>
      <c r="H273" s="68" t="s">
        <v>225</v>
      </c>
      <c r="I273" s="68" t="s">
        <v>226</v>
      </c>
      <c r="J273" s="68" t="s">
        <v>227</v>
      </c>
      <c r="K273" s="68" t="s">
        <v>1266</v>
      </c>
      <c r="L273" s="68" t="s">
        <v>484</v>
      </c>
      <c r="M273" s="77" t="s">
        <v>1284</v>
      </c>
      <c r="N273" s="68" t="s">
        <v>1283</v>
      </c>
      <c r="O273" s="68" t="s">
        <v>1285</v>
      </c>
      <c r="P273" s="68"/>
      <c r="Q273" s="68"/>
      <c r="R273" s="68" t="s">
        <v>285</v>
      </c>
      <c r="S273" s="68"/>
      <c r="T273" s="68"/>
      <c r="U273" s="68" t="s">
        <v>285</v>
      </c>
      <c r="V273" s="68"/>
      <c r="W273" s="68" t="s">
        <v>285</v>
      </c>
      <c r="X273" s="68"/>
      <c r="Y273" s="68"/>
      <c r="Z273" s="68"/>
      <c r="AA273" s="92" t="s">
        <v>310</v>
      </c>
    </row>
    <row r="274" ht="14.25" hidden="1" customHeight="1" spans="1:27">
      <c r="A274" s="94"/>
      <c r="B274" s="70" t="s">
        <v>1286</v>
      </c>
      <c r="C274" s="70">
        <v>3</v>
      </c>
      <c r="D274" s="70" t="s">
        <v>306</v>
      </c>
      <c r="E274" s="70" t="s">
        <v>285</v>
      </c>
      <c r="F274" s="70" t="s">
        <v>279</v>
      </c>
      <c r="G274" s="70" t="s">
        <v>320</v>
      </c>
      <c r="H274" s="70" t="s">
        <v>225</v>
      </c>
      <c r="I274" s="70" t="s">
        <v>226</v>
      </c>
      <c r="J274" s="70" t="s">
        <v>227</v>
      </c>
      <c r="K274" s="70" t="s">
        <v>1287</v>
      </c>
      <c r="L274" s="70" t="s">
        <v>467</v>
      </c>
      <c r="M274" s="79" t="s">
        <v>1288</v>
      </c>
      <c r="N274" s="70" t="s">
        <v>1286</v>
      </c>
      <c r="O274" s="70" t="s">
        <v>1289</v>
      </c>
      <c r="P274" s="70"/>
      <c r="Q274" s="70"/>
      <c r="R274" s="70" t="s">
        <v>285</v>
      </c>
      <c r="S274" s="70"/>
      <c r="T274" s="70" t="s">
        <v>285</v>
      </c>
      <c r="U274" s="70" t="s">
        <v>285</v>
      </c>
      <c r="V274" s="70"/>
      <c r="W274" s="70" t="s">
        <v>285</v>
      </c>
      <c r="X274" s="70" t="s">
        <v>285</v>
      </c>
      <c r="Y274" s="70"/>
      <c r="Z274" s="70"/>
      <c r="AA274" s="92" t="s">
        <v>286</v>
      </c>
    </row>
    <row r="275" ht="14.25" hidden="1" customHeight="1" spans="1:27">
      <c r="A275" s="94"/>
      <c r="B275" s="70" t="s">
        <v>1290</v>
      </c>
      <c r="C275" s="70">
        <v>3</v>
      </c>
      <c r="D275" s="70" t="s">
        <v>306</v>
      </c>
      <c r="E275" s="70" t="s">
        <v>285</v>
      </c>
      <c r="F275" s="70" t="s">
        <v>279</v>
      </c>
      <c r="G275" s="70" t="s">
        <v>320</v>
      </c>
      <c r="H275" s="70" t="s">
        <v>225</v>
      </c>
      <c r="I275" s="70" t="s">
        <v>226</v>
      </c>
      <c r="J275" s="70" t="s">
        <v>227</v>
      </c>
      <c r="K275" s="70" t="s">
        <v>1291</v>
      </c>
      <c r="L275" s="70" t="s">
        <v>353</v>
      </c>
      <c r="M275" s="79" t="s">
        <v>1292</v>
      </c>
      <c r="N275" s="70" t="s">
        <v>1290</v>
      </c>
      <c r="O275" s="70" t="s">
        <v>1293</v>
      </c>
      <c r="P275" s="70"/>
      <c r="Q275" s="70" t="s">
        <v>285</v>
      </c>
      <c r="R275" s="70" t="s">
        <v>285</v>
      </c>
      <c r="S275" s="70"/>
      <c r="T275" s="70" t="s">
        <v>285</v>
      </c>
      <c r="U275" s="70" t="s">
        <v>285</v>
      </c>
      <c r="V275" s="70"/>
      <c r="W275" s="70"/>
      <c r="X275" s="70" t="s">
        <v>285</v>
      </c>
      <c r="Y275" s="70"/>
      <c r="Z275" s="70"/>
      <c r="AA275" s="92" t="s">
        <v>286</v>
      </c>
    </row>
    <row r="276" ht="14.25" hidden="1" customHeight="1" spans="1:27">
      <c r="A276" s="94"/>
      <c r="B276" s="68" t="s">
        <v>1294</v>
      </c>
      <c r="C276" s="68">
        <v>3</v>
      </c>
      <c r="D276" s="68" t="s">
        <v>294</v>
      </c>
      <c r="E276" s="68" t="s">
        <v>205</v>
      </c>
      <c r="F276" s="68" t="s">
        <v>279</v>
      </c>
      <c r="G276" s="68" t="s">
        <v>302</v>
      </c>
      <c r="H276" s="68" t="s">
        <v>225</v>
      </c>
      <c r="I276" s="68" t="s">
        <v>226</v>
      </c>
      <c r="J276" s="68" t="s">
        <v>227</v>
      </c>
      <c r="K276" s="68" t="s">
        <v>1295</v>
      </c>
      <c r="L276" s="68" t="s">
        <v>312</v>
      </c>
      <c r="M276" s="82" t="s">
        <v>1296</v>
      </c>
      <c r="N276" s="68" t="s">
        <v>1294</v>
      </c>
      <c r="O276" s="68" t="s">
        <v>1297</v>
      </c>
      <c r="P276" s="68"/>
      <c r="Q276" s="68"/>
      <c r="R276" s="68" t="s">
        <v>285</v>
      </c>
      <c r="S276" s="68"/>
      <c r="T276" s="68" t="s">
        <v>285</v>
      </c>
      <c r="U276" s="68"/>
      <c r="V276" s="68"/>
      <c r="W276" s="68"/>
      <c r="X276" s="68"/>
      <c r="Y276" s="68"/>
      <c r="Z276" s="68"/>
      <c r="AA276" s="92" t="s">
        <v>286</v>
      </c>
    </row>
    <row r="277" ht="14.25" hidden="1" customHeight="1" spans="2:27">
      <c r="B277" s="71" t="s">
        <v>1298</v>
      </c>
      <c r="C277" s="71">
        <v>3</v>
      </c>
      <c r="D277" s="71" t="s">
        <v>329</v>
      </c>
      <c r="E277" s="71" t="s">
        <v>205</v>
      </c>
      <c r="F277" s="71" t="s">
        <v>279</v>
      </c>
      <c r="G277" s="71" t="s">
        <v>320</v>
      </c>
      <c r="H277" s="71" t="s">
        <v>225</v>
      </c>
      <c r="I277" s="71" t="s">
        <v>281</v>
      </c>
      <c r="J277" s="71" t="s">
        <v>281</v>
      </c>
      <c r="K277" s="71" t="s">
        <v>281</v>
      </c>
      <c r="L277" s="102" t="s">
        <v>585</v>
      </c>
      <c r="M277" s="85" t="s">
        <v>1299</v>
      </c>
      <c r="N277" s="71" t="s">
        <v>1298</v>
      </c>
      <c r="O277" s="71" t="s">
        <v>1300</v>
      </c>
      <c r="P277" s="71" t="s">
        <v>285</v>
      </c>
      <c r="Q277" s="71" t="s">
        <v>285</v>
      </c>
      <c r="R277" s="71"/>
      <c r="S277" s="71"/>
      <c r="T277" s="71"/>
      <c r="U277" s="71"/>
      <c r="V277" s="71"/>
      <c r="W277" s="71" t="s">
        <v>285</v>
      </c>
      <c r="X277" s="71"/>
      <c r="Y277" s="93"/>
      <c r="Z277" s="93"/>
      <c r="AA277" s="105" t="s">
        <v>732</v>
      </c>
    </row>
    <row r="278" ht="14.25" hidden="1" customHeight="1" spans="2:27">
      <c r="B278" s="71" t="s">
        <v>1301</v>
      </c>
      <c r="C278" s="71">
        <v>3</v>
      </c>
      <c r="D278" s="71" t="s">
        <v>329</v>
      </c>
      <c r="E278" s="71" t="s">
        <v>205</v>
      </c>
      <c r="F278" s="71" t="s">
        <v>279</v>
      </c>
      <c r="G278" s="71" t="s">
        <v>320</v>
      </c>
      <c r="H278" s="71" t="s">
        <v>225</v>
      </c>
      <c r="I278" s="71" t="s">
        <v>226</v>
      </c>
      <c r="J278" s="71" t="s">
        <v>227</v>
      </c>
      <c r="K278" s="71" t="s">
        <v>1302</v>
      </c>
      <c r="L278" s="102" t="s">
        <v>312</v>
      </c>
      <c r="M278" s="85" t="s">
        <v>1303</v>
      </c>
      <c r="N278" s="71" t="s">
        <v>1301</v>
      </c>
      <c r="O278" s="71" t="s">
        <v>1304</v>
      </c>
      <c r="P278" s="71"/>
      <c r="Q278" s="71" t="s">
        <v>285</v>
      </c>
      <c r="R278" s="71"/>
      <c r="S278" s="71"/>
      <c r="T278" s="71"/>
      <c r="U278" s="71" t="s">
        <v>285</v>
      </c>
      <c r="V278" s="71" t="s">
        <v>285</v>
      </c>
      <c r="W278" s="71" t="s">
        <v>285</v>
      </c>
      <c r="X278" s="71"/>
      <c r="Y278" s="93"/>
      <c r="Z278" s="93"/>
      <c r="AA278" s="105" t="s">
        <v>732</v>
      </c>
    </row>
    <row r="279" ht="14.25" hidden="1" customHeight="1" spans="2:27">
      <c r="B279" s="71" t="s">
        <v>1305</v>
      </c>
      <c r="C279" s="71">
        <v>3</v>
      </c>
      <c r="D279" s="71" t="s">
        <v>329</v>
      </c>
      <c r="E279" s="71" t="s">
        <v>205</v>
      </c>
      <c r="F279" s="71" t="s">
        <v>360</v>
      </c>
      <c r="G279" s="71" t="s">
        <v>280</v>
      </c>
      <c r="H279" s="71" t="s">
        <v>225</v>
      </c>
      <c r="I279" s="71" t="s">
        <v>281</v>
      </c>
      <c r="J279" s="71" t="s">
        <v>281</v>
      </c>
      <c r="K279" s="71" t="s">
        <v>281</v>
      </c>
      <c r="L279" s="102" t="s">
        <v>353</v>
      </c>
      <c r="M279" s="85" t="s">
        <v>1306</v>
      </c>
      <c r="N279" s="71" t="s">
        <v>1305</v>
      </c>
      <c r="O279" s="71" t="s">
        <v>1307</v>
      </c>
      <c r="P279" s="71" t="s">
        <v>285</v>
      </c>
      <c r="Q279" s="71" t="s">
        <v>285</v>
      </c>
      <c r="R279" s="71"/>
      <c r="S279" s="71"/>
      <c r="T279" s="71"/>
      <c r="U279" s="71"/>
      <c r="V279" s="71"/>
      <c r="W279" s="71"/>
      <c r="X279" s="71"/>
      <c r="Y279" s="93"/>
      <c r="Z279" s="93"/>
      <c r="AA279" s="105" t="s">
        <v>732</v>
      </c>
    </row>
    <row r="280" ht="14.25" hidden="1" customHeight="1" spans="2:27">
      <c r="B280" s="70" t="s">
        <v>1308</v>
      </c>
      <c r="C280" s="70">
        <v>3</v>
      </c>
      <c r="D280" s="70" t="s">
        <v>306</v>
      </c>
      <c r="E280" s="70" t="s">
        <v>205</v>
      </c>
      <c r="F280" s="70" t="s">
        <v>364</v>
      </c>
      <c r="G280" s="70" t="s">
        <v>289</v>
      </c>
      <c r="H280" s="70" t="s">
        <v>225</v>
      </c>
      <c r="I280" s="70" t="s">
        <v>226</v>
      </c>
      <c r="J280" s="70" t="s">
        <v>281</v>
      </c>
      <c r="K280" s="70" t="s">
        <v>281</v>
      </c>
      <c r="L280" s="110" t="s">
        <v>312</v>
      </c>
      <c r="M280" s="97" t="s">
        <v>1309</v>
      </c>
      <c r="N280" s="70" t="s">
        <v>1308</v>
      </c>
      <c r="O280" s="70" t="s">
        <v>1310</v>
      </c>
      <c r="P280" s="70"/>
      <c r="Q280" s="70"/>
      <c r="R280" s="70"/>
      <c r="S280" s="70"/>
      <c r="T280" s="70" t="s">
        <v>285</v>
      </c>
      <c r="U280" s="70" t="s">
        <v>285</v>
      </c>
      <c r="V280" s="70"/>
      <c r="W280" s="70" t="s">
        <v>285</v>
      </c>
      <c r="X280" s="70" t="s">
        <v>285</v>
      </c>
      <c r="Y280" s="116"/>
      <c r="Z280" s="116"/>
      <c r="AA280" s="105" t="s">
        <v>1027</v>
      </c>
    </row>
    <row r="281" ht="14.25" hidden="1" customHeight="1" spans="1:27">
      <c r="A281" s="94"/>
      <c r="B281" s="72" t="s">
        <v>1311</v>
      </c>
      <c r="C281" s="72">
        <v>4</v>
      </c>
      <c r="D281" s="72" t="s">
        <v>340</v>
      </c>
      <c r="E281" s="72" t="s">
        <v>205</v>
      </c>
      <c r="F281" s="72" t="s">
        <v>279</v>
      </c>
      <c r="G281" s="72" t="s">
        <v>320</v>
      </c>
      <c r="H281" s="72" t="s">
        <v>225</v>
      </c>
      <c r="I281" s="72" t="s">
        <v>226</v>
      </c>
      <c r="J281" s="72" t="s">
        <v>227</v>
      </c>
      <c r="K281" s="72" t="s">
        <v>1312</v>
      </c>
      <c r="L281" s="72" t="s">
        <v>585</v>
      </c>
      <c r="M281" s="95" t="s">
        <v>1313</v>
      </c>
      <c r="N281" s="72" t="s">
        <v>1311</v>
      </c>
      <c r="O281" s="72" t="s">
        <v>1314</v>
      </c>
      <c r="P281" s="72"/>
      <c r="Q281" s="72"/>
      <c r="R281" s="72"/>
      <c r="S281" s="72"/>
      <c r="T281" s="72"/>
      <c r="U281" s="72"/>
      <c r="V281" s="72"/>
      <c r="W281" s="72" t="s">
        <v>285</v>
      </c>
      <c r="X281" s="72" t="s">
        <v>285</v>
      </c>
      <c r="Y281" s="72"/>
      <c r="Z281" s="72"/>
      <c r="AA281" s="92" t="s">
        <v>286</v>
      </c>
    </row>
    <row r="282" ht="14.25" hidden="1" customHeight="1" spans="1:27">
      <c r="A282" s="94"/>
      <c r="B282" s="67" t="s">
        <v>1315</v>
      </c>
      <c r="C282" s="67">
        <v>4</v>
      </c>
      <c r="D282" s="67" t="s">
        <v>288</v>
      </c>
      <c r="E282" s="67" t="s">
        <v>205</v>
      </c>
      <c r="F282" s="67" t="s">
        <v>279</v>
      </c>
      <c r="G282" s="67" t="s">
        <v>1052</v>
      </c>
      <c r="H282" s="67" t="s">
        <v>225</v>
      </c>
      <c r="I282" s="67" t="s">
        <v>281</v>
      </c>
      <c r="J282" s="67" t="s">
        <v>281</v>
      </c>
      <c r="K282" s="67" t="s">
        <v>281</v>
      </c>
      <c r="L282" s="67" t="s">
        <v>484</v>
      </c>
      <c r="M282" s="76" t="s">
        <v>1316</v>
      </c>
      <c r="N282" s="67" t="s">
        <v>1315</v>
      </c>
      <c r="O282" s="67" t="s">
        <v>1317</v>
      </c>
      <c r="P282" s="67"/>
      <c r="Q282" s="67"/>
      <c r="R282" s="67"/>
      <c r="S282" s="67" t="s">
        <v>285</v>
      </c>
      <c r="T282" s="67"/>
      <c r="U282" s="67"/>
      <c r="V282" s="67"/>
      <c r="W282" s="67"/>
      <c r="X282" s="67"/>
      <c r="Y282" s="67"/>
      <c r="Z282" s="67"/>
      <c r="AA282" s="92" t="s">
        <v>286</v>
      </c>
    </row>
    <row r="283" ht="14.25" hidden="1" customHeight="1" spans="1:27">
      <c r="A283" s="94"/>
      <c r="B283" s="67" t="s">
        <v>1318</v>
      </c>
      <c r="C283" s="67">
        <v>4</v>
      </c>
      <c r="D283" s="67" t="s">
        <v>288</v>
      </c>
      <c r="E283" s="67" t="s">
        <v>205</v>
      </c>
      <c r="F283" s="67" t="s">
        <v>279</v>
      </c>
      <c r="G283" s="67" t="s">
        <v>1052</v>
      </c>
      <c r="H283" s="67" t="s">
        <v>225</v>
      </c>
      <c r="I283" s="67" t="s">
        <v>281</v>
      </c>
      <c r="J283" s="67" t="s">
        <v>281</v>
      </c>
      <c r="K283" s="67" t="s">
        <v>281</v>
      </c>
      <c r="L283" s="67" t="s">
        <v>484</v>
      </c>
      <c r="M283" s="76" t="s">
        <v>1319</v>
      </c>
      <c r="N283" s="67" t="s">
        <v>1318</v>
      </c>
      <c r="O283" s="67" t="s">
        <v>1320</v>
      </c>
      <c r="P283" s="67"/>
      <c r="Q283" s="67"/>
      <c r="R283" s="67"/>
      <c r="S283" s="67" t="s">
        <v>285</v>
      </c>
      <c r="T283" s="67"/>
      <c r="U283" s="67"/>
      <c r="V283" s="67"/>
      <c r="W283" s="67"/>
      <c r="X283" s="67"/>
      <c r="Y283" s="67"/>
      <c r="Z283" s="67"/>
      <c r="AA283" s="92" t="s">
        <v>286</v>
      </c>
    </row>
    <row r="284" ht="14.25" customHeight="1" spans="1:27">
      <c r="A284" s="94"/>
      <c r="B284" s="67" t="s">
        <v>1321</v>
      </c>
      <c r="C284" s="67">
        <v>4</v>
      </c>
      <c r="D284" s="67" t="s">
        <v>288</v>
      </c>
      <c r="E284" s="67" t="s">
        <v>205</v>
      </c>
      <c r="F284" s="67" t="s">
        <v>279</v>
      </c>
      <c r="G284" s="67" t="s">
        <v>280</v>
      </c>
      <c r="H284" s="67" t="s">
        <v>225</v>
      </c>
      <c r="I284" s="67" t="s">
        <v>226</v>
      </c>
      <c r="J284" s="67" t="s">
        <v>227</v>
      </c>
      <c r="K284" s="67" t="s">
        <v>1322</v>
      </c>
      <c r="L284" s="67" t="s">
        <v>312</v>
      </c>
      <c r="M284" s="76" t="s">
        <v>1323</v>
      </c>
      <c r="N284" s="67" t="s">
        <v>1321</v>
      </c>
      <c r="O284" s="67" t="s">
        <v>1324</v>
      </c>
      <c r="P284" s="67"/>
      <c r="Q284" s="67" t="s">
        <v>285</v>
      </c>
      <c r="R284" s="67"/>
      <c r="S284" s="67" t="s">
        <v>285</v>
      </c>
      <c r="T284" s="67"/>
      <c r="U284" s="67" t="s">
        <v>285</v>
      </c>
      <c r="V284" s="67" t="s">
        <v>285</v>
      </c>
      <c r="W284" s="67" t="s">
        <v>285</v>
      </c>
      <c r="X284" s="67"/>
      <c r="Y284" s="67"/>
      <c r="Z284" s="67"/>
      <c r="AA284" s="92" t="s">
        <v>286</v>
      </c>
    </row>
    <row r="285" ht="14.25" customHeight="1" spans="1:27">
      <c r="A285" s="94"/>
      <c r="B285" s="69" t="s">
        <v>1325</v>
      </c>
      <c r="C285" s="69">
        <v>4</v>
      </c>
      <c r="D285" s="69" t="s">
        <v>301</v>
      </c>
      <c r="E285" s="69" t="s">
        <v>205</v>
      </c>
      <c r="F285" s="69" t="s">
        <v>279</v>
      </c>
      <c r="G285" s="69" t="s">
        <v>320</v>
      </c>
      <c r="H285" s="69" t="s">
        <v>225</v>
      </c>
      <c r="I285" s="69" t="s">
        <v>226</v>
      </c>
      <c r="J285" s="69" t="s">
        <v>281</v>
      </c>
      <c r="K285" s="69" t="s">
        <v>281</v>
      </c>
      <c r="L285" s="69" t="s">
        <v>282</v>
      </c>
      <c r="M285" s="78" t="s">
        <v>1326</v>
      </c>
      <c r="N285" s="69" t="s">
        <v>1325</v>
      </c>
      <c r="O285" s="69" t="s">
        <v>1327</v>
      </c>
      <c r="P285" s="69"/>
      <c r="Q285" s="69"/>
      <c r="R285" s="69" t="s">
        <v>285</v>
      </c>
      <c r="S285" s="69"/>
      <c r="T285" s="69"/>
      <c r="U285" s="69" t="s">
        <v>285</v>
      </c>
      <c r="V285" s="69" t="s">
        <v>285</v>
      </c>
      <c r="W285" s="69" t="s">
        <v>285</v>
      </c>
      <c r="X285" s="69"/>
      <c r="Y285" s="69"/>
      <c r="Z285" s="69"/>
      <c r="AA285" s="92" t="s">
        <v>286</v>
      </c>
    </row>
    <row r="286" ht="14.25" hidden="1" customHeight="1" spans="2:27">
      <c r="B286" s="71" t="s">
        <v>1328</v>
      </c>
      <c r="C286" s="71">
        <v>4</v>
      </c>
      <c r="D286" s="71" t="s">
        <v>329</v>
      </c>
      <c r="E286" s="71" t="s">
        <v>205</v>
      </c>
      <c r="F286" s="71" t="s">
        <v>279</v>
      </c>
      <c r="G286" s="71" t="s">
        <v>320</v>
      </c>
      <c r="H286" s="71" t="s">
        <v>225</v>
      </c>
      <c r="I286" s="71" t="s">
        <v>226</v>
      </c>
      <c r="J286" s="71" t="s">
        <v>281</v>
      </c>
      <c r="K286" s="71" t="s">
        <v>281</v>
      </c>
      <c r="L286" s="71" t="s">
        <v>353</v>
      </c>
      <c r="M286" s="81" t="s">
        <v>1329</v>
      </c>
      <c r="N286" s="71" t="s">
        <v>1328</v>
      </c>
      <c r="O286" s="71" t="s">
        <v>1330</v>
      </c>
      <c r="P286" s="71" t="s">
        <v>285</v>
      </c>
      <c r="Q286" s="71"/>
      <c r="R286" s="71" t="s">
        <v>285</v>
      </c>
      <c r="S286" s="71"/>
      <c r="T286" s="71"/>
      <c r="U286" s="71" t="s">
        <v>285</v>
      </c>
      <c r="V286" s="71" t="s">
        <v>285</v>
      </c>
      <c r="W286" s="71" t="s">
        <v>285</v>
      </c>
      <c r="X286" s="71"/>
      <c r="Y286" s="71"/>
      <c r="Z286" s="71"/>
      <c r="AA286" s="92" t="s">
        <v>310</v>
      </c>
    </row>
    <row r="287" ht="14.25" hidden="1" customHeight="1" spans="1:27">
      <c r="A287" s="94"/>
      <c r="B287" s="71" t="s">
        <v>1331</v>
      </c>
      <c r="C287" s="71">
        <v>4</v>
      </c>
      <c r="D287" s="71" t="s">
        <v>329</v>
      </c>
      <c r="E287" s="71" t="s">
        <v>205</v>
      </c>
      <c r="F287" s="71" t="s">
        <v>279</v>
      </c>
      <c r="G287" s="71" t="s">
        <v>320</v>
      </c>
      <c r="H287" s="71" t="s">
        <v>225</v>
      </c>
      <c r="I287" s="71" t="s">
        <v>226</v>
      </c>
      <c r="J287" s="71" t="s">
        <v>281</v>
      </c>
      <c r="K287" s="71" t="s">
        <v>281</v>
      </c>
      <c r="L287" s="71" t="s">
        <v>312</v>
      </c>
      <c r="M287" s="81" t="s">
        <v>1332</v>
      </c>
      <c r="N287" s="71" t="s">
        <v>1331</v>
      </c>
      <c r="O287" s="71" t="s">
        <v>1333</v>
      </c>
      <c r="P287" s="71" t="s">
        <v>285</v>
      </c>
      <c r="Q287" s="71"/>
      <c r="R287" s="71"/>
      <c r="S287" s="71"/>
      <c r="T287" s="71"/>
      <c r="U287" s="71"/>
      <c r="V287" s="71"/>
      <c r="W287" s="71"/>
      <c r="X287" s="71"/>
      <c r="Y287" s="71"/>
      <c r="Z287" s="71"/>
      <c r="AA287" s="92" t="s">
        <v>286</v>
      </c>
    </row>
    <row r="288" ht="14.25" hidden="1" customHeight="1" spans="1:27">
      <c r="A288" s="94"/>
      <c r="B288" s="71" t="s">
        <v>1334</v>
      </c>
      <c r="C288" s="71">
        <v>4</v>
      </c>
      <c r="D288" s="71" t="s">
        <v>329</v>
      </c>
      <c r="E288" s="71" t="s">
        <v>205</v>
      </c>
      <c r="F288" s="71" t="s">
        <v>279</v>
      </c>
      <c r="G288" s="71" t="s">
        <v>512</v>
      </c>
      <c r="H288" s="71" t="s">
        <v>225</v>
      </c>
      <c r="I288" s="71" t="s">
        <v>226</v>
      </c>
      <c r="J288" s="71" t="s">
        <v>227</v>
      </c>
      <c r="K288" s="71" t="s">
        <v>1335</v>
      </c>
      <c r="L288" s="71" t="s">
        <v>312</v>
      </c>
      <c r="M288" s="81" t="s">
        <v>1336</v>
      </c>
      <c r="N288" s="71" t="s">
        <v>1334</v>
      </c>
      <c r="O288" s="71" t="s">
        <v>1337</v>
      </c>
      <c r="P288" s="71" t="s">
        <v>285</v>
      </c>
      <c r="Q288" s="71"/>
      <c r="R288" s="71" t="s">
        <v>285</v>
      </c>
      <c r="S288" s="71"/>
      <c r="T288" s="71"/>
      <c r="U288" s="71" t="s">
        <v>285</v>
      </c>
      <c r="V288" s="71"/>
      <c r="W288" s="71" t="s">
        <v>285</v>
      </c>
      <c r="X288" s="71"/>
      <c r="Y288" s="71"/>
      <c r="Z288" s="71"/>
      <c r="AA288" s="92" t="s">
        <v>286</v>
      </c>
    </row>
    <row r="289" ht="14.25" hidden="1" customHeight="1" spans="1:27">
      <c r="A289" s="94"/>
      <c r="B289" s="66" t="s">
        <v>1338</v>
      </c>
      <c r="C289" s="66">
        <v>4</v>
      </c>
      <c r="D289" s="66" t="s">
        <v>278</v>
      </c>
      <c r="E289" s="66" t="s">
        <v>205</v>
      </c>
      <c r="F289" s="66" t="s">
        <v>360</v>
      </c>
      <c r="G289" s="66" t="s">
        <v>512</v>
      </c>
      <c r="H289" s="66" t="s">
        <v>225</v>
      </c>
      <c r="I289" s="66" t="s">
        <v>226</v>
      </c>
      <c r="J289" s="66" t="s">
        <v>281</v>
      </c>
      <c r="K289" s="66" t="s">
        <v>281</v>
      </c>
      <c r="L289" s="66" t="s">
        <v>585</v>
      </c>
      <c r="M289" s="75" t="s">
        <v>1339</v>
      </c>
      <c r="N289" s="66" t="s">
        <v>1338</v>
      </c>
      <c r="O289" s="66" t="s">
        <v>1340</v>
      </c>
      <c r="P289" s="66"/>
      <c r="Q289" s="66"/>
      <c r="R289" s="66" t="s">
        <v>285</v>
      </c>
      <c r="S289" s="66"/>
      <c r="T289" s="66"/>
      <c r="U289" s="66"/>
      <c r="V289" s="66"/>
      <c r="W289" s="66" t="s">
        <v>285</v>
      </c>
      <c r="X289" s="66"/>
      <c r="Y289" s="66"/>
      <c r="Z289" s="66"/>
      <c r="AA289" s="92" t="s">
        <v>286</v>
      </c>
    </row>
    <row r="290" ht="14.25" hidden="1" customHeight="1" spans="1:27">
      <c r="A290" s="94"/>
      <c r="B290" s="66" t="s">
        <v>1341</v>
      </c>
      <c r="C290" s="66">
        <v>4</v>
      </c>
      <c r="D290" s="66" t="s">
        <v>278</v>
      </c>
      <c r="E290" s="66" t="s">
        <v>205</v>
      </c>
      <c r="F290" s="66" t="s">
        <v>279</v>
      </c>
      <c r="G290" s="66" t="s">
        <v>280</v>
      </c>
      <c r="H290" s="66" t="s">
        <v>225</v>
      </c>
      <c r="I290" s="66" t="s">
        <v>226</v>
      </c>
      <c r="J290" s="66" t="s">
        <v>227</v>
      </c>
      <c r="K290" s="66" t="s">
        <v>1342</v>
      </c>
      <c r="L290" s="66" t="s">
        <v>585</v>
      </c>
      <c r="M290" s="75" t="s">
        <v>1343</v>
      </c>
      <c r="N290" s="66" t="s">
        <v>1341</v>
      </c>
      <c r="O290" s="66" t="s">
        <v>1344</v>
      </c>
      <c r="P290" s="66"/>
      <c r="Q290" s="66"/>
      <c r="R290" s="66" t="s">
        <v>285</v>
      </c>
      <c r="S290" s="66"/>
      <c r="T290" s="66" t="s">
        <v>285</v>
      </c>
      <c r="U290" s="66"/>
      <c r="V290" s="66"/>
      <c r="W290" s="66"/>
      <c r="X290" s="66"/>
      <c r="Y290" s="66"/>
      <c r="Z290" s="66"/>
      <c r="AA290" s="92" t="s">
        <v>286</v>
      </c>
    </row>
    <row r="291" ht="14.25" hidden="1" customHeight="1" spans="1:27">
      <c r="A291" s="94"/>
      <c r="B291" s="70" t="s">
        <v>1345</v>
      </c>
      <c r="C291" s="70">
        <v>4</v>
      </c>
      <c r="D291" s="70" t="s">
        <v>306</v>
      </c>
      <c r="E291" s="70" t="s">
        <v>205</v>
      </c>
      <c r="F291" s="70" t="s">
        <v>279</v>
      </c>
      <c r="G291" s="70" t="s">
        <v>820</v>
      </c>
      <c r="H291" s="70" t="s">
        <v>225</v>
      </c>
      <c r="I291" s="70" t="s">
        <v>226</v>
      </c>
      <c r="J291" s="70" t="s">
        <v>227</v>
      </c>
      <c r="K291" s="70" t="s">
        <v>1346</v>
      </c>
      <c r="L291" s="70" t="s">
        <v>484</v>
      </c>
      <c r="M291" s="79" t="s">
        <v>1347</v>
      </c>
      <c r="N291" s="70" t="s">
        <v>1345</v>
      </c>
      <c r="O291" s="70" t="s">
        <v>1348</v>
      </c>
      <c r="P291" s="70"/>
      <c r="Q291" s="70" t="s">
        <v>285</v>
      </c>
      <c r="R291" s="70" t="s">
        <v>285</v>
      </c>
      <c r="S291" s="70"/>
      <c r="T291" s="70"/>
      <c r="U291" s="70"/>
      <c r="V291" s="70"/>
      <c r="W291" s="70" t="s">
        <v>285</v>
      </c>
      <c r="X291" s="70"/>
      <c r="Y291" s="70"/>
      <c r="Z291" s="70"/>
      <c r="AA291" s="92" t="s">
        <v>286</v>
      </c>
    </row>
    <row r="292" ht="14.25" hidden="1" customHeight="1" spans="1:27">
      <c r="A292" s="94"/>
      <c r="B292" s="67" t="s">
        <v>1349</v>
      </c>
      <c r="C292" s="67">
        <v>4</v>
      </c>
      <c r="D292" s="67" t="s">
        <v>288</v>
      </c>
      <c r="E292" s="67" t="s">
        <v>205</v>
      </c>
      <c r="F292" s="67" t="s">
        <v>279</v>
      </c>
      <c r="G292" s="67" t="s">
        <v>341</v>
      </c>
      <c r="H292" s="67" t="s">
        <v>225</v>
      </c>
      <c r="I292" s="67" t="s">
        <v>226</v>
      </c>
      <c r="J292" s="67" t="s">
        <v>281</v>
      </c>
      <c r="K292" s="67" t="s">
        <v>281</v>
      </c>
      <c r="L292" s="67" t="s">
        <v>462</v>
      </c>
      <c r="M292" s="76" t="s">
        <v>1350</v>
      </c>
      <c r="N292" s="67" t="s">
        <v>1349</v>
      </c>
      <c r="O292" s="67" t="s">
        <v>1351</v>
      </c>
      <c r="P292" s="67"/>
      <c r="Q292" s="67" t="s">
        <v>285</v>
      </c>
      <c r="R292" s="67"/>
      <c r="S292" s="67" t="s">
        <v>285</v>
      </c>
      <c r="T292" s="67"/>
      <c r="U292" s="67"/>
      <c r="V292" s="67"/>
      <c r="W292" s="67"/>
      <c r="X292" s="67"/>
      <c r="Y292" s="67"/>
      <c r="Z292" s="67"/>
      <c r="AA292" s="92" t="s">
        <v>286</v>
      </c>
    </row>
    <row r="293" ht="14.25" customHeight="1" spans="2:27">
      <c r="B293" s="66" t="s">
        <v>1352</v>
      </c>
      <c r="C293" s="66">
        <v>4</v>
      </c>
      <c r="D293" s="66" t="s">
        <v>278</v>
      </c>
      <c r="E293" s="66" t="s">
        <v>205</v>
      </c>
      <c r="F293" s="66" t="s">
        <v>279</v>
      </c>
      <c r="G293" s="66" t="s">
        <v>1353</v>
      </c>
      <c r="H293" s="66" t="s">
        <v>225</v>
      </c>
      <c r="I293" s="66" t="s">
        <v>281</v>
      </c>
      <c r="J293" s="66" t="s">
        <v>281</v>
      </c>
      <c r="K293" s="66" t="s">
        <v>281</v>
      </c>
      <c r="L293" s="66" t="s">
        <v>282</v>
      </c>
      <c r="M293" s="80" t="s">
        <v>1354</v>
      </c>
      <c r="N293" s="66" t="s">
        <v>1352</v>
      </c>
      <c r="O293" s="66" t="s">
        <v>1355</v>
      </c>
      <c r="P293" s="66" t="s">
        <v>285</v>
      </c>
      <c r="Q293" s="66"/>
      <c r="R293" s="66"/>
      <c r="S293" s="66"/>
      <c r="T293" s="66"/>
      <c r="U293" s="66" t="s">
        <v>285</v>
      </c>
      <c r="V293" s="66" t="s">
        <v>285</v>
      </c>
      <c r="W293" s="66" t="s">
        <v>285</v>
      </c>
      <c r="X293" s="66"/>
      <c r="Y293" s="66"/>
      <c r="Z293" s="66"/>
      <c r="AA293" s="92" t="s">
        <v>286</v>
      </c>
    </row>
    <row r="294" ht="14.25" hidden="1" customHeight="1" spans="2:27">
      <c r="B294" s="72" t="s">
        <v>1356</v>
      </c>
      <c r="C294" s="72">
        <v>4</v>
      </c>
      <c r="D294" s="72" t="s">
        <v>340</v>
      </c>
      <c r="E294" s="72" t="s">
        <v>285</v>
      </c>
      <c r="F294" s="72" t="s">
        <v>279</v>
      </c>
      <c r="G294" s="72" t="s">
        <v>289</v>
      </c>
      <c r="H294" s="72" t="s">
        <v>225</v>
      </c>
      <c r="I294" s="72" t="s">
        <v>226</v>
      </c>
      <c r="J294" s="72" t="s">
        <v>227</v>
      </c>
      <c r="K294" s="72" t="s">
        <v>1357</v>
      </c>
      <c r="L294" s="72" t="s">
        <v>282</v>
      </c>
      <c r="M294" s="83" t="s">
        <v>1358</v>
      </c>
      <c r="N294" s="72" t="s">
        <v>1356</v>
      </c>
      <c r="O294" s="72" t="s">
        <v>1359</v>
      </c>
      <c r="P294" s="72"/>
      <c r="Q294" s="72" t="s">
        <v>285</v>
      </c>
      <c r="R294" s="72"/>
      <c r="S294" s="72"/>
      <c r="T294" s="72"/>
      <c r="U294" s="72"/>
      <c r="V294" s="72"/>
      <c r="W294" s="72"/>
      <c r="X294" s="72"/>
      <c r="Y294" s="72"/>
      <c r="Z294" s="72"/>
      <c r="AA294" s="92" t="s">
        <v>286</v>
      </c>
    </row>
    <row r="295" ht="14.25" hidden="1" customHeight="1" spans="1:27">
      <c r="A295" s="94"/>
      <c r="B295" s="71" t="s">
        <v>1360</v>
      </c>
      <c r="C295" s="71">
        <v>4</v>
      </c>
      <c r="D295" s="71" t="s">
        <v>329</v>
      </c>
      <c r="E295" s="71" t="s">
        <v>205</v>
      </c>
      <c r="F295" s="71" t="s">
        <v>279</v>
      </c>
      <c r="G295" s="71" t="s">
        <v>280</v>
      </c>
      <c r="H295" s="71" t="s">
        <v>225</v>
      </c>
      <c r="I295" s="71" t="s">
        <v>226</v>
      </c>
      <c r="J295" s="71" t="s">
        <v>281</v>
      </c>
      <c r="K295" s="71" t="s">
        <v>281</v>
      </c>
      <c r="L295" s="71" t="s">
        <v>312</v>
      </c>
      <c r="M295" s="81" t="s">
        <v>1361</v>
      </c>
      <c r="N295" s="71" t="s">
        <v>1360</v>
      </c>
      <c r="O295" s="71" t="s">
        <v>1362</v>
      </c>
      <c r="P295" s="71"/>
      <c r="Q295" s="71"/>
      <c r="R295" s="71" t="s">
        <v>285</v>
      </c>
      <c r="S295" s="71"/>
      <c r="T295" s="71"/>
      <c r="U295" s="71" t="s">
        <v>285</v>
      </c>
      <c r="V295" s="71"/>
      <c r="W295" s="71"/>
      <c r="X295" s="71"/>
      <c r="Y295" s="71"/>
      <c r="Z295" s="71"/>
      <c r="AA295" s="92" t="s">
        <v>286</v>
      </c>
    </row>
    <row r="296" ht="14.25" hidden="1" customHeight="1" spans="2:27">
      <c r="B296" s="70" t="s">
        <v>1363</v>
      </c>
      <c r="C296" s="70">
        <v>4</v>
      </c>
      <c r="D296" s="70" t="s">
        <v>306</v>
      </c>
      <c r="E296" s="70" t="s">
        <v>205</v>
      </c>
      <c r="F296" s="70" t="s">
        <v>279</v>
      </c>
      <c r="G296" s="70" t="s">
        <v>512</v>
      </c>
      <c r="H296" s="70" t="s">
        <v>225</v>
      </c>
      <c r="I296" s="70" t="s">
        <v>226</v>
      </c>
      <c r="J296" s="70" t="s">
        <v>281</v>
      </c>
      <c r="K296" s="70" t="s">
        <v>281</v>
      </c>
      <c r="L296" s="70" t="s">
        <v>312</v>
      </c>
      <c r="M296" s="84" t="s">
        <v>1364</v>
      </c>
      <c r="N296" s="70" t="s">
        <v>1363</v>
      </c>
      <c r="O296" s="70" t="s">
        <v>1365</v>
      </c>
      <c r="P296" s="70"/>
      <c r="Q296" s="70"/>
      <c r="R296" s="70" t="s">
        <v>285</v>
      </c>
      <c r="S296" s="70"/>
      <c r="T296" s="70"/>
      <c r="U296" s="70"/>
      <c r="V296" s="70" t="s">
        <v>285</v>
      </c>
      <c r="W296" s="70" t="s">
        <v>285</v>
      </c>
      <c r="X296" s="70" t="s">
        <v>285</v>
      </c>
      <c r="Y296" s="70"/>
      <c r="Z296" s="70"/>
      <c r="AA296" s="92" t="s">
        <v>310</v>
      </c>
    </row>
    <row r="297" ht="14.25" hidden="1" customHeight="1" spans="1:27">
      <c r="A297" s="94"/>
      <c r="B297" s="66" t="s">
        <v>1366</v>
      </c>
      <c r="C297" s="66">
        <v>4</v>
      </c>
      <c r="D297" s="66" t="s">
        <v>278</v>
      </c>
      <c r="E297" s="66" t="s">
        <v>205</v>
      </c>
      <c r="F297" s="66" t="s">
        <v>279</v>
      </c>
      <c r="G297" s="66" t="s">
        <v>512</v>
      </c>
      <c r="H297" s="66" t="s">
        <v>225</v>
      </c>
      <c r="I297" s="66" t="s">
        <v>226</v>
      </c>
      <c r="J297" s="66" t="s">
        <v>227</v>
      </c>
      <c r="K297" s="66" t="s">
        <v>1367</v>
      </c>
      <c r="L297" s="66" t="s">
        <v>312</v>
      </c>
      <c r="M297" s="80" t="s">
        <v>1368</v>
      </c>
      <c r="N297" s="66" t="s">
        <v>1366</v>
      </c>
      <c r="O297" s="66" t="s">
        <v>1369</v>
      </c>
      <c r="P297" s="66"/>
      <c r="Q297" s="66"/>
      <c r="R297" s="66"/>
      <c r="S297" s="66"/>
      <c r="T297" s="66"/>
      <c r="U297" s="66"/>
      <c r="V297" s="66"/>
      <c r="W297" s="66" t="s">
        <v>285</v>
      </c>
      <c r="X297" s="66"/>
      <c r="Y297" s="66"/>
      <c r="Z297" s="66"/>
      <c r="AA297" s="92" t="s">
        <v>286</v>
      </c>
    </row>
    <row r="298" ht="14.25" hidden="1" customHeight="1" spans="2:27">
      <c r="B298" s="70" t="s">
        <v>1370</v>
      </c>
      <c r="C298" s="70">
        <v>4</v>
      </c>
      <c r="D298" s="70" t="s">
        <v>306</v>
      </c>
      <c r="E298" s="70" t="s">
        <v>205</v>
      </c>
      <c r="F298" s="70" t="s">
        <v>397</v>
      </c>
      <c r="G298" s="70" t="s">
        <v>302</v>
      </c>
      <c r="H298" s="70" t="s">
        <v>225</v>
      </c>
      <c r="I298" s="70" t="s">
        <v>226</v>
      </c>
      <c r="J298" s="70" t="s">
        <v>281</v>
      </c>
      <c r="K298" s="70" t="s">
        <v>281</v>
      </c>
      <c r="L298" s="70" t="s">
        <v>282</v>
      </c>
      <c r="M298" s="79" t="s">
        <v>1371</v>
      </c>
      <c r="N298" s="70" t="s">
        <v>1370</v>
      </c>
      <c r="O298" s="70" t="s">
        <v>1372</v>
      </c>
      <c r="P298" s="70"/>
      <c r="Q298" s="70"/>
      <c r="R298" s="70"/>
      <c r="S298" s="70"/>
      <c r="T298" s="70"/>
      <c r="U298" s="70"/>
      <c r="V298" s="70"/>
      <c r="W298" s="70" t="s">
        <v>285</v>
      </c>
      <c r="X298" s="70" t="s">
        <v>285</v>
      </c>
      <c r="Y298" s="70"/>
      <c r="Z298" s="70"/>
      <c r="AA298" s="92" t="s">
        <v>286</v>
      </c>
    </row>
    <row r="299" ht="14.25" hidden="1" customHeight="1" spans="2:27">
      <c r="B299" s="66" t="s">
        <v>1373</v>
      </c>
      <c r="C299" s="66">
        <v>4</v>
      </c>
      <c r="D299" s="66" t="s">
        <v>278</v>
      </c>
      <c r="E299" s="66" t="s">
        <v>205</v>
      </c>
      <c r="F299" s="66" t="s">
        <v>397</v>
      </c>
      <c r="G299" s="66" t="s">
        <v>320</v>
      </c>
      <c r="H299" s="66" t="s">
        <v>225</v>
      </c>
      <c r="I299" s="66" t="s">
        <v>226</v>
      </c>
      <c r="J299" s="66" t="s">
        <v>281</v>
      </c>
      <c r="K299" s="66" t="s">
        <v>281</v>
      </c>
      <c r="L299" s="66" t="s">
        <v>282</v>
      </c>
      <c r="M299" s="80" t="s">
        <v>1374</v>
      </c>
      <c r="N299" s="66" t="s">
        <v>1373</v>
      </c>
      <c r="O299" s="66" t="s">
        <v>1375</v>
      </c>
      <c r="P299" s="66"/>
      <c r="Q299" s="66"/>
      <c r="R299" s="66"/>
      <c r="S299" s="66" t="s">
        <v>285</v>
      </c>
      <c r="T299" s="66"/>
      <c r="U299" s="66"/>
      <c r="V299" s="66"/>
      <c r="W299" s="66"/>
      <c r="X299" s="66"/>
      <c r="Y299" s="66"/>
      <c r="Z299" s="66"/>
      <c r="AA299" s="92" t="s">
        <v>310</v>
      </c>
    </row>
    <row r="300" ht="14.25" hidden="1" customHeight="1" spans="2:27">
      <c r="B300" s="68" t="s">
        <v>1376</v>
      </c>
      <c r="C300" s="68">
        <v>4</v>
      </c>
      <c r="D300" s="68" t="s">
        <v>294</v>
      </c>
      <c r="E300" s="68" t="s">
        <v>205</v>
      </c>
      <c r="F300" s="68" t="s">
        <v>279</v>
      </c>
      <c r="G300" s="68" t="s">
        <v>289</v>
      </c>
      <c r="H300" s="68" t="s">
        <v>225</v>
      </c>
      <c r="I300" s="68" t="s">
        <v>226</v>
      </c>
      <c r="J300" s="68" t="s">
        <v>227</v>
      </c>
      <c r="K300" s="68" t="s">
        <v>1377</v>
      </c>
      <c r="L300" s="68" t="s">
        <v>397</v>
      </c>
      <c r="M300" s="82" t="s">
        <v>1378</v>
      </c>
      <c r="N300" s="68" t="s">
        <v>1376</v>
      </c>
      <c r="O300" s="68" t="s">
        <v>1379</v>
      </c>
      <c r="P300" s="68"/>
      <c r="Q300" s="68"/>
      <c r="R300" s="68"/>
      <c r="S300" s="68"/>
      <c r="T300" s="68"/>
      <c r="U300" s="68"/>
      <c r="V300" s="68"/>
      <c r="W300" s="68" t="s">
        <v>285</v>
      </c>
      <c r="X300" s="68"/>
      <c r="Y300" s="68"/>
      <c r="Z300" s="68"/>
      <c r="AA300" s="92" t="s">
        <v>286</v>
      </c>
    </row>
    <row r="301" ht="14.25" hidden="1" customHeight="1" spans="1:27">
      <c r="A301" s="94"/>
      <c r="B301" s="67" t="s">
        <v>1380</v>
      </c>
      <c r="C301" s="67">
        <v>4</v>
      </c>
      <c r="D301" s="67" t="s">
        <v>288</v>
      </c>
      <c r="E301" s="67" t="s">
        <v>205</v>
      </c>
      <c r="F301" s="67" t="s">
        <v>279</v>
      </c>
      <c r="G301" s="67" t="s">
        <v>341</v>
      </c>
      <c r="H301" s="67" t="s">
        <v>225</v>
      </c>
      <c r="I301" s="67" t="s">
        <v>226</v>
      </c>
      <c r="J301" s="67" t="s">
        <v>227</v>
      </c>
      <c r="K301" s="67" t="s">
        <v>1381</v>
      </c>
      <c r="L301" s="67" t="s">
        <v>353</v>
      </c>
      <c r="M301" s="90" t="s">
        <v>1382</v>
      </c>
      <c r="N301" s="67" t="s">
        <v>1380</v>
      </c>
      <c r="O301" s="67" t="s">
        <v>1383</v>
      </c>
      <c r="P301" s="67" t="s">
        <v>285</v>
      </c>
      <c r="Q301" s="67" t="s">
        <v>285</v>
      </c>
      <c r="R301" s="67" t="s">
        <v>285</v>
      </c>
      <c r="S301" s="67"/>
      <c r="T301" s="67" t="s">
        <v>285</v>
      </c>
      <c r="U301" s="67"/>
      <c r="V301" s="67"/>
      <c r="W301" s="67"/>
      <c r="X301" s="67" t="s">
        <v>285</v>
      </c>
      <c r="Y301" s="67"/>
      <c r="Z301" s="67"/>
      <c r="AA301" s="92" t="s">
        <v>286</v>
      </c>
    </row>
    <row r="302" ht="14.25" hidden="1" customHeight="1" spans="1:27">
      <c r="A302" s="94"/>
      <c r="B302" s="70" t="s">
        <v>1384</v>
      </c>
      <c r="C302" s="70">
        <v>4</v>
      </c>
      <c r="D302" s="70" t="s">
        <v>306</v>
      </c>
      <c r="E302" s="70" t="s">
        <v>205</v>
      </c>
      <c r="F302" s="70" t="s">
        <v>279</v>
      </c>
      <c r="G302" s="70" t="s">
        <v>320</v>
      </c>
      <c r="H302" s="70" t="s">
        <v>225</v>
      </c>
      <c r="I302" s="70" t="s">
        <v>226</v>
      </c>
      <c r="J302" s="70" t="s">
        <v>281</v>
      </c>
      <c r="K302" s="70" t="s">
        <v>281</v>
      </c>
      <c r="L302" s="70" t="s">
        <v>484</v>
      </c>
      <c r="M302" s="84" t="s">
        <v>1385</v>
      </c>
      <c r="N302" s="70" t="s">
        <v>1384</v>
      </c>
      <c r="O302" s="70" t="s">
        <v>1386</v>
      </c>
      <c r="P302" s="70"/>
      <c r="Q302" s="70"/>
      <c r="R302" s="70" t="s">
        <v>285</v>
      </c>
      <c r="S302" s="70"/>
      <c r="T302" s="70"/>
      <c r="U302" s="70"/>
      <c r="V302" s="70"/>
      <c r="W302" s="70"/>
      <c r="X302" s="70"/>
      <c r="Y302" s="70"/>
      <c r="Z302" s="70"/>
      <c r="AA302" s="92" t="s">
        <v>286</v>
      </c>
    </row>
    <row r="303" ht="14.25" hidden="1" customHeight="1" spans="1:27">
      <c r="A303" s="94"/>
      <c r="B303" s="66" t="s">
        <v>1387</v>
      </c>
      <c r="C303" s="66">
        <v>4</v>
      </c>
      <c r="D303" s="66" t="s">
        <v>278</v>
      </c>
      <c r="E303" s="66" t="s">
        <v>205</v>
      </c>
      <c r="F303" s="66" t="s">
        <v>364</v>
      </c>
      <c r="G303" s="66" t="s">
        <v>320</v>
      </c>
      <c r="H303" s="66" t="s">
        <v>225</v>
      </c>
      <c r="I303" s="66" t="s">
        <v>226</v>
      </c>
      <c r="J303" s="66" t="s">
        <v>281</v>
      </c>
      <c r="K303" s="66" t="s">
        <v>281</v>
      </c>
      <c r="L303" s="66" t="s">
        <v>312</v>
      </c>
      <c r="M303" s="75" t="s">
        <v>1388</v>
      </c>
      <c r="N303" s="66" t="s">
        <v>1387</v>
      </c>
      <c r="O303" s="66" t="s">
        <v>1389</v>
      </c>
      <c r="P303" s="66"/>
      <c r="Q303" s="66"/>
      <c r="R303" s="66" t="s">
        <v>285</v>
      </c>
      <c r="S303" s="66"/>
      <c r="T303" s="66" t="s">
        <v>285</v>
      </c>
      <c r="U303" s="66"/>
      <c r="V303" s="66"/>
      <c r="W303" s="66"/>
      <c r="X303" s="66"/>
      <c r="Y303" s="66"/>
      <c r="Z303" s="66"/>
      <c r="AA303" s="92" t="s">
        <v>286</v>
      </c>
    </row>
    <row r="304" ht="14.25" hidden="1" customHeight="1" spans="2:27">
      <c r="B304" s="68" t="s">
        <v>1390</v>
      </c>
      <c r="C304" s="68">
        <v>4</v>
      </c>
      <c r="D304" s="68" t="s">
        <v>294</v>
      </c>
      <c r="E304" s="68" t="s">
        <v>205</v>
      </c>
      <c r="F304" s="68" t="s">
        <v>279</v>
      </c>
      <c r="G304" s="68" t="s">
        <v>302</v>
      </c>
      <c r="H304" s="68" t="s">
        <v>225</v>
      </c>
      <c r="I304" s="68" t="s">
        <v>226</v>
      </c>
      <c r="J304" s="68" t="s">
        <v>227</v>
      </c>
      <c r="K304" s="68" t="s">
        <v>1391</v>
      </c>
      <c r="L304" s="68" t="s">
        <v>282</v>
      </c>
      <c r="M304" s="120" t="s">
        <v>1392</v>
      </c>
      <c r="N304" s="68" t="s">
        <v>1390</v>
      </c>
      <c r="O304" s="68" t="s">
        <v>1393</v>
      </c>
      <c r="P304" s="68"/>
      <c r="Q304" s="68"/>
      <c r="R304" s="68"/>
      <c r="S304" s="68"/>
      <c r="T304" s="68"/>
      <c r="U304" s="68"/>
      <c r="V304" s="68"/>
      <c r="W304" s="68"/>
      <c r="X304" s="68"/>
      <c r="Y304" s="68"/>
      <c r="Z304" s="68" t="s">
        <v>285</v>
      </c>
      <c r="AA304" s="92" t="s">
        <v>413</v>
      </c>
    </row>
    <row r="305" ht="14.25" hidden="1" customHeight="1" spans="1:27">
      <c r="A305" s="94"/>
      <c r="B305" s="73" t="s">
        <v>1394</v>
      </c>
      <c r="C305" s="73">
        <v>4</v>
      </c>
      <c r="D305" s="73" t="s">
        <v>378</v>
      </c>
      <c r="E305" s="73" t="s">
        <v>205</v>
      </c>
      <c r="F305" s="73" t="s">
        <v>279</v>
      </c>
      <c r="G305" s="73" t="s">
        <v>341</v>
      </c>
      <c r="H305" s="73" t="s">
        <v>225</v>
      </c>
      <c r="I305" s="73" t="s">
        <v>226</v>
      </c>
      <c r="J305" s="73" t="s">
        <v>281</v>
      </c>
      <c r="K305" s="73" t="s">
        <v>281</v>
      </c>
      <c r="L305" s="73" t="s">
        <v>312</v>
      </c>
      <c r="M305" s="86" t="s">
        <v>1395</v>
      </c>
      <c r="N305" s="73" t="s">
        <v>1394</v>
      </c>
      <c r="O305" s="73" t="s">
        <v>1396</v>
      </c>
      <c r="P305" s="73" t="s">
        <v>285</v>
      </c>
      <c r="Q305" s="73"/>
      <c r="R305" s="73"/>
      <c r="S305" s="73"/>
      <c r="T305" s="73"/>
      <c r="U305" s="73" t="s">
        <v>285</v>
      </c>
      <c r="V305" s="73"/>
      <c r="W305" s="73" t="s">
        <v>285</v>
      </c>
      <c r="X305" s="73"/>
      <c r="Y305" s="73"/>
      <c r="Z305" s="73"/>
      <c r="AA305" s="92" t="s">
        <v>286</v>
      </c>
    </row>
    <row r="306" ht="14.25" hidden="1" customHeight="1" spans="2:27">
      <c r="B306" s="66" t="s">
        <v>1397</v>
      </c>
      <c r="C306" s="66">
        <v>4</v>
      </c>
      <c r="D306" s="66" t="s">
        <v>278</v>
      </c>
      <c r="E306" s="66" t="s">
        <v>205</v>
      </c>
      <c r="F306" s="66" t="s">
        <v>279</v>
      </c>
      <c r="G306" s="66" t="s">
        <v>320</v>
      </c>
      <c r="H306" s="66" t="s">
        <v>225</v>
      </c>
      <c r="I306" s="66" t="s">
        <v>281</v>
      </c>
      <c r="J306" s="66" t="s">
        <v>281</v>
      </c>
      <c r="K306" s="66" t="s">
        <v>281</v>
      </c>
      <c r="L306" s="66" t="s">
        <v>462</v>
      </c>
      <c r="M306" s="80" t="s">
        <v>1398</v>
      </c>
      <c r="N306" s="66" t="s">
        <v>1397</v>
      </c>
      <c r="O306" s="66" t="s">
        <v>1399</v>
      </c>
      <c r="P306" s="66"/>
      <c r="Q306" s="66" t="s">
        <v>285</v>
      </c>
      <c r="R306" s="66"/>
      <c r="S306" s="66"/>
      <c r="T306" s="66"/>
      <c r="U306" s="66"/>
      <c r="V306" s="66"/>
      <c r="W306" s="66"/>
      <c r="X306" s="66"/>
      <c r="Y306" s="66"/>
      <c r="Z306" s="66"/>
      <c r="AA306" s="92" t="s">
        <v>286</v>
      </c>
    </row>
    <row r="307" ht="14.25" hidden="1" customHeight="1" spans="1:27">
      <c r="A307" s="94"/>
      <c r="B307" s="70" t="s">
        <v>1400</v>
      </c>
      <c r="C307" s="70">
        <v>4</v>
      </c>
      <c r="D307" s="70" t="s">
        <v>306</v>
      </c>
      <c r="E307" s="70" t="s">
        <v>205</v>
      </c>
      <c r="F307" s="70" t="s">
        <v>364</v>
      </c>
      <c r="G307" s="70" t="s">
        <v>289</v>
      </c>
      <c r="H307" s="70" t="s">
        <v>225</v>
      </c>
      <c r="I307" s="70" t="s">
        <v>281</v>
      </c>
      <c r="J307" s="70" t="s">
        <v>281</v>
      </c>
      <c r="K307" s="70" t="s">
        <v>281</v>
      </c>
      <c r="L307" s="70" t="s">
        <v>312</v>
      </c>
      <c r="M307" s="84" t="s">
        <v>1401</v>
      </c>
      <c r="N307" s="70" t="s">
        <v>1400</v>
      </c>
      <c r="O307" s="70" t="s">
        <v>1402</v>
      </c>
      <c r="P307" s="70"/>
      <c r="Q307" s="70"/>
      <c r="R307" s="70" t="s">
        <v>285</v>
      </c>
      <c r="S307" s="70"/>
      <c r="T307" s="70" t="s">
        <v>285</v>
      </c>
      <c r="U307" s="70"/>
      <c r="V307" s="70"/>
      <c r="W307" s="70"/>
      <c r="X307" s="70"/>
      <c r="Y307" s="70"/>
      <c r="Z307" s="70"/>
      <c r="AA307" s="92" t="s">
        <v>310</v>
      </c>
    </row>
    <row r="308" ht="14.25" customHeight="1" spans="1:27">
      <c r="A308" s="94"/>
      <c r="B308" s="73" t="s">
        <v>1403</v>
      </c>
      <c r="C308" s="73">
        <v>4</v>
      </c>
      <c r="D308" s="73" t="s">
        <v>378</v>
      </c>
      <c r="E308" s="73" t="s">
        <v>205</v>
      </c>
      <c r="F308" s="73" t="s">
        <v>397</v>
      </c>
      <c r="G308" s="73" t="s">
        <v>820</v>
      </c>
      <c r="H308" s="73" t="s">
        <v>225</v>
      </c>
      <c r="I308" s="73" t="s">
        <v>226</v>
      </c>
      <c r="J308" s="73" t="s">
        <v>227</v>
      </c>
      <c r="K308" s="73" t="s">
        <v>1404</v>
      </c>
      <c r="L308" s="73" t="s">
        <v>467</v>
      </c>
      <c r="M308" s="91" t="s">
        <v>1405</v>
      </c>
      <c r="N308" s="73" t="s">
        <v>1403</v>
      </c>
      <c r="O308" s="73" t="s">
        <v>1406</v>
      </c>
      <c r="P308" s="73" t="s">
        <v>285</v>
      </c>
      <c r="Q308" s="73"/>
      <c r="R308" s="73" t="s">
        <v>285</v>
      </c>
      <c r="S308" s="73"/>
      <c r="T308" s="73"/>
      <c r="U308" s="73"/>
      <c r="V308" s="73" t="s">
        <v>285</v>
      </c>
      <c r="W308" s="73" t="s">
        <v>285</v>
      </c>
      <c r="X308" s="73"/>
      <c r="Y308" s="73"/>
      <c r="Z308" s="73"/>
      <c r="AA308" s="92" t="s">
        <v>286</v>
      </c>
    </row>
    <row r="309" ht="14.25" hidden="1" customHeight="1" spans="1:27">
      <c r="A309" s="94"/>
      <c r="B309" s="68" t="s">
        <v>1407</v>
      </c>
      <c r="C309" s="68">
        <v>4</v>
      </c>
      <c r="D309" s="68" t="s">
        <v>294</v>
      </c>
      <c r="E309" s="68" t="s">
        <v>205</v>
      </c>
      <c r="F309" s="68" t="s">
        <v>279</v>
      </c>
      <c r="G309" s="68" t="s">
        <v>820</v>
      </c>
      <c r="H309" s="68" t="s">
        <v>225</v>
      </c>
      <c r="I309" s="68" t="s">
        <v>226</v>
      </c>
      <c r="J309" s="68" t="s">
        <v>227</v>
      </c>
      <c r="K309" s="68" t="s">
        <v>1408</v>
      </c>
      <c r="L309" s="68" t="s">
        <v>282</v>
      </c>
      <c r="M309" s="82" t="s">
        <v>1409</v>
      </c>
      <c r="N309" s="68" t="s">
        <v>1407</v>
      </c>
      <c r="O309" s="68" t="s">
        <v>1410</v>
      </c>
      <c r="P309" s="68"/>
      <c r="Q309" s="68"/>
      <c r="R309" s="68" t="s">
        <v>285</v>
      </c>
      <c r="S309" s="68"/>
      <c r="T309" s="68"/>
      <c r="U309" s="68" t="s">
        <v>285</v>
      </c>
      <c r="V309" s="68"/>
      <c r="W309" s="68" t="s">
        <v>285</v>
      </c>
      <c r="X309" s="68"/>
      <c r="Y309" s="68"/>
      <c r="Z309" s="68"/>
      <c r="AA309" s="92" t="s">
        <v>286</v>
      </c>
    </row>
    <row r="310" ht="14.25" hidden="1" customHeight="1" spans="1:27">
      <c r="A310" s="94"/>
      <c r="B310" s="66" t="s">
        <v>1411</v>
      </c>
      <c r="C310" s="66">
        <v>4</v>
      </c>
      <c r="D310" s="66" t="s">
        <v>278</v>
      </c>
      <c r="E310" s="66" t="s">
        <v>205</v>
      </c>
      <c r="F310" s="66" t="s">
        <v>279</v>
      </c>
      <c r="G310" s="66" t="s">
        <v>341</v>
      </c>
      <c r="H310" s="66" t="s">
        <v>225</v>
      </c>
      <c r="I310" s="66" t="s">
        <v>226</v>
      </c>
      <c r="J310" s="66" t="s">
        <v>227</v>
      </c>
      <c r="K310" s="66" t="s">
        <v>1412</v>
      </c>
      <c r="L310" s="66" t="s">
        <v>282</v>
      </c>
      <c r="M310" s="75" t="s">
        <v>1413</v>
      </c>
      <c r="N310" s="66" t="s">
        <v>1411</v>
      </c>
      <c r="O310" s="66" t="s">
        <v>1414</v>
      </c>
      <c r="P310" s="66"/>
      <c r="Q310" s="66"/>
      <c r="R310" s="66"/>
      <c r="S310" s="66"/>
      <c r="T310" s="66"/>
      <c r="U310" s="66"/>
      <c r="V310" s="66"/>
      <c r="W310" s="66" t="s">
        <v>285</v>
      </c>
      <c r="X310" s="66" t="s">
        <v>285</v>
      </c>
      <c r="Y310" s="66"/>
      <c r="Z310" s="66"/>
      <c r="AA310" s="92" t="s">
        <v>286</v>
      </c>
    </row>
    <row r="311" ht="14.25" hidden="1" customHeight="1" spans="1:27">
      <c r="A311" s="94"/>
      <c r="B311" s="72" t="s">
        <v>1415</v>
      </c>
      <c r="C311" s="72">
        <v>4</v>
      </c>
      <c r="D311" s="72" t="s">
        <v>340</v>
      </c>
      <c r="E311" s="72" t="s">
        <v>205</v>
      </c>
      <c r="F311" s="72" t="s">
        <v>279</v>
      </c>
      <c r="G311" s="72" t="s">
        <v>289</v>
      </c>
      <c r="H311" s="72" t="s">
        <v>225</v>
      </c>
      <c r="I311" s="72" t="s">
        <v>226</v>
      </c>
      <c r="J311" s="72" t="s">
        <v>227</v>
      </c>
      <c r="K311" s="72" t="s">
        <v>889</v>
      </c>
      <c r="L311" s="72" t="s">
        <v>585</v>
      </c>
      <c r="M311" s="83" t="s">
        <v>1416</v>
      </c>
      <c r="N311" s="72" t="s">
        <v>1415</v>
      </c>
      <c r="O311" s="72" t="s">
        <v>1417</v>
      </c>
      <c r="P311" s="72" t="s">
        <v>285</v>
      </c>
      <c r="Q311" s="72" t="s">
        <v>285</v>
      </c>
      <c r="R311" s="72" t="s">
        <v>285</v>
      </c>
      <c r="S311" s="72" t="s">
        <v>285</v>
      </c>
      <c r="T311" s="72" t="s">
        <v>285</v>
      </c>
      <c r="U311" s="72"/>
      <c r="V311" s="72"/>
      <c r="W311" s="72" t="s">
        <v>285</v>
      </c>
      <c r="X311" s="72"/>
      <c r="Y311" s="72"/>
      <c r="Z311" s="72"/>
      <c r="AA311" s="92" t="s">
        <v>286</v>
      </c>
    </row>
    <row r="312" ht="14.25" hidden="1" customHeight="1" spans="1:27">
      <c r="A312" s="94"/>
      <c r="B312" s="66" t="s">
        <v>1418</v>
      </c>
      <c r="C312" s="66">
        <v>4</v>
      </c>
      <c r="D312" s="66" t="s">
        <v>278</v>
      </c>
      <c r="E312" s="66" t="s">
        <v>205</v>
      </c>
      <c r="F312" s="66" t="s">
        <v>279</v>
      </c>
      <c r="G312" s="66" t="s">
        <v>320</v>
      </c>
      <c r="H312" s="66" t="s">
        <v>225</v>
      </c>
      <c r="I312" s="66" t="s">
        <v>226</v>
      </c>
      <c r="J312" s="66" t="s">
        <v>227</v>
      </c>
      <c r="K312" s="66" t="s">
        <v>1419</v>
      </c>
      <c r="L312" s="66" t="s">
        <v>462</v>
      </c>
      <c r="M312" s="75" t="s">
        <v>1420</v>
      </c>
      <c r="N312" s="66" t="s">
        <v>1418</v>
      </c>
      <c r="O312" s="66" t="s">
        <v>1421</v>
      </c>
      <c r="P312" s="66"/>
      <c r="Q312" s="66"/>
      <c r="R312" s="66"/>
      <c r="S312" s="66"/>
      <c r="T312" s="66"/>
      <c r="U312" s="66"/>
      <c r="V312" s="66"/>
      <c r="W312" s="66" t="s">
        <v>285</v>
      </c>
      <c r="X312" s="66" t="s">
        <v>285</v>
      </c>
      <c r="Y312" s="66"/>
      <c r="Z312" s="66"/>
      <c r="AA312" s="92" t="s">
        <v>286</v>
      </c>
    </row>
    <row r="313" ht="14.25" hidden="1" customHeight="1" spans="2:27">
      <c r="B313" s="67" t="s">
        <v>1422</v>
      </c>
      <c r="C313" s="67">
        <v>4</v>
      </c>
      <c r="D313" s="67" t="s">
        <v>288</v>
      </c>
      <c r="E313" s="67" t="s">
        <v>205</v>
      </c>
      <c r="F313" s="67" t="s">
        <v>397</v>
      </c>
      <c r="G313" s="67" t="s">
        <v>302</v>
      </c>
      <c r="H313" s="67" t="s">
        <v>225</v>
      </c>
      <c r="I313" s="67" t="s">
        <v>226</v>
      </c>
      <c r="J313" s="67" t="s">
        <v>227</v>
      </c>
      <c r="K313" s="67" t="s">
        <v>1423</v>
      </c>
      <c r="L313" s="67" t="s">
        <v>467</v>
      </c>
      <c r="M313" s="90" t="s">
        <v>1424</v>
      </c>
      <c r="N313" s="67" t="s">
        <v>1422</v>
      </c>
      <c r="O313" s="67" t="s">
        <v>1425</v>
      </c>
      <c r="P313" s="67"/>
      <c r="Q313" s="67"/>
      <c r="R313" s="67"/>
      <c r="S313" s="67"/>
      <c r="T313" s="67"/>
      <c r="U313" s="67"/>
      <c r="V313" s="67"/>
      <c r="W313" s="67" t="s">
        <v>285</v>
      </c>
      <c r="X313" s="67" t="s">
        <v>285</v>
      </c>
      <c r="Y313" s="67"/>
      <c r="Z313" s="67"/>
      <c r="AA313" s="92" t="s">
        <v>286</v>
      </c>
    </row>
    <row r="314" ht="14.25" hidden="1" customHeight="1" spans="1:27">
      <c r="A314" s="94"/>
      <c r="B314" s="68" t="s">
        <v>1426</v>
      </c>
      <c r="C314" s="68">
        <v>4</v>
      </c>
      <c r="D314" s="68" t="s">
        <v>294</v>
      </c>
      <c r="E314" s="68" t="s">
        <v>205</v>
      </c>
      <c r="F314" s="68" t="s">
        <v>279</v>
      </c>
      <c r="G314" s="68" t="s">
        <v>320</v>
      </c>
      <c r="H314" s="68" t="s">
        <v>225</v>
      </c>
      <c r="I314" s="68" t="s">
        <v>226</v>
      </c>
      <c r="J314" s="68" t="s">
        <v>227</v>
      </c>
      <c r="K314" s="68" t="s">
        <v>1427</v>
      </c>
      <c r="L314" s="68" t="s">
        <v>312</v>
      </c>
      <c r="M314" s="82" t="s">
        <v>1428</v>
      </c>
      <c r="N314" s="68" t="s">
        <v>1426</v>
      </c>
      <c r="O314" s="68" t="s">
        <v>1429</v>
      </c>
      <c r="P314" s="68"/>
      <c r="Q314" s="68"/>
      <c r="R314" s="68"/>
      <c r="S314" s="68"/>
      <c r="T314" s="68"/>
      <c r="U314" s="68"/>
      <c r="V314" s="68"/>
      <c r="W314" s="68" t="s">
        <v>285</v>
      </c>
      <c r="X314" s="68" t="s">
        <v>285</v>
      </c>
      <c r="Y314" s="68"/>
      <c r="Z314" s="68"/>
      <c r="AA314" s="92" t="s">
        <v>286</v>
      </c>
    </row>
    <row r="315" ht="14.25" hidden="1" customHeight="1" spans="1:27">
      <c r="A315" s="94"/>
      <c r="B315" s="73" t="s">
        <v>1430</v>
      </c>
      <c r="C315" s="73">
        <v>4</v>
      </c>
      <c r="D315" s="73" t="s">
        <v>378</v>
      </c>
      <c r="E315" s="73" t="s">
        <v>205</v>
      </c>
      <c r="F315" s="73" t="s">
        <v>279</v>
      </c>
      <c r="G315" s="73" t="s">
        <v>302</v>
      </c>
      <c r="H315" s="73" t="s">
        <v>225</v>
      </c>
      <c r="I315" s="73" t="s">
        <v>226</v>
      </c>
      <c r="J315" s="73" t="s">
        <v>281</v>
      </c>
      <c r="K315" s="73" t="s">
        <v>281</v>
      </c>
      <c r="L315" s="73" t="s">
        <v>312</v>
      </c>
      <c r="M315" s="91" t="s">
        <v>1431</v>
      </c>
      <c r="N315" s="73" t="s">
        <v>1430</v>
      </c>
      <c r="O315" s="73" t="s">
        <v>1432</v>
      </c>
      <c r="P315" s="73"/>
      <c r="Q315" s="73"/>
      <c r="R315" s="73"/>
      <c r="S315" s="73"/>
      <c r="T315" s="73"/>
      <c r="U315" s="73"/>
      <c r="V315" s="73"/>
      <c r="W315" s="73" t="s">
        <v>285</v>
      </c>
      <c r="X315" s="73"/>
      <c r="Y315" s="73"/>
      <c r="Z315" s="73"/>
      <c r="AA315" s="92" t="s">
        <v>286</v>
      </c>
    </row>
    <row r="316" ht="14.25" hidden="1" customHeight="1" spans="1:27">
      <c r="A316" s="94"/>
      <c r="B316" s="70" t="s">
        <v>1433</v>
      </c>
      <c r="C316" s="70">
        <v>4</v>
      </c>
      <c r="D316" s="70" t="s">
        <v>306</v>
      </c>
      <c r="E316" s="70" t="s">
        <v>205</v>
      </c>
      <c r="F316" s="70" t="s">
        <v>279</v>
      </c>
      <c r="G316" s="70" t="s">
        <v>280</v>
      </c>
      <c r="H316" s="70" t="s">
        <v>225</v>
      </c>
      <c r="I316" s="70" t="s">
        <v>226</v>
      </c>
      <c r="J316" s="70" t="s">
        <v>227</v>
      </c>
      <c r="K316" s="70" t="s">
        <v>1434</v>
      </c>
      <c r="L316" s="70" t="s">
        <v>585</v>
      </c>
      <c r="M316" s="79" t="s">
        <v>1435</v>
      </c>
      <c r="N316" s="70" t="s">
        <v>1433</v>
      </c>
      <c r="O316" s="70" t="s">
        <v>1436</v>
      </c>
      <c r="P316" s="70" t="s">
        <v>285</v>
      </c>
      <c r="Q316" s="70"/>
      <c r="R316" s="70" t="s">
        <v>285</v>
      </c>
      <c r="S316" s="70"/>
      <c r="T316" s="70"/>
      <c r="U316" s="70" t="s">
        <v>285</v>
      </c>
      <c r="V316" s="70"/>
      <c r="W316" s="70" t="s">
        <v>285</v>
      </c>
      <c r="X316" s="70"/>
      <c r="Y316" s="70"/>
      <c r="Z316" s="70"/>
      <c r="AA316" s="92" t="s">
        <v>286</v>
      </c>
    </row>
    <row r="317" ht="14.25" hidden="1" customHeight="1" spans="2:27">
      <c r="B317" s="69" t="s">
        <v>1437</v>
      </c>
      <c r="C317" s="69">
        <v>4</v>
      </c>
      <c r="D317" s="69" t="s">
        <v>301</v>
      </c>
      <c r="E317" s="69" t="s">
        <v>205</v>
      </c>
      <c r="F317" s="69" t="s">
        <v>279</v>
      </c>
      <c r="G317" s="69" t="s">
        <v>289</v>
      </c>
      <c r="H317" s="69" t="s">
        <v>225</v>
      </c>
      <c r="I317" s="69" t="s">
        <v>226</v>
      </c>
      <c r="J317" s="69" t="s">
        <v>227</v>
      </c>
      <c r="K317" s="69" t="s">
        <v>1438</v>
      </c>
      <c r="L317" s="69" t="s">
        <v>312</v>
      </c>
      <c r="M317" s="78" t="s">
        <v>1439</v>
      </c>
      <c r="N317" s="69" t="s">
        <v>1437</v>
      </c>
      <c r="O317" s="69" t="s">
        <v>1440</v>
      </c>
      <c r="P317" s="69"/>
      <c r="Q317" s="69"/>
      <c r="R317" s="69"/>
      <c r="S317" s="69"/>
      <c r="T317" s="69"/>
      <c r="U317" s="69"/>
      <c r="V317" s="69" t="s">
        <v>285</v>
      </c>
      <c r="W317" s="69"/>
      <c r="X317" s="69"/>
      <c r="Y317" s="69"/>
      <c r="Z317" s="69"/>
      <c r="AA317" s="92" t="s">
        <v>310</v>
      </c>
    </row>
    <row r="318" ht="14.25" hidden="1" customHeight="1" spans="1:27">
      <c r="A318" s="94"/>
      <c r="B318" s="68" t="s">
        <v>1441</v>
      </c>
      <c r="C318" s="68">
        <v>4</v>
      </c>
      <c r="D318" s="68" t="s">
        <v>294</v>
      </c>
      <c r="E318" s="68" t="s">
        <v>205</v>
      </c>
      <c r="F318" s="68" t="s">
        <v>279</v>
      </c>
      <c r="G318" s="68" t="s">
        <v>302</v>
      </c>
      <c r="H318" s="68" t="s">
        <v>225</v>
      </c>
      <c r="I318" s="68" t="s">
        <v>226</v>
      </c>
      <c r="J318" s="68" t="s">
        <v>281</v>
      </c>
      <c r="K318" s="68" t="s">
        <v>281</v>
      </c>
      <c r="L318" s="68" t="s">
        <v>484</v>
      </c>
      <c r="M318" s="77" t="s">
        <v>1442</v>
      </c>
      <c r="N318" s="68" t="s">
        <v>1441</v>
      </c>
      <c r="O318" s="68" t="s">
        <v>1443</v>
      </c>
      <c r="P318" s="68"/>
      <c r="Q318" s="68"/>
      <c r="R318" s="68"/>
      <c r="S318" s="68"/>
      <c r="T318" s="68"/>
      <c r="U318" s="68" t="s">
        <v>285</v>
      </c>
      <c r="V318" s="68" t="s">
        <v>285</v>
      </c>
      <c r="W318" s="68" t="s">
        <v>285</v>
      </c>
      <c r="X318" s="68"/>
      <c r="Y318" s="68"/>
      <c r="Z318" s="68"/>
      <c r="AA318" s="92" t="s">
        <v>310</v>
      </c>
    </row>
    <row r="319" ht="14.25" hidden="1" customHeight="1" spans="1:27">
      <c r="A319" s="94"/>
      <c r="B319" s="68" t="s">
        <v>1444</v>
      </c>
      <c r="C319" s="68">
        <v>4</v>
      </c>
      <c r="D319" s="68" t="s">
        <v>294</v>
      </c>
      <c r="E319" s="68" t="s">
        <v>205</v>
      </c>
      <c r="F319" s="68" t="s">
        <v>364</v>
      </c>
      <c r="G319" s="68" t="s">
        <v>289</v>
      </c>
      <c r="H319" s="68" t="s">
        <v>225</v>
      </c>
      <c r="I319" s="68" t="s">
        <v>281</v>
      </c>
      <c r="J319" s="68" t="s">
        <v>281</v>
      </c>
      <c r="K319" s="68" t="s">
        <v>281</v>
      </c>
      <c r="L319" s="68" t="s">
        <v>312</v>
      </c>
      <c r="M319" s="77" t="s">
        <v>1445</v>
      </c>
      <c r="N319" s="68" t="s">
        <v>1444</v>
      </c>
      <c r="O319" s="68" t="s">
        <v>1446</v>
      </c>
      <c r="P319" s="68"/>
      <c r="Q319" s="68"/>
      <c r="R319" s="68"/>
      <c r="S319" s="68" t="s">
        <v>285</v>
      </c>
      <c r="T319" s="68"/>
      <c r="U319" s="68"/>
      <c r="V319" s="68"/>
      <c r="W319" s="68"/>
      <c r="X319" s="68"/>
      <c r="Y319" s="68"/>
      <c r="Z319" s="68"/>
      <c r="AA319" s="92" t="s">
        <v>286</v>
      </c>
    </row>
    <row r="320" ht="14.25" hidden="1" customHeight="1" spans="1:27">
      <c r="A320" s="94"/>
      <c r="B320" s="70" t="s">
        <v>1447</v>
      </c>
      <c r="C320" s="70">
        <v>4</v>
      </c>
      <c r="D320" s="70" t="s">
        <v>306</v>
      </c>
      <c r="E320" s="70" t="s">
        <v>205</v>
      </c>
      <c r="F320" s="70" t="s">
        <v>279</v>
      </c>
      <c r="G320" s="70" t="s">
        <v>341</v>
      </c>
      <c r="H320" s="70" t="s">
        <v>225</v>
      </c>
      <c r="I320" s="70" t="s">
        <v>226</v>
      </c>
      <c r="J320" s="70" t="s">
        <v>227</v>
      </c>
      <c r="K320" s="70" t="s">
        <v>1448</v>
      </c>
      <c r="L320" s="70" t="s">
        <v>282</v>
      </c>
      <c r="M320" s="79" t="s">
        <v>1449</v>
      </c>
      <c r="N320" s="70" t="s">
        <v>1447</v>
      </c>
      <c r="O320" s="70" t="s">
        <v>1450</v>
      </c>
      <c r="P320" s="70"/>
      <c r="Q320" s="70" t="s">
        <v>285</v>
      </c>
      <c r="R320" s="70" t="s">
        <v>285</v>
      </c>
      <c r="S320" s="70"/>
      <c r="T320" s="70"/>
      <c r="U320" s="70"/>
      <c r="V320" s="70"/>
      <c r="W320" s="70" t="s">
        <v>285</v>
      </c>
      <c r="X320" s="70" t="s">
        <v>285</v>
      </c>
      <c r="Y320" s="70"/>
      <c r="Z320" s="70"/>
      <c r="AA320" s="92" t="s">
        <v>286</v>
      </c>
    </row>
    <row r="321" ht="14.25" hidden="1" customHeight="1" spans="1:27">
      <c r="A321" s="94"/>
      <c r="B321" s="67" t="s">
        <v>1451</v>
      </c>
      <c r="C321" s="67">
        <v>4</v>
      </c>
      <c r="D321" s="67" t="s">
        <v>288</v>
      </c>
      <c r="E321" s="67" t="s">
        <v>205</v>
      </c>
      <c r="F321" s="67" t="s">
        <v>279</v>
      </c>
      <c r="G321" s="67" t="s">
        <v>341</v>
      </c>
      <c r="H321" s="67" t="s">
        <v>225</v>
      </c>
      <c r="I321" s="67" t="s">
        <v>226</v>
      </c>
      <c r="J321" s="67" t="s">
        <v>227</v>
      </c>
      <c r="K321" s="67" t="s">
        <v>1452</v>
      </c>
      <c r="L321" s="67" t="s">
        <v>585</v>
      </c>
      <c r="M321" s="76" t="s">
        <v>1453</v>
      </c>
      <c r="N321" s="67" t="s">
        <v>1451</v>
      </c>
      <c r="O321" s="67" t="s">
        <v>1454</v>
      </c>
      <c r="P321" s="67"/>
      <c r="Q321" s="67"/>
      <c r="R321" s="67" t="s">
        <v>285</v>
      </c>
      <c r="S321" s="67"/>
      <c r="T321" s="67" t="s">
        <v>285</v>
      </c>
      <c r="U321" s="67" t="s">
        <v>285</v>
      </c>
      <c r="V321" s="67"/>
      <c r="W321" s="67" t="s">
        <v>285</v>
      </c>
      <c r="X321" s="67" t="s">
        <v>285</v>
      </c>
      <c r="Y321" s="67"/>
      <c r="Z321" s="67"/>
      <c r="AA321" s="92" t="s">
        <v>286</v>
      </c>
    </row>
    <row r="322" ht="14.25" hidden="1" customHeight="1" spans="1:27">
      <c r="A322" s="94"/>
      <c r="B322" s="68" t="s">
        <v>1455</v>
      </c>
      <c r="C322" s="68">
        <v>4</v>
      </c>
      <c r="D322" s="68" t="s">
        <v>294</v>
      </c>
      <c r="E322" s="68" t="s">
        <v>205</v>
      </c>
      <c r="F322" s="68" t="s">
        <v>279</v>
      </c>
      <c r="G322" s="68" t="s">
        <v>1122</v>
      </c>
      <c r="H322" s="68" t="s">
        <v>225</v>
      </c>
      <c r="I322" s="68" t="s">
        <v>226</v>
      </c>
      <c r="J322" s="68" t="s">
        <v>281</v>
      </c>
      <c r="K322" s="68" t="s">
        <v>281</v>
      </c>
      <c r="L322" s="68" t="s">
        <v>312</v>
      </c>
      <c r="M322" s="77" t="s">
        <v>1456</v>
      </c>
      <c r="N322" s="68" t="s">
        <v>1455</v>
      </c>
      <c r="O322" s="68" t="s">
        <v>1457</v>
      </c>
      <c r="P322" s="68"/>
      <c r="Q322" s="68"/>
      <c r="R322" s="68"/>
      <c r="S322" s="68"/>
      <c r="T322" s="68"/>
      <c r="U322" s="68" t="s">
        <v>285</v>
      </c>
      <c r="V322" s="68"/>
      <c r="W322" s="68" t="s">
        <v>285</v>
      </c>
      <c r="X322" s="68"/>
      <c r="Y322" s="68"/>
      <c r="Z322" s="68"/>
      <c r="AA322" s="92" t="s">
        <v>310</v>
      </c>
    </row>
    <row r="323" ht="14.25" hidden="1" customHeight="1" spans="1:27">
      <c r="A323" s="94"/>
      <c r="B323" s="66" t="s">
        <v>1458</v>
      </c>
      <c r="C323" s="66">
        <v>4</v>
      </c>
      <c r="D323" s="66" t="s">
        <v>278</v>
      </c>
      <c r="E323" s="66" t="s">
        <v>205</v>
      </c>
      <c r="F323" s="66" t="s">
        <v>279</v>
      </c>
      <c r="G323" s="66" t="s">
        <v>512</v>
      </c>
      <c r="H323" s="66" t="s">
        <v>225</v>
      </c>
      <c r="I323" s="66" t="s">
        <v>226</v>
      </c>
      <c r="J323" s="66" t="s">
        <v>227</v>
      </c>
      <c r="K323" s="66" t="s">
        <v>1459</v>
      </c>
      <c r="L323" s="66" t="s">
        <v>585</v>
      </c>
      <c r="M323" s="107" t="s">
        <v>1460</v>
      </c>
      <c r="N323" s="66" t="s">
        <v>1458</v>
      </c>
      <c r="O323" s="66" t="s">
        <v>1461</v>
      </c>
      <c r="P323" s="66"/>
      <c r="Q323" s="66"/>
      <c r="R323" s="66"/>
      <c r="S323" s="66"/>
      <c r="T323" s="66"/>
      <c r="U323" s="66"/>
      <c r="V323" s="66" t="s">
        <v>285</v>
      </c>
      <c r="W323" s="66" t="s">
        <v>285</v>
      </c>
      <c r="X323" s="66"/>
      <c r="Y323" s="114"/>
      <c r="Z323" s="114"/>
      <c r="AA323" s="92" t="s">
        <v>377</v>
      </c>
    </row>
    <row r="324" ht="14.25" hidden="1" customHeight="1" spans="1:27">
      <c r="A324" s="94"/>
      <c r="B324" s="66" t="s">
        <v>1462</v>
      </c>
      <c r="C324" s="66">
        <v>4</v>
      </c>
      <c r="D324" s="66" t="s">
        <v>278</v>
      </c>
      <c r="E324" s="66" t="s">
        <v>205</v>
      </c>
      <c r="F324" s="66" t="s">
        <v>279</v>
      </c>
      <c r="G324" s="66" t="s">
        <v>512</v>
      </c>
      <c r="H324" s="66" t="s">
        <v>225</v>
      </c>
      <c r="I324" s="66" t="s">
        <v>226</v>
      </c>
      <c r="J324" s="66" t="s">
        <v>227</v>
      </c>
      <c r="K324" s="66" t="s">
        <v>1463</v>
      </c>
      <c r="L324" s="66" t="s">
        <v>585</v>
      </c>
      <c r="M324" s="119" t="s">
        <v>1464</v>
      </c>
      <c r="N324" s="66" t="s">
        <v>1462</v>
      </c>
      <c r="O324" s="66" t="s">
        <v>1465</v>
      </c>
      <c r="P324" s="66"/>
      <c r="Q324" s="66"/>
      <c r="R324" s="66"/>
      <c r="S324" s="66"/>
      <c r="T324" s="66"/>
      <c r="U324" s="66"/>
      <c r="V324" s="66"/>
      <c r="W324" s="66" t="s">
        <v>285</v>
      </c>
      <c r="X324" s="66" t="s">
        <v>285</v>
      </c>
      <c r="Y324" s="114"/>
      <c r="Z324" s="114"/>
      <c r="AA324" s="92" t="s">
        <v>377</v>
      </c>
    </row>
    <row r="325" ht="14.25" hidden="1" customHeight="1" spans="1:27">
      <c r="A325" s="94"/>
      <c r="B325" s="66" t="s">
        <v>1466</v>
      </c>
      <c r="C325" s="66">
        <v>4</v>
      </c>
      <c r="D325" s="66" t="s">
        <v>278</v>
      </c>
      <c r="E325" s="66" t="s">
        <v>205</v>
      </c>
      <c r="F325" s="66" t="s">
        <v>279</v>
      </c>
      <c r="G325" s="66" t="s">
        <v>280</v>
      </c>
      <c r="H325" s="66" t="s">
        <v>225</v>
      </c>
      <c r="I325" s="66" t="s">
        <v>226</v>
      </c>
      <c r="J325" s="66" t="s">
        <v>227</v>
      </c>
      <c r="K325" s="66" t="s">
        <v>1251</v>
      </c>
      <c r="L325" s="66" t="s">
        <v>585</v>
      </c>
      <c r="M325" s="75" t="s">
        <v>1467</v>
      </c>
      <c r="N325" s="66" t="s">
        <v>1466</v>
      </c>
      <c r="O325" s="66" t="s">
        <v>1468</v>
      </c>
      <c r="P325" s="66"/>
      <c r="Q325" s="66"/>
      <c r="R325" s="66"/>
      <c r="S325" s="66"/>
      <c r="T325" s="66"/>
      <c r="U325" s="66"/>
      <c r="V325" s="66" t="s">
        <v>285</v>
      </c>
      <c r="W325" s="66" t="s">
        <v>285</v>
      </c>
      <c r="X325" s="66"/>
      <c r="Y325" s="66"/>
      <c r="Z325" s="66"/>
      <c r="AA325" s="92" t="s">
        <v>310</v>
      </c>
    </row>
    <row r="326" ht="14.25" hidden="1" customHeight="1" spans="1:27">
      <c r="A326" s="94"/>
      <c r="B326" s="68" t="s">
        <v>1469</v>
      </c>
      <c r="C326" s="68">
        <v>4</v>
      </c>
      <c r="D326" s="68" t="s">
        <v>294</v>
      </c>
      <c r="E326" s="68" t="s">
        <v>205</v>
      </c>
      <c r="F326" s="68" t="s">
        <v>279</v>
      </c>
      <c r="G326" s="68" t="s">
        <v>1122</v>
      </c>
      <c r="H326" s="68" t="s">
        <v>225</v>
      </c>
      <c r="I326" s="68" t="s">
        <v>226</v>
      </c>
      <c r="J326" s="68" t="s">
        <v>227</v>
      </c>
      <c r="K326" s="68" t="s">
        <v>1470</v>
      </c>
      <c r="L326" s="68" t="s">
        <v>282</v>
      </c>
      <c r="M326" s="77" t="s">
        <v>1471</v>
      </c>
      <c r="N326" s="68" t="s">
        <v>1469</v>
      </c>
      <c r="O326" s="68" t="s">
        <v>1472</v>
      </c>
      <c r="P326" s="68"/>
      <c r="Q326" s="68"/>
      <c r="R326" s="68"/>
      <c r="S326" s="68"/>
      <c r="T326" s="68"/>
      <c r="U326" s="68" t="s">
        <v>285</v>
      </c>
      <c r="V326" s="68"/>
      <c r="W326" s="68" t="s">
        <v>285</v>
      </c>
      <c r="X326" s="68"/>
      <c r="Y326" s="68"/>
      <c r="Z326" s="68"/>
      <c r="AA326" s="92" t="s">
        <v>310</v>
      </c>
    </row>
    <row r="327" ht="14.25" hidden="1" customHeight="1" spans="1:27">
      <c r="A327" s="94"/>
      <c r="B327" s="68" t="s">
        <v>1473</v>
      </c>
      <c r="C327" s="68">
        <v>4</v>
      </c>
      <c r="D327" s="68" t="s">
        <v>294</v>
      </c>
      <c r="E327" s="68" t="s">
        <v>205</v>
      </c>
      <c r="F327" s="68" t="s">
        <v>279</v>
      </c>
      <c r="G327" s="68" t="s">
        <v>302</v>
      </c>
      <c r="H327" s="68" t="s">
        <v>225</v>
      </c>
      <c r="I327" s="68" t="s">
        <v>226</v>
      </c>
      <c r="J327" s="68" t="s">
        <v>227</v>
      </c>
      <c r="K327" s="68" t="s">
        <v>1474</v>
      </c>
      <c r="L327" s="68" t="s">
        <v>312</v>
      </c>
      <c r="M327" s="77" t="s">
        <v>1475</v>
      </c>
      <c r="N327" s="68" t="s">
        <v>1473</v>
      </c>
      <c r="O327" s="68" t="s">
        <v>1476</v>
      </c>
      <c r="P327" s="68"/>
      <c r="Q327" s="68"/>
      <c r="R327" s="68" t="s">
        <v>285</v>
      </c>
      <c r="S327" s="68"/>
      <c r="T327" s="68"/>
      <c r="U327" s="68" t="s">
        <v>285</v>
      </c>
      <c r="V327" s="68"/>
      <c r="W327" s="68" t="s">
        <v>285</v>
      </c>
      <c r="X327" s="68"/>
      <c r="Y327" s="68"/>
      <c r="Z327" s="68"/>
      <c r="AA327" s="92" t="s">
        <v>286</v>
      </c>
    </row>
    <row r="328" ht="14.25" hidden="1" customHeight="1" spans="1:27">
      <c r="A328" s="94"/>
      <c r="B328" s="66" t="s">
        <v>1477</v>
      </c>
      <c r="C328" s="66">
        <v>4</v>
      </c>
      <c r="D328" s="66" t="s">
        <v>278</v>
      </c>
      <c r="E328" s="66" t="s">
        <v>205</v>
      </c>
      <c r="F328" s="66" t="s">
        <v>279</v>
      </c>
      <c r="G328" s="66" t="s">
        <v>512</v>
      </c>
      <c r="H328" s="66" t="s">
        <v>225</v>
      </c>
      <c r="I328" s="66" t="s">
        <v>226</v>
      </c>
      <c r="J328" s="66" t="s">
        <v>227</v>
      </c>
      <c r="K328" s="66" t="s">
        <v>1266</v>
      </c>
      <c r="L328" s="66" t="s">
        <v>312</v>
      </c>
      <c r="M328" s="75" t="s">
        <v>1478</v>
      </c>
      <c r="N328" s="66" t="s">
        <v>1477</v>
      </c>
      <c r="O328" s="66" t="s">
        <v>1479</v>
      </c>
      <c r="P328" s="66"/>
      <c r="Q328" s="66"/>
      <c r="R328" s="66" t="s">
        <v>285</v>
      </c>
      <c r="S328" s="66"/>
      <c r="T328" s="66"/>
      <c r="U328" s="66" t="s">
        <v>285</v>
      </c>
      <c r="V328" s="66"/>
      <c r="W328" s="66" t="s">
        <v>285</v>
      </c>
      <c r="X328" s="66"/>
      <c r="Y328" s="66"/>
      <c r="Z328" s="66"/>
      <c r="AA328" s="92" t="s">
        <v>310</v>
      </c>
    </row>
    <row r="329" ht="14.25" hidden="1" customHeight="1" spans="1:27">
      <c r="A329" s="94"/>
      <c r="B329" s="66" t="s">
        <v>1480</v>
      </c>
      <c r="C329" s="66">
        <v>4</v>
      </c>
      <c r="D329" s="66" t="s">
        <v>278</v>
      </c>
      <c r="E329" s="66" t="s">
        <v>205</v>
      </c>
      <c r="F329" s="66" t="s">
        <v>279</v>
      </c>
      <c r="G329" s="66" t="s">
        <v>512</v>
      </c>
      <c r="H329" s="66" t="s">
        <v>225</v>
      </c>
      <c r="I329" s="66" t="s">
        <v>226</v>
      </c>
      <c r="J329" s="66" t="s">
        <v>227</v>
      </c>
      <c r="K329" s="66" t="s">
        <v>1481</v>
      </c>
      <c r="L329" s="66" t="s">
        <v>585</v>
      </c>
      <c r="M329" s="119" t="s">
        <v>1482</v>
      </c>
      <c r="N329" s="66" t="s">
        <v>1480</v>
      </c>
      <c r="O329" s="66" t="s">
        <v>1483</v>
      </c>
      <c r="P329" s="66"/>
      <c r="Q329" s="66"/>
      <c r="R329" s="66" t="s">
        <v>285</v>
      </c>
      <c r="S329" s="66"/>
      <c r="T329" s="66" t="s">
        <v>285</v>
      </c>
      <c r="U329" s="66"/>
      <c r="V329" s="66"/>
      <c r="W329" s="66" t="s">
        <v>285</v>
      </c>
      <c r="X329" s="66"/>
      <c r="Y329" s="114"/>
      <c r="Z329" s="114"/>
      <c r="AA329" s="92" t="s">
        <v>377</v>
      </c>
    </row>
    <row r="330" ht="14.25" hidden="1" customHeight="1" spans="2:27">
      <c r="B330" s="71" t="s">
        <v>1484</v>
      </c>
      <c r="C330" s="71">
        <v>4</v>
      </c>
      <c r="D330" s="71" t="s">
        <v>329</v>
      </c>
      <c r="E330" s="71" t="s">
        <v>205</v>
      </c>
      <c r="F330" s="71" t="s">
        <v>279</v>
      </c>
      <c r="G330" s="71" t="s">
        <v>302</v>
      </c>
      <c r="H330" s="71" t="s">
        <v>225</v>
      </c>
      <c r="I330" s="71" t="s">
        <v>281</v>
      </c>
      <c r="J330" s="71" t="s">
        <v>281</v>
      </c>
      <c r="K330" s="71" t="s">
        <v>281</v>
      </c>
      <c r="L330" s="71" t="s">
        <v>282</v>
      </c>
      <c r="M330" s="85" t="s">
        <v>1485</v>
      </c>
      <c r="N330" s="71" t="s">
        <v>1484</v>
      </c>
      <c r="O330" s="71" t="s">
        <v>1486</v>
      </c>
      <c r="P330" s="71" t="s">
        <v>285</v>
      </c>
      <c r="Q330" s="71"/>
      <c r="R330" s="71"/>
      <c r="S330" s="71"/>
      <c r="T330" s="71"/>
      <c r="U330" s="71" t="s">
        <v>285</v>
      </c>
      <c r="V330" s="71" t="s">
        <v>285</v>
      </c>
      <c r="W330" s="71" t="s">
        <v>285</v>
      </c>
      <c r="X330" s="71"/>
      <c r="Y330" s="93"/>
      <c r="Z330" s="93"/>
      <c r="AA330" s="105" t="s">
        <v>1027</v>
      </c>
    </row>
    <row r="331" ht="14.25" hidden="1" customHeight="1" spans="1:27">
      <c r="A331" s="94"/>
      <c r="B331" s="70" t="s">
        <v>1487</v>
      </c>
      <c r="C331" s="70">
        <v>5</v>
      </c>
      <c r="D331" s="70" t="s">
        <v>306</v>
      </c>
      <c r="E331" s="70" t="s">
        <v>205</v>
      </c>
      <c r="F331" s="70" t="s">
        <v>279</v>
      </c>
      <c r="G331" s="70" t="s">
        <v>302</v>
      </c>
      <c r="H331" s="70" t="s">
        <v>225</v>
      </c>
      <c r="I331" s="70" t="s">
        <v>226</v>
      </c>
      <c r="J331" s="70" t="s">
        <v>281</v>
      </c>
      <c r="K331" s="70" t="s">
        <v>281</v>
      </c>
      <c r="L331" s="70" t="s">
        <v>312</v>
      </c>
      <c r="M331" s="79" t="s">
        <v>1488</v>
      </c>
      <c r="N331" s="70" t="s">
        <v>1487</v>
      </c>
      <c r="O331" s="70" t="s">
        <v>1489</v>
      </c>
      <c r="P331" s="70" t="s">
        <v>285</v>
      </c>
      <c r="Q331" s="70"/>
      <c r="R331" s="70"/>
      <c r="S331" s="70"/>
      <c r="T331" s="70"/>
      <c r="U331" s="70" t="s">
        <v>285</v>
      </c>
      <c r="V331" s="70"/>
      <c r="W331" s="70" t="s">
        <v>285</v>
      </c>
      <c r="X331" s="70" t="s">
        <v>285</v>
      </c>
      <c r="Y331" s="70"/>
      <c r="Z331" s="70"/>
      <c r="AA331" s="92" t="s">
        <v>286</v>
      </c>
    </row>
    <row r="332" ht="14.25" hidden="1" customHeight="1" spans="1:27">
      <c r="A332" s="94"/>
      <c r="B332" s="67" t="s">
        <v>1490</v>
      </c>
      <c r="C332" s="67">
        <v>5</v>
      </c>
      <c r="D332" s="67" t="s">
        <v>288</v>
      </c>
      <c r="E332" s="67" t="s">
        <v>205</v>
      </c>
      <c r="F332" s="67" t="s">
        <v>279</v>
      </c>
      <c r="G332" s="67" t="s">
        <v>475</v>
      </c>
      <c r="H332" s="67" t="s">
        <v>225</v>
      </c>
      <c r="I332" s="67" t="s">
        <v>226</v>
      </c>
      <c r="J332" s="67" t="s">
        <v>281</v>
      </c>
      <c r="K332" s="67" t="s">
        <v>281</v>
      </c>
      <c r="L332" s="67" t="s">
        <v>585</v>
      </c>
      <c r="M332" s="90" t="s">
        <v>1491</v>
      </c>
      <c r="N332" s="67" t="s">
        <v>1490</v>
      </c>
      <c r="O332" s="67" t="s">
        <v>1492</v>
      </c>
      <c r="P332" s="67"/>
      <c r="Q332" s="67"/>
      <c r="R332" s="67" t="s">
        <v>285</v>
      </c>
      <c r="S332" s="67"/>
      <c r="T332" s="67"/>
      <c r="U332" s="67"/>
      <c r="V332" s="67"/>
      <c r="W332" s="67"/>
      <c r="X332" s="67"/>
      <c r="Y332" s="67"/>
      <c r="Z332" s="67"/>
      <c r="AA332" s="92" t="s">
        <v>286</v>
      </c>
    </row>
    <row r="333" ht="14.25" hidden="1" customHeight="1" spans="1:27">
      <c r="A333" s="94"/>
      <c r="B333" s="70" t="s">
        <v>1493</v>
      </c>
      <c r="C333" s="70">
        <v>5</v>
      </c>
      <c r="D333" s="70" t="s">
        <v>306</v>
      </c>
      <c r="E333" s="70" t="s">
        <v>205</v>
      </c>
      <c r="F333" s="70" t="s">
        <v>462</v>
      </c>
      <c r="G333" s="70" t="s">
        <v>341</v>
      </c>
      <c r="H333" s="70" t="s">
        <v>225</v>
      </c>
      <c r="I333" s="70" t="s">
        <v>226</v>
      </c>
      <c r="J333" s="70" t="s">
        <v>227</v>
      </c>
      <c r="K333" s="70" t="s">
        <v>1494</v>
      </c>
      <c r="L333" s="70" t="s">
        <v>282</v>
      </c>
      <c r="M333" s="84" t="s">
        <v>1495</v>
      </c>
      <c r="N333" s="70" t="s">
        <v>1493</v>
      </c>
      <c r="O333" s="70" t="s">
        <v>1496</v>
      </c>
      <c r="P333" s="70" t="s">
        <v>285</v>
      </c>
      <c r="Q333" s="70"/>
      <c r="R333" s="70" t="s">
        <v>285</v>
      </c>
      <c r="S333" s="70"/>
      <c r="T333" s="70"/>
      <c r="U333" s="70"/>
      <c r="V333" s="70"/>
      <c r="W333" s="70"/>
      <c r="X333" s="70"/>
      <c r="Y333" s="70"/>
      <c r="Z333" s="70"/>
      <c r="AA333" s="92" t="s">
        <v>286</v>
      </c>
    </row>
    <row r="334" ht="14.25" hidden="1" customHeight="1" spans="1:27">
      <c r="A334" s="94"/>
      <c r="B334" s="67" t="s">
        <v>1497</v>
      </c>
      <c r="C334" s="67">
        <v>5</v>
      </c>
      <c r="D334" s="67" t="s">
        <v>288</v>
      </c>
      <c r="E334" s="67" t="s">
        <v>205</v>
      </c>
      <c r="F334" s="67" t="s">
        <v>364</v>
      </c>
      <c r="G334" s="67" t="s">
        <v>289</v>
      </c>
      <c r="H334" s="67" t="s">
        <v>225</v>
      </c>
      <c r="I334" s="67" t="s">
        <v>281</v>
      </c>
      <c r="J334" s="67" t="s">
        <v>281</v>
      </c>
      <c r="K334" s="67" t="s">
        <v>281</v>
      </c>
      <c r="L334" s="67" t="s">
        <v>312</v>
      </c>
      <c r="M334" s="76" t="s">
        <v>1498</v>
      </c>
      <c r="N334" s="67" t="s">
        <v>1497</v>
      </c>
      <c r="O334" s="67" t="s">
        <v>1499</v>
      </c>
      <c r="P334" s="67"/>
      <c r="Q334" s="67"/>
      <c r="R334" s="67"/>
      <c r="S334" s="67" t="s">
        <v>285</v>
      </c>
      <c r="T334" s="67"/>
      <c r="U334" s="67"/>
      <c r="V334" s="67"/>
      <c r="W334" s="67"/>
      <c r="X334" s="67"/>
      <c r="Y334" s="67"/>
      <c r="Z334" s="67"/>
      <c r="AA334" s="92" t="s">
        <v>286</v>
      </c>
    </row>
    <row r="335" ht="14.25" hidden="1" customHeight="1" spans="1:27">
      <c r="A335" s="94"/>
      <c r="B335" s="68" t="s">
        <v>1500</v>
      </c>
      <c r="C335" s="68">
        <v>5</v>
      </c>
      <c r="D335" s="68" t="s">
        <v>294</v>
      </c>
      <c r="E335" s="68" t="s">
        <v>205</v>
      </c>
      <c r="F335" s="68" t="s">
        <v>279</v>
      </c>
      <c r="G335" s="68" t="s">
        <v>302</v>
      </c>
      <c r="H335" s="68" t="s">
        <v>225</v>
      </c>
      <c r="I335" s="68" t="s">
        <v>226</v>
      </c>
      <c r="J335" s="68" t="s">
        <v>227</v>
      </c>
      <c r="K335" s="68" t="s">
        <v>1501</v>
      </c>
      <c r="L335" s="68" t="s">
        <v>312</v>
      </c>
      <c r="M335" s="82" t="s">
        <v>1502</v>
      </c>
      <c r="N335" s="68" t="s">
        <v>1500</v>
      </c>
      <c r="O335" s="68" t="s">
        <v>1503</v>
      </c>
      <c r="P335" s="68"/>
      <c r="Q335" s="68"/>
      <c r="R335" s="68"/>
      <c r="S335" s="68"/>
      <c r="T335" s="68"/>
      <c r="U335" s="68"/>
      <c r="V335" s="68"/>
      <c r="W335" s="68" t="s">
        <v>285</v>
      </c>
      <c r="X335" s="68" t="s">
        <v>285</v>
      </c>
      <c r="Y335" s="68"/>
      <c r="Z335" s="68"/>
      <c r="AA335" s="92" t="s">
        <v>286</v>
      </c>
    </row>
    <row r="336" ht="14.25" hidden="1" customHeight="1" spans="2:27">
      <c r="B336" s="67" t="s">
        <v>1504</v>
      </c>
      <c r="C336" s="67">
        <v>5</v>
      </c>
      <c r="D336" s="67" t="s">
        <v>288</v>
      </c>
      <c r="E336" s="67" t="s">
        <v>205</v>
      </c>
      <c r="F336" s="67" t="s">
        <v>279</v>
      </c>
      <c r="G336" s="67" t="s">
        <v>1052</v>
      </c>
      <c r="H336" s="67" t="s">
        <v>225</v>
      </c>
      <c r="I336" s="67" t="s">
        <v>281</v>
      </c>
      <c r="J336" s="67" t="s">
        <v>281</v>
      </c>
      <c r="K336" s="67" t="s">
        <v>281</v>
      </c>
      <c r="L336" s="67" t="s">
        <v>484</v>
      </c>
      <c r="M336" s="76" t="s">
        <v>1505</v>
      </c>
      <c r="N336" s="67" t="s">
        <v>1504</v>
      </c>
      <c r="O336" s="67" t="s">
        <v>1506</v>
      </c>
      <c r="P336" s="67"/>
      <c r="Q336" s="67"/>
      <c r="R336" s="67"/>
      <c r="S336" s="67" t="s">
        <v>285</v>
      </c>
      <c r="T336" s="67"/>
      <c r="U336" s="67"/>
      <c r="V336" s="67"/>
      <c r="W336" s="67"/>
      <c r="X336" s="67"/>
      <c r="Y336" s="67"/>
      <c r="Z336" s="67"/>
      <c r="AA336" s="92" t="s">
        <v>286</v>
      </c>
    </row>
    <row r="337" ht="14.25" hidden="1" customHeight="1" spans="2:27">
      <c r="B337" s="66" t="s">
        <v>1507</v>
      </c>
      <c r="C337" s="66">
        <v>5</v>
      </c>
      <c r="D337" s="66" t="s">
        <v>278</v>
      </c>
      <c r="E337" s="66" t="s">
        <v>205</v>
      </c>
      <c r="F337" s="66" t="s">
        <v>279</v>
      </c>
      <c r="G337" s="66" t="s">
        <v>302</v>
      </c>
      <c r="H337" s="66" t="s">
        <v>225</v>
      </c>
      <c r="I337" s="66" t="s">
        <v>226</v>
      </c>
      <c r="J337" s="66" t="s">
        <v>281</v>
      </c>
      <c r="K337" s="66" t="s">
        <v>281</v>
      </c>
      <c r="L337" s="66" t="s">
        <v>484</v>
      </c>
      <c r="M337" s="75" t="s">
        <v>1508</v>
      </c>
      <c r="N337" s="66" t="s">
        <v>1507</v>
      </c>
      <c r="O337" s="66" t="s">
        <v>1509</v>
      </c>
      <c r="P337" s="66"/>
      <c r="Q337" s="66"/>
      <c r="R337" s="66"/>
      <c r="S337" s="66"/>
      <c r="T337" s="66"/>
      <c r="U337" s="66" t="s">
        <v>285</v>
      </c>
      <c r="V337" s="66"/>
      <c r="W337" s="66" t="s">
        <v>285</v>
      </c>
      <c r="X337" s="66"/>
      <c r="Y337" s="66"/>
      <c r="Z337" s="66"/>
      <c r="AA337" s="92" t="s">
        <v>286</v>
      </c>
    </row>
    <row r="338" ht="14.25" hidden="1" customHeight="1" spans="2:27">
      <c r="B338" s="72" t="s">
        <v>1510</v>
      </c>
      <c r="C338" s="72">
        <v>5</v>
      </c>
      <c r="D338" s="72" t="s">
        <v>340</v>
      </c>
      <c r="E338" s="72" t="s">
        <v>285</v>
      </c>
      <c r="F338" s="72" t="s">
        <v>360</v>
      </c>
      <c r="G338" s="72" t="s">
        <v>289</v>
      </c>
      <c r="H338" s="72" t="s">
        <v>225</v>
      </c>
      <c r="I338" s="72" t="s">
        <v>226</v>
      </c>
      <c r="J338" s="72" t="s">
        <v>227</v>
      </c>
      <c r="K338" s="72" t="s">
        <v>1511</v>
      </c>
      <c r="L338" s="72" t="s">
        <v>360</v>
      </c>
      <c r="M338" s="95" t="s">
        <v>1512</v>
      </c>
      <c r="N338" s="72" t="s">
        <v>1510</v>
      </c>
      <c r="O338" s="72" t="s">
        <v>1513</v>
      </c>
      <c r="P338" s="72"/>
      <c r="Q338" s="72" t="s">
        <v>285</v>
      </c>
      <c r="R338" s="72"/>
      <c r="S338" s="72"/>
      <c r="T338" s="72"/>
      <c r="U338" s="72"/>
      <c r="V338" s="72"/>
      <c r="W338" s="72"/>
      <c r="X338" s="72"/>
      <c r="Y338" s="72"/>
      <c r="Z338" s="72"/>
      <c r="AA338" s="92" t="s">
        <v>286</v>
      </c>
    </row>
    <row r="339" ht="14.25" hidden="1" customHeight="1" spans="1:27">
      <c r="A339" s="94"/>
      <c r="B339" s="72" t="s">
        <v>1514</v>
      </c>
      <c r="C339" s="72">
        <v>5</v>
      </c>
      <c r="D339" s="72" t="s">
        <v>340</v>
      </c>
      <c r="E339" s="72" t="s">
        <v>285</v>
      </c>
      <c r="F339" s="72" t="s">
        <v>360</v>
      </c>
      <c r="G339" s="72" t="s">
        <v>289</v>
      </c>
      <c r="H339" s="72" t="s">
        <v>225</v>
      </c>
      <c r="I339" s="72" t="s">
        <v>226</v>
      </c>
      <c r="J339" s="72" t="s">
        <v>281</v>
      </c>
      <c r="K339" s="72" t="s">
        <v>281</v>
      </c>
      <c r="L339" s="72" t="s">
        <v>282</v>
      </c>
      <c r="M339" s="95" t="s">
        <v>1515</v>
      </c>
      <c r="N339" s="72" t="s">
        <v>1514</v>
      </c>
      <c r="O339" s="72" t="s">
        <v>1516</v>
      </c>
      <c r="P339" s="72"/>
      <c r="Q339" s="72"/>
      <c r="R339" s="72" t="s">
        <v>285</v>
      </c>
      <c r="S339" s="72"/>
      <c r="T339" s="72" t="s">
        <v>285</v>
      </c>
      <c r="U339" s="72"/>
      <c r="V339" s="72"/>
      <c r="W339" s="72"/>
      <c r="X339" s="72"/>
      <c r="Y339" s="72"/>
      <c r="Z339" s="72"/>
      <c r="AA339" s="92" t="s">
        <v>286</v>
      </c>
    </row>
    <row r="340" ht="14.25" hidden="1" customHeight="1" spans="1:27">
      <c r="A340" s="94"/>
      <c r="B340" s="68" t="s">
        <v>1517</v>
      </c>
      <c r="C340" s="68">
        <v>5</v>
      </c>
      <c r="D340" s="68" t="s">
        <v>294</v>
      </c>
      <c r="E340" s="68" t="s">
        <v>205</v>
      </c>
      <c r="F340" s="68" t="s">
        <v>279</v>
      </c>
      <c r="G340" s="68" t="s">
        <v>1083</v>
      </c>
      <c r="H340" s="68" t="s">
        <v>225</v>
      </c>
      <c r="I340" s="68" t="s">
        <v>226</v>
      </c>
      <c r="J340" s="68" t="s">
        <v>227</v>
      </c>
      <c r="K340" s="68" t="s">
        <v>1518</v>
      </c>
      <c r="L340" s="68" t="s">
        <v>282</v>
      </c>
      <c r="M340" s="77" t="s">
        <v>1519</v>
      </c>
      <c r="N340" s="68" t="s">
        <v>1517</v>
      </c>
      <c r="O340" s="68" t="s">
        <v>1520</v>
      </c>
      <c r="P340" s="68"/>
      <c r="Q340" s="68"/>
      <c r="R340" s="68"/>
      <c r="S340" s="68"/>
      <c r="T340" s="68"/>
      <c r="U340" s="68" t="s">
        <v>285</v>
      </c>
      <c r="V340" s="68"/>
      <c r="W340" s="68" t="s">
        <v>285</v>
      </c>
      <c r="X340" s="68"/>
      <c r="Y340" s="68"/>
      <c r="Z340" s="68"/>
      <c r="AA340" s="92" t="s">
        <v>286</v>
      </c>
    </row>
    <row r="341" ht="14.25" hidden="1" customHeight="1" spans="2:27">
      <c r="B341" s="66" t="s">
        <v>1521</v>
      </c>
      <c r="C341" s="66">
        <v>5</v>
      </c>
      <c r="D341" s="66" t="s">
        <v>278</v>
      </c>
      <c r="E341" s="66" t="s">
        <v>205</v>
      </c>
      <c r="F341" s="66" t="s">
        <v>360</v>
      </c>
      <c r="G341" s="66" t="s">
        <v>512</v>
      </c>
      <c r="H341" s="66" t="s">
        <v>225</v>
      </c>
      <c r="I341" s="66" t="s">
        <v>226</v>
      </c>
      <c r="J341" s="66" t="s">
        <v>227</v>
      </c>
      <c r="K341" s="66" t="s">
        <v>1522</v>
      </c>
      <c r="L341" s="66" t="s">
        <v>585</v>
      </c>
      <c r="M341" s="75" t="s">
        <v>1523</v>
      </c>
      <c r="N341" s="66" t="s">
        <v>1521</v>
      </c>
      <c r="O341" s="66" t="s">
        <v>1524</v>
      </c>
      <c r="P341" s="66"/>
      <c r="Q341" s="66"/>
      <c r="R341" s="66" t="s">
        <v>285</v>
      </c>
      <c r="S341" s="66"/>
      <c r="T341" s="66"/>
      <c r="U341" s="66"/>
      <c r="V341" s="66"/>
      <c r="W341" s="66" t="s">
        <v>285</v>
      </c>
      <c r="X341" s="66"/>
      <c r="Y341" s="66"/>
      <c r="Z341" s="66"/>
      <c r="AA341" s="92" t="s">
        <v>286</v>
      </c>
    </row>
    <row r="342" ht="14.25" hidden="1" customHeight="1" spans="1:27">
      <c r="A342" s="94"/>
      <c r="B342" s="66" t="s">
        <v>1525</v>
      </c>
      <c r="C342" s="66">
        <v>5</v>
      </c>
      <c r="D342" s="66" t="s">
        <v>278</v>
      </c>
      <c r="E342" s="66" t="s">
        <v>205</v>
      </c>
      <c r="F342" s="66" t="s">
        <v>279</v>
      </c>
      <c r="G342" s="66" t="s">
        <v>1122</v>
      </c>
      <c r="H342" s="66" t="s">
        <v>225</v>
      </c>
      <c r="I342" s="66" t="s">
        <v>226</v>
      </c>
      <c r="J342" s="66" t="s">
        <v>227</v>
      </c>
      <c r="K342" s="66" t="s">
        <v>1084</v>
      </c>
      <c r="L342" s="66" t="s">
        <v>282</v>
      </c>
      <c r="M342" s="75" t="s">
        <v>1526</v>
      </c>
      <c r="N342" s="66" t="s">
        <v>1525</v>
      </c>
      <c r="O342" s="66" t="s">
        <v>1527</v>
      </c>
      <c r="P342" s="66"/>
      <c r="Q342" s="66"/>
      <c r="R342" s="66"/>
      <c r="S342" s="66"/>
      <c r="T342" s="66" t="s">
        <v>285</v>
      </c>
      <c r="U342" s="66"/>
      <c r="V342" s="66"/>
      <c r="W342" s="66"/>
      <c r="X342" s="66"/>
      <c r="Y342" s="66"/>
      <c r="Z342" s="66"/>
      <c r="AA342" s="92" t="s">
        <v>286</v>
      </c>
    </row>
    <row r="343" ht="14.25" customHeight="1" spans="1:27">
      <c r="A343" s="94"/>
      <c r="B343" s="72" t="s">
        <v>1528</v>
      </c>
      <c r="C343" s="72">
        <v>5</v>
      </c>
      <c r="D343" s="72" t="s">
        <v>340</v>
      </c>
      <c r="E343" s="72" t="s">
        <v>285</v>
      </c>
      <c r="F343" s="72" t="s">
        <v>360</v>
      </c>
      <c r="G343" s="72" t="s">
        <v>289</v>
      </c>
      <c r="H343" s="72" t="s">
        <v>225</v>
      </c>
      <c r="I343" s="72" t="s">
        <v>281</v>
      </c>
      <c r="J343" s="72" t="s">
        <v>281</v>
      </c>
      <c r="K343" s="72" t="s">
        <v>281</v>
      </c>
      <c r="L343" s="72" t="s">
        <v>360</v>
      </c>
      <c r="M343" s="83" t="s">
        <v>1529</v>
      </c>
      <c r="N343" s="72" t="s">
        <v>1528</v>
      </c>
      <c r="O343" s="72" t="s">
        <v>1530</v>
      </c>
      <c r="P343" s="72"/>
      <c r="Q343" s="72"/>
      <c r="R343" s="72"/>
      <c r="S343" s="72"/>
      <c r="T343" s="72"/>
      <c r="U343" s="72"/>
      <c r="V343" s="72" t="s">
        <v>285</v>
      </c>
      <c r="W343" s="72" t="s">
        <v>285</v>
      </c>
      <c r="X343" s="72"/>
      <c r="Y343" s="72"/>
      <c r="Z343" s="72"/>
      <c r="AA343" s="92" t="s">
        <v>286</v>
      </c>
    </row>
    <row r="344" ht="14.25" hidden="1" customHeight="1" spans="1:27">
      <c r="A344" s="94"/>
      <c r="B344" s="69" t="s">
        <v>1531</v>
      </c>
      <c r="C344" s="69">
        <v>5</v>
      </c>
      <c r="D344" s="69" t="s">
        <v>301</v>
      </c>
      <c r="E344" s="69" t="s">
        <v>205</v>
      </c>
      <c r="F344" s="69" t="s">
        <v>279</v>
      </c>
      <c r="G344" s="69" t="s">
        <v>341</v>
      </c>
      <c r="H344" s="69" t="s">
        <v>225</v>
      </c>
      <c r="I344" s="69" t="s">
        <v>226</v>
      </c>
      <c r="J344" s="69" t="s">
        <v>281</v>
      </c>
      <c r="K344" s="69" t="s">
        <v>281</v>
      </c>
      <c r="L344" s="69" t="s">
        <v>1532</v>
      </c>
      <c r="M344" s="88" t="s">
        <v>1533</v>
      </c>
      <c r="N344" s="69" t="s">
        <v>1531</v>
      </c>
      <c r="O344" s="69" t="s">
        <v>1534</v>
      </c>
      <c r="P344" s="69"/>
      <c r="Q344" s="69" t="s">
        <v>285</v>
      </c>
      <c r="R344" s="69" t="s">
        <v>285</v>
      </c>
      <c r="S344" s="69"/>
      <c r="T344" s="69"/>
      <c r="U344" s="69"/>
      <c r="V344" s="69"/>
      <c r="W344" s="69"/>
      <c r="X344" s="69"/>
      <c r="Y344" s="69"/>
      <c r="Z344" s="69"/>
      <c r="AA344" s="92" t="s">
        <v>286</v>
      </c>
    </row>
    <row r="345" ht="14.25" hidden="1" customHeight="1" spans="1:27">
      <c r="A345" s="94"/>
      <c r="B345" s="70" t="s">
        <v>1535</v>
      </c>
      <c r="C345" s="70">
        <v>5</v>
      </c>
      <c r="D345" s="70" t="s">
        <v>306</v>
      </c>
      <c r="E345" s="70" t="s">
        <v>205</v>
      </c>
      <c r="F345" s="70" t="s">
        <v>279</v>
      </c>
      <c r="G345" s="70" t="s">
        <v>820</v>
      </c>
      <c r="H345" s="70" t="s">
        <v>225</v>
      </c>
      <c r="I345" s="70" t="s">
        <v>226</v>
      </c>
      <c r="J345" s="70" t="s">
        <v>281</v>
      </c>
      <c r="K345" s="70" t="s">
        <v>281</v>
      </c>
      <c r="L345" s="70" t="s">
        <v>585</v>
      </c>
      <c r="M345" s="79" t="s">
        <v>1536</v>
      </c>
      <c r="N345" s="70" t="s">
        <v>1535</v>
      </c>
      <c r="O345" s="70" t="s">
        <v>1537</v>
      </c>
      <c r="P345" s="70"/>
      <c r="Q345" s="70"/>
      <c r="R345" s="70" t="s">
        <v>285</v>
      </c>
      <c r="S345" s="70"/>
      <c r="T345" s="70"/>
      <c r="U345" s="70" t="s">
        <v>285</v>
      </c>
      <c r="V345" s="70"/>
      <c r="W345" s="70" t="s">
        <v>285</v>
      </c>
      <c r="X345" s="70"/>
      <c r="Y345" s="70"/>
      <c r="Z345" s="70"/>
      <c r="AA345" s="92" t="s">
        <v>310</v>
      </c>
    </row>
    <row r="346" ht="14.25" hidden="1" customHeight="1" spans="1:27">
      <c r="A346" s="94"/>
      <c r="B346" s="73" t="s">
        <v>1538</v>
      </c>
      <c r="C346" s="73">
        <v>5</v>
      </c>
      <c r="D346" s="73" t="s">
        <v>378</v>
      </c>
      <c r="E346" s="73" t="s">
        <v>205</v>
      </c>
      <c r="F346" s="73" t="s">
        <v>360</v>
      </c>
      <c r="G346" s="73" t="s">
        <v>320</v>
      </c>
      <c r="H346" s="73" t="s">
        <v>225</v>
      </c>
      <c r="I346" s="73" t="s">
        <v>226</v>
      </c>
      <c r="J346" s="73" t="s">
        <v>227</v>
      </c>
      <c r="K346" s="73" t="s">
        <v>1539</v>
      </c>
      <c r="L346" s="73" t="s">
        <v>1540</v>
      </c>
      <c r="M346" s="91" t="s">
        <v>1541</v>
      </c>
      <c r="N346" s="73" t="s">
        <v>1538</v>
      </c>
      <c r="O346" s="73" t="s">
        <v>1542</v>
      </c>
      <c r="P346" s="73"/>
      <c r="Q346" s="73"/>
      <c r="R346" s="73"/>
      <c r="S346" s="73"/>
      <c r="T346" s="73"/>
      <c r="U346" s="73" t="s">
        <v>285</v>
      </c>
      <c r="V346" s="73"/>
      <c r="W346" s="73" t="s">
        <v>285</v>
      </c>
      <c r="X346" s="73" t="s">
        <v>285</v>
      </c>
      <c r="Y346" s="73"/>
      <c r="Z346" s="73"/>
      <c r="AA346" s="92" t="s">
        <v>286</v>
      </c>
    </row>
    <row r="347" ht="14.25" hidden="1" customHeight="1" spans="1:27">
      <c r="A347" s="94"/>
      <c r="B347" s="69" t="s">
        <v>1543</v>
      </c>
      <c r="C347" s="69">
        <v>5</v>
      </c>
      <c r="D347" s="69" t="s">
        <v>301</v>
      </c>
      <c r="E347" s="69" t="s">
        <v>205</v>
      </c>
      <c r="F347" s="69" t="s">
        <v>279</v>
      </c>
      <c r="G347" s="69" t="s">
        <v>280</v>
      </c>
      <c r="H347" s="69" t="s">
        <v>225</v>
      </c>
      <c r="I347" s="69" t="s">
        <v>226</v>
      </c>
      <c r="J347" s="69" t="s">
        <v>281</v>
      </c>
      <c r="K347" s="69" t="s">
        <v>281</v>
      </c>
      <c r="L347" s="69" t="s">
        <v>585</v>
      </c>
      <c r="M347" s="78" t="s">
        <v>1544</v>
      </c>
      <c r="N347" s="69" t="s">
        <v>1543</v>
      </c>
      <c r="O347" s="69" t="s">
        <v>1545</v>
      </c>
      <c r="P347" s="69"/>
      <c r="Q347" s="69"/>
      <c r="R347" s="69"/>
      <c r="S347" s="69"/>
      <c r="T347" s="69"/>
      <c r="U347" s="69"/>
      <c r="V347" s="69" t="s">
        <v>285</v>
      </c>
      <c r="W347" s="69" t="s">
        <v>285</v>
      </c>
      <c r="X347" s="69"/>
      <c r="Y347" s="69"/>
      <c r="Z347" s="69"/>
      <c r="AA347" s="92" t="s">
        <v>310</v>
      </c>
    </row>
    <row r="348" ht="14.25" hidden="1" customHeight="1" spans="2:27">
      <c r="B348" s="68" t="s">
        <v>1546</v>
      </c>
      <c r="C348" s="68">
        <v>5</v>
      </c>
      <c r="D348" s="68" t="s">
        <v>294</v>
      </c>
      <c r="E348" s="68" t="s">
        <v>205</v>
      </c>
      <c r="F348" s="68" t="s">
        <v>279</v>
      </c>
      <c r="G348" s="68" t="s">
        <v>280</v>
      </c>
      <c r="H348" s="68" t="s">
        <v>225</v>
      </c>
      <c r="I348" s="68" t="s">
        <v>226</v>
      </c>
      <c r="J348" s="68" t="s">
        <v>227</v>
      </c>
      <c r="K348" s="68" t="s">
        <v>1547</v>
      </c>
      <c r="L348" s="68" t="s">
        <v>312</v>
      </c>
      <c r="M348" s="82" t="s">
        <v>1548</v>
      </c>
      <c r="N348" s="68" t="s">
        <v>1546</v>
      </c>
      <c r="O348" s="68" t="s">
        <v>1549</v>
      </c>
      <c r="P348" s="68"/>
      <c r="Q348" s="68" t="s">
        <v>285</v>
      </c>
      <c r="R348" s="68"/>
      <c r="S348" s="68"/>
      <c r="T348" s="68"/>
      <c r="U348" s="68"/>
      <c r="V348" s="68"/>
      <c r="W348" s="68" t="s">
        <v>285</v>
      </c>
      <c r="X348" s="68"/>
      <c r="Y348" s="68"/>
      <c r="Z348" s="68"/>
      <c r="AA348" s="92" t="s">
        <v>310</v>
      </c>
    </row>
    <row r="349" ht="14.25" hidden="1" customHeight="1" spans="1:27">
      <c r="A349" s="94"/>
      <c r="B349" s="68" t="s">
        <v>1550</v>
      </c>
      <c r="C349" s="68">
        <v>5</v>
      </c>
      <c r="D349" s="68" t="s">
        <v>294</v>
      </c>
      <c r="E349" s="68" t="s">
        <v>205</v>
      </c>
      <c r="F349" s="68" t="s">
        <v>279</v>
      </c>
      <c r="G349" s="68" t="s">
        <v>1052</v>
      </c>
      <c r="H349" s="68" t="s">
        <v>225</v>
      </c>
      <c r="I349" s="68" t="s">
        <v>281</v>
      </c>
      <c r="J349" s="68" t="s">
        <v>281</v>
      </c>
      <c r="K349" s="68" t="s">
        <v>281</v>
      </c>
      <c r="L349" s="68" t="s">
        <v>282</v>
      </c>
      <c r="M349" s="77" t="s">
        <v>1551</v>
      </c>
      <c r="N349" s="68" t="s">
        <v>1550</v>
      </c>
      <c r="O349" s="68" t="s">
        <v>1552</v>
      </c>
      <c r="P349" s="68"/>
      <c r="Q349" s="68"/>
      <c r="R349" s="68"/>
      <c r="S349" s="68" t="s">
        <v>285</v>
      </c>
      <c r="T349" s="68"/>
      <c r="U349" s="68"/>
      <c r="V349" s="68"/>
      <c r="W349" s="68"/>
      <c r="X349" s="68"/>
      <c r="Y349" s="68"/>
      <c r="Z349" s="68"/>
      <c r="AA349" s="92" t="s">
        <v>286</v>
      </c>
    </row>
    <row r="350" ht="14.25" hidden="1" customHeight="1" spans="1:27">
      <c r="A350" s="94"/>
      <c r="B350" s="67" t="s">
        <v>1553</v>
      </c>
      <c r="C350" s="67">
        <v>5</v>
      </c>
      <c r="D350" s="67" t="s">
        <v>288</v>
      </c>
      <c r="E350" s="67" t="s">
        <v>205</v>
      </c>
      <c r="F350" s="67" t="s">
        <v>279</v>
      </c>
      <c r="G350" s="67" t="s">
        <v>289</v>
      </c>
      <c r="H350" s="67" t="s">
        <v>225</v>
      </c>
      <c r="I350" s="67" t="s">
        <v>226</v>
      </c>
      <c r="J350" s="67" t="s">
        <v>227</v>
      </c>
      <c r="K350" s="67" t="s">
        <v>1554</v>
      </c>
      <c r="L350" s="67" t="s">
        <v>312</v>
      </c>
      <c r="M350" s="90" t="s">
        <v>1555</v>
      </c>
      <c r="N350" s="67" t="s">
        <v>1553</v>
      </c>
      <c r="O350" s="67" t="s">
        <v>1556</v>
      </c>
      <c r="P350" s="67"/>
      <c r="Q350" s="67" t="s">
        <v>285</v>
      </c>
      <c r="R350" s="67"/>
      <c r="S350" s="67" t="s">
        <v>285</v>
      </c>
      <c r="T350" s="67"/>
      <c r="U350" s="67"/>
      <c r="V350" s="67"/>
      <c r="W350" s="67"/>
      <c r="X350" s="67"/>
      <c r="Y350" s="67"/>
      <c r="Z350" s="67"/>
      <c r="AA350" s="92" t="s">
        <v>286</v>
      </c>
    </row>
    <row r="351" ht="14.25" hidden="1" customHeight="1" spans="1:27">
      <c r="A351" s="94"/>
      <c r="B351" s="71" t="s">
        <v>1557</v>
      </c>
      <c r="C351" s="71">
        <v>5</v>
      </c>
      <c r="D351" s="71" t="s">
        <v>329</v>
      </c>
      <c r="E351" s="71" t="s">
        <v>205</v>
      </c>
      <c r="F351" s="71" t="s">
        <v>279</v>
      </c>
      <c r="G351" s="71" t="s">
        <v>280</v>
      </c>
      <c r="H351" s="71" t="s">
        <v>225</v>
      </c>
      <c r="I351" s="71" t="s">
        <v>226</v>
      </c>
      <c r="J351" s="71" t="s">
        <v>281</v>
      </c>
      <c r="K351" s="71" t="s">
        <v>281</v>
      </c>
      <c r="L351" s="71" t="s">
        <v>312</v>
      </c>
      <c r="M351" s="89" t="s">
        <v>1558</v>
      </c>
      <c r="N351" s="71" t="s">
        <v>1557</v>
      </c>
      <c r="O351" s="71" t="s">
        <v>1559</v>
      </c>
      <c r="P351" s="71" t="s">
        <v>285</v>
      </c>
      <c r="Q351" s="71"/>
      <c r="R351" s="71"/>
      <c r="S351" s="71"/>
      <c r="T351" s="71"/>
      <c r="U351" s="71" t="s">
        <v>285</v>
      </c>
      <c r="V351" s="71"/>
      <c r="W351" s="71" t="s">
        <v>285</v>
      </c>
      <c r="X351" s="71"/>
      <c r="Y351" s="71"/>
      <c r="Z351" s="71"/>
      <c r="AA351" s="92" t="s">
        <v>286</v>
      </c>
    </row>
    <row r="352" ht="14.25" customHeight="1" spans="1:27">
      <c r="A352" s="94"/>
      <c r="B352" s="73" t="s">
        <v>1560</v>
      </c>
      <c r="C352" s="73">
        <v>5</v>
      </c>
      <c r="D352" s="73" t="s">
        <v>378</v>
      </c>
      <c r="E352" s="73" t="s">
        <v>205</v>
      </c>
      <c r="F352" s="73" t="s">
        <v>360</v>
      </c>
      <c r="G352" s="73" t="s">
        <v>1540</v>
      </c>
      <c r="H352" s="73" t="s">
        <v>225</v>
      </c>
      <c r="I352" s="73" t="s">
        <v>226</v>
      </c>
      <c r="J352" s="73" t="s">
        <v>227</v>
      </c>
      <c r="K352" s="73" t="s">
        <v>1561</v>
      </c>
      <c r="L352" s="73" t="s">
        <v>462</v>
      </c>
      <c r="M352" s="91" t="s">
        <v>1562</v>
      </c>
      <c r="N352" s="73" t="s">
        <v>1560</v>
      </c>
      <c r="O352" s="73" t="s">
        <v>1563</v>
      </c>
      <c r="P352" s="73" t="s">
        <v>285</v>
      </c>
      <c r="Q352" s="73"/>
      <c r="R352" s="73"/>
      <c r="S352" s="73"/>
      <c r="T352" s="73"/>
      <c r="U352" s="73"/>
      <c r="V352" s="73" t="s">
        <v>285</v>
      </c>
      <c r="W352" s="73" t="s">
        <v>285</v>
      </c>
      <c r="X352" s="73"/>
      <c r="Y352" s="73"/>
      <c r="Z352" s="73"/>
      <c r="AA352" s="92" t="s">
        <v>286</v>
      </c>
    </row>
    <row r="353" ht="14.25" hidden="1" customHeight="1" spans="1:27">
      <c r="A353" s="94"/>
      <c r="B353" s="69" t="s">
        <v>1564</v>
      </c>
      <c r="C353" s="69">
        <v>5</v>
      </c>
      <c r="D353" s="69" t="s">
        <v>301</v>
      </c>
      <c r="E353" s="69" t="s">
        <v>205</v>
      </c>
      <c r="F353" s="69" t="s">
        <v>279</v>
      </c>
      <c r="G353" s="69" t="s">
        <v>280</v>
      </c>
      <c r="H353" s="69" t="s">
        <v>225</v>
      </c>
      <c r="I353" s="69" t="s">
        <v>226</v>
      </c>
      <c r="J353" s="69" t="s">
        <v>281</v>
      </c>
      <c r="K353" s="69" t="s">
        <v>281</v>
      </c>
      <c r="L353" s="69" t="s">
        <v>312</v>
      </c>
      <c r="M353" s="78" t="s">
        <v>1565</v>
      </c>
      <c r="N353" s="69" t="s">
        <v>1564</v>
      </c>
      <c r="O353" s="69" t="s">
        <v>1566</v>
      </c>
      <c r="P353" s="69"/>
      <c r="Q353" s="69"/>
      <c r="R353" s="69"/>
      <c r="S353" s="69"/>
      <c r="T353" s="69"/>
      <c r="U353" s="69" t="s">
        <v>285</v>
      </c>
      <c r="V353" s="69" t="s">
        <v>285</v>
      </c>
      <c r="W353" s="69" t="s">
        <v>285</v>
      </c>
      <c r="X353" s="69"/>
      <c r="Y353" s="69"/>
      <c r="Z353" s="69"/>
      <c r="AA353" s="92" t="s">
        <v>310</v>
      </c>
    </row>
    <row r="354" ht="14.25" hidden="1" customHeight="1" spans="1:27">
      <c r="A354" s="94"/>
      <c r="B354" s="66" t="s">
        <v>1567</v>
      </c>
      <c r="C354" s="66">
        <v>5</v>
      </c>
      <c r="D354" s="66" t="s">
        <v>278</v>
      </c>
      <c r="E354" s="66" t="s">
        <v>205</v>
      </c>
      <c r="F354" s="66" t="s">
        <v>279</v>
      </c>
      <c r="G354" s="66" t="s">
        <v>289</v>
      </c>
      <c r="H354" s="66" t="s">
        <v>225</v>
      </c>
      <c r="I354" s="66" t="s">
        <v>281</v>
      </c>
      <c r="J354" s="66" t="s">
        <v>281</v>
      </c>
      <c r="K354" s="66" t="s">
        <v>281</v>
      </c>
      <c r="L354" s="66" t="s">
        <v>312</v>
      </c>
      <c r="M354" s="75" t="s">
        <v>1568</v>
      </c>
      <c r="N354" s="66" t="s">
        <v>1567</v>
      </c>
      <c r="O354" s="66" t="s">
        <v>1569</v>
      </c>
      <c r="P354" s="66"/>
      <c r="Q354" s="66"/>
      <c r="R354" s="66"/>
      <c r="S354" s="66"/>
      <c r="T354" s="66"/>
      <c r="U354" s="66" t="s">
        <v>285</v>
      </c>
      <c r="V354" s="66" t="s">
        <v>285</v>
      </c>
      <c r="W354" s="66" t="s">
        <v>285</v>
      </c>
      <c r="X354" s="66"/>
      <c r="Y354" s="66"/>
      <c r="Z354" s="66"/>
      <c r="AA354" s="92" t="s">
        <v>310</v>
      </c>
    </row>
    <row r="355" ht="14.25" hidden="1" customHeight="1" spans="1:27">
      <c r="A355" s="94"/>
      <c r="B355" s="68" t="s">
        <v>1570</v>
      </c>
      <c r="C355" s="68">
        <v>5</v>
      </c>
      <c r="D355" s="68" t="s">
        <v>294</v>
      </c>
      <c r="E355" s="68" t="s">
        <v>205</v>
      </c>
      <c r="F355" s="68" t="s">
        <v>279</v>
      </c>
      <c r="G355" s="68" t="s">
        <v>280</v>
      </c>
      <c r="H355" s="68" t="s">
        <v>225</v>
      </c>
      <c r="I355" s="68" t="s">
        <v>226</v>
      </c>
      <c r="J355" s="68" t="s">
        <v>227</v>
      </c>
      <c r="K355" s="68" t="s">
        <v>1571</v>
      </c>
      <c r="L355" s="68" t="s">
        <v>282</v>
      </c>
      <c r="M355" s="82" t="s">
        <v>1572</v>
      </c>
      <c r="N355" s="68" t="s">
        <v>1570</v>
      </c>
      <c r="O355" s="68" t="s">
        <v>1573</v>
      </c>
      <c r="P355" s="68"/>
      <c r="Q355" s="68" t="s">
        <v>285</v>
      </c>
      <c r="R355" s="68"/>
      <c r="S355" s="68"/>
      <c r="T355" s="68"/>
      <c r="U355" s="68"/>
      <c r="V355" s="68"/>
      <c r="W355" s="68"/>
      <c r="X355" s="68"/>
      <c r="Y355" s="68"/>
      <c r="Z355" s="68"/>
      <c r="AA355" s="92" t="s">
        <v>286</v>
      </c>
    </row>
    <row r="356" ht="14.25" hidden="1" customHeight="1" spans="1:27">
      <c r="A356" s="94"/>
      <c r="B356" s="71" t="s">
        <v>1574</v>
      </c>
      <c r="C356" s="71">
        <v>5</v>
      </c>
      <c r="D356" s="71" t="s">
        <v>329</v>
      </c>
      <c r="E356" s="71" t="s">
        <v>205</v>
      </c>
      <c r="F356" s="71" t="s">
        <v>360</v>
      </c>
      <c r="G356" s="71" t="s">
        <v>280</v>
      </c>
      <c r="H356" s="71" t="s">
        <v>225</v>
      </c>
      <c r="I356" s="71" t="s">
        <v>281</v>
      </c>
      <c r="J356" s="71" t="s">
        <v>281</v>
      </c>
      <c r="K356" s="71" t="s">
        <v>281</v>
      </c>
      <c r="L356" s="71" t="s">
        <v>1575</v>
      </c>
      <c r="M356" s="89" t="s">
        <v>1576</v>
      </c>
      <c r="N356" s="71" t="s">
        <v>1574</v>
      </c>
      <c r="O356" s="71" t="s">
        <v>1577</v>
      </c>
      <c r="P356" s="71" t="s">
        <v>285</v>
      </c>
      <c r="Q356" s="71" t="s">
        <v>285</v>
      </c>
      <c r="R356" s="71" t="s">
        <v>285</v>
      </c>
      <c r="S356" s="71" t="s">
        <v>285</v>
      </c>
      <c r="T356" s="71"/>
      <c r="U356" s="71"/>
      <c r="V356" s="71"/>
      <c r="W356" s="71" t="s">
        <v>285</v>
      </c>
      <c r="X356" s="71"/>
      <c r="Y356" s="71"/>
      <c r="Z356" s="71"/>
      <c r="AA356" s="92" t="s">
        <v>286</v>
      </c>
    </row>
    <row r="357" ht="14.25" hidden="1" customHeight="1" spans="2:27">
      <c r="B357" s="67" t="s">
        <v>1578</v>
      </c>
      <c r="C357" s="67">
        <v>5</v>
      </c>
      <c r="D357" s="67" t="s">
        <v>288</v>
      </c>
      <c r="E357" s="67" t="s">
        <v>205</v>
      </c>
      <c r="F357" s="67" t="s">
        <v>279</v>
      </c>
      <c r="G357" s="67" t="s">
        <v>341</v>
      </c>
      <c r="H357" s="67" t="s">
        <v>225</v>
      </c>
      <c r="I357" s="67" t="s">
        <v>226</v>
      </c>
      <c r="J357" s="67" t="s">
        <v>227</v>
      </c>
      <c r="K357" s="67" t="s">
        <v>1579</v>
      </c>
      <c r="L357" s="67" t="s">
        <v>282</v>
      </c>
      <c r="M357" s="90" t="s">
        <v>1580</v>
      </c>
      <c r="N357" s="67" t="s">
        <v>1578</v>
      </c>
      <c r="O357" s="67" t="s">
        <v>1581</v>
      </c>
      <c r="P357" s="67" t="s">
        <v>285</v>
      </c>
      <c r="Q357" s="67" t="s">
        <v>285</v>
      </c>
      <c r="R357" s="67" t="s">
        <v>285</v>
      </c>
      <c r="S357" s="67"/>
      <c r="T357" s="67"/>
      <c r="U357" s="67"/>
      <c r="V357" s="67"/>
      <c r="W357" s="67"/>
      <c r="X357" s="67" t="s">
        <v>285</v>
      </c>
      <c r="Y357" s="67"/>
      <c r="Z357" s="67"/>
      <c r="AA357" s="92" t="s">
        <v>286</v>
      </c>
    </row>
    <row r="358" ht="14.25" hidden="1" customHeight="1" spans="2:27">
      <c r="B358" s="68" t="s">
        <v>1582</v>
      </c>
      <c r="C358" s="68">
        <v>5</v>
      </c>
      <c r="D358" s="68" t="s">
        <v>294</v>
      </c>
      <c r="E358" s="68" t="s">
        <v>205</v>
      </c>
      <c r="F358" s="68" t="s">
        <v>467</v>
      </c>
      <c r="G358" s="68" t="s">
        <v>341</v>
      </c>
      <c r="H358" s="68" t="s">
        <v>225</v>
      </c>
      <c r="I358" s="68" t="s">
        <v>226</v>
      </c>
      <c r="J358" s="68" t="s">
        <v>227</v>
      </c>
      <c r="K358" s="68" t="s">
        <v>1583</v>
      </c>
      <c r="L358" s="68" t="s">
        <v>758</v>
      </c>
      <c r="M358" s="82" t="s">
        <v>1584</v>
      </c>
      <c r="N358" s="68" t="s">
        <v>1582</v>
      </c>
      <c r="O358" s="68" t="s">
        <v>1585</v>
      </c>
      <c r="P358" s="68"/>
      <c r="Q358" s="68" t="s">
        <v>285</v>
      </c>
      <c r="R358" s="68"/>
      <c r="S358" s="68"/>
      <c r="T358" s="68"/>
      <c r="U358" s="68"/>
      <c r="V358" s="68"/>
      <c r="W358" s="68"/>
      <c r="X358" s="68"/>
      <c r="Y358" s="68"/>
      <c r="Z358" s="68"/>
      <c r="AA358" s="92" t="s">
        <v>286</v>
      </c>
    </row>
    <row r="359" ht="14.25" customHeight="1" spans="1:27">
      <c r="A359" s="94"/>
      <c r="B359" s="71" t="s">
        <v>1586</v>
      </c>
      <c r="C359" s="71">
        <v>5</v>
      </c>
      <c r="D359" s="71" t="s">
        <v>329</v>
      </c>
      <c r="E359" s="71" t="s">
        <v>205</v>
      </c>
      <c r="F359" s="71" t="s">
        <v>279</v>
      </c>
      <c r="G359" s="71" t="s">
        <v>512</v>
      </c>
      <c r="H359" s="71" t="s">
        <v>225</v>
      </c>
      <c r="I359" s="71" t="s">
        <v>226</v>
      </c>
      <c r="J359" s="71" t="s">
        <v>227</v>
      </c>
      <c r="K359" s="71" t="s">
        <v>868</v>
      </c>
      <c r="L359" s="71" t="s">
        <v>312</v>
      </c>
      <c r="M359" s="89" t="s">
        <v>1587</v>
      </c>
      <c r="N359" s="71" t="s">
        <v>1586</v>
      </c>
      <c r="O359" s="71" t="s">
        <v>1588</v>
      </c>
      <c r="P359" s="71" t="s">
        <v>285</v>
      </c>
      <c r="Q359" s="71"/>
      <c r="R359" s="71"/>
      <c r="S359" s="71"/>
      <c r="T359" s="71"/>
      <c r="U359" s="71" t="s">
        <v>285</v>
      </c>
      <c r="V359" s="71" t="s">
        <v>285</v>
      </c>
      <c r="W359" s="71" t="s">
        <v>285</v>
      </c>
      <c r="X359" s="71"/>
      <c r="Y359" s="71"/>
      <c r="Z359" s="71"/>
      <c r="AA359" s="92" t="s">
        <v>286</v>
      </c>
    </row>
    <row r="360" ht="14.25" hidden="1" customHeight="1" spans="2:27">
      <c r="B360" s="68" t="s">
        <v>1589</v>
      </c>
      <c r="C360" s="68">
        <v>5</v>
      </c>
      <c r="D360" s="68" t="s">
        <v>294</v>
      </c>
      <c r="E360" s="68" t="s">
        <v>205</v>
      </c>
      <c r="F360" s="68" t="s">
        <v>364</v>
      </c>
      <c r="G360" s="68" t="s">
        <v>341</v>
      </c>
      <c r="H360" s="68" t="s">
        <v>225</v>
      </c>
      <c r="I360" s="68" t="s">
        <v>226</v>
      </c>
      <c r="J360" s="68" t="s">
        <v>281</v>
      </c>
      <c r="K360" s="68" t="s">
        <v>281</v>
      </c>
      <c r="L360" s="68" t="s">
        <v>585</v>
      </c>
      <c r="M360" s="77" t="s">
        <v>1590</v>
      </c>
      <c r="N360" s="68" t="s">
        <v>1589</v>
      </c>
      <c r="O360" s="68" t="s">
        <v>1591</v>
      </c>
      <c r="P360" s="68"/>
      <c r="Q360" s="68" t="s">
        <v>285</v>
      </c>
      <c r="R360" s="68"/>
      <c r="S360" s="68" t="s">
        <v>285</v>
      </c>
      <c r="T360" s="68"/>
      <c r="U360" s="68"/>
      <c r="V360" s="68"/>
      <c r="W360" s="68"/>
      <c r="X360" s="68"/>
      <c r="Y360" s="68"/>
      <c r="Z360" s="68"/>
      <c r="AA360" s="92" t="s">
        <v>310</v>
      </c>
    </row>
    <row r="361" ht="14.25" hidden="1" customHeight="1" spans="1:27">
      <c r="A361" s="94"/>
      <c r="B361" s="68" t="s">
        <v>1592</v>
      </c>
      <c r="C361" s="68">
        <v>5</v>
      </c>
      <c r="D361" s="68" t="s">
        <v>294</v>
      </c>
      <c r="E361" s="68" t="s">
        <v>205</v>
      </c>
      <c r="F361" s="68" t="s">
        <v>279</v>
      </c>
      <c r="G361" s="68" t="s">
        <v>512</v>
      </c>
      <c r="H361" s="68" t="s">
        <v>225</v>
      </c>
      <c r="I361" s="68" t="s">
        <v>281</v>
      </c>
      <c r="J361" s="68" t="s">
        <v>281</v>
      </c>
      <c r="K361" s="68" t="s">
        <v>281</v>
      </c>
      <c r="L361" s="68" t="s">
        <v>312</v>
      </c>
      <c r="M361" s="77" t="s">
        <v>1593</v>
      </c>
      <c r="N361" s="68" t="s">
        <v>1592</v>
      </c>
      <c r="O361" s="68" t="s">
        <v>1594</v>
      </c>
      <c r="P361" s="68"/>
      <c r="Q361" s="68"/>
      <c r="R361" s="68"/>
      <c r="S361" s="68"/>
      <c r="T361" s="68"/>
      <c r="U361" s="68" t="s">
        <v>285</v>
      </c>
      <c r="V361" s="68"/>
      <c r="W361" s="68" t="s">
        <v>285</v>
      </c>
      <c r="X361" s="68"/>
      <c r="Y361" s="68"/>
      <c r="Z361" s="68"/>
      <c r="AA361" s="92" t="s">
        <v>310</v>
      </c>
    </row>
    <row r="362" ht="14.25" hidden="1" customHeight="1" spans="1:27">
      <c r="A362" s="94"/>
      <c r="B362" s="66" t="s">
        <v>1595</v>
      </c>
      <c r="C362" s="66">
        <v>5</v>
      </c>
      <c r="D362" s="66" t="s">
        <v>278</v>
      </c>
      <c r="E362" s="66" t="s">
        <v>205</v>
      </c>
      <c r="F362" s="66" t="s">
        <v>360</v>
      </c>
      <c r="G362" s="66" t="s">
        <v>512</v>
      </c>
      <c r="H362" s="66" t="s">
        <v>225</v>
      </c>
      <c r="I362" s="66" t="s">
        <v>226</v>
      </c>
      <c r="J362" s="66" t="s">
        <v>227</v>
      </c>
      <c r="K362" s="66" t="s">
        <v>1596</v>
      </c>
      <c r="L362" s="66" t="s">
        <v>585</v>
      </c>
      <c r="M362" s="75" t="s">
        <v>1597</v>
      </c>
      <c r="N362" s="66" t="s">
        <v>1595</v>
      </c>
      <c r="O362" s="66" t="s">
        <v>1598</v>
      </c>
      <c r="P362" s="66"/>
      <c r="Q362" s="66"/>
      <c r="R362" s="66"/>
      <c r="S362" s="66"/>
      <c r="T362" s="66"/>
      <c r="U362" s="66"/>
      <c r="V362" s="66" t="s">
        <v>285</v>
      </c>
      <c r="W362" s="66" t="s">
        <v>285</v>
      </c>
      <c r="X362" s="66"/>
      <c r="Y362" s="66"/>
      <c r="Z362" s="66"/>
      <c r="AA362" s="92" t="s">
        <v>310</v>
      </c>
    </row>
    <row r="363" ht="14.25" hidden="1" customHeight="1" spans="1:27">
      <c r="A363" s="94"/>
      <c r="B363" s="66" t="s">
        <v>1599</v>
      </c>
      <c r="C363" s="66">
        <v>5</v>
      </c>
      <c r="D363" s="66" t="s">
        <v>278</v>
      </c>
      <c r="E363" s="66" t="s">
        <v>205</v>
      </c>
      <c r="F363" s="66" t="s">
        <v>279</v>
      </c>
      <c r="G363" s="66" t="s">
        <v>820</v>
      </c>
      <c r="H363" s="66" t="s">
        <v>225</v>
      </c>
      <c r="I363" s="66" t="s">
        <v>226</v>
      </c>
      <c r="J363" s="66" t="s">
        <v>227</v>
      </c>
      <c r="K363" s="66" t="s">
        <v>1600</v>
      </c>
      <c r="L363" s="66" t="s">
        <v>484</v>
      </c>
      <c r="M363" s="75" t="s">
        <v>1601</v>
      </c>
      <c r="N363" s="66" t="s">
        <v>1599</v>
      </c>
      <c r="O363" s="66" t="s">
        <v>1602</v>
      </c>
      <c r="P363" s="66"/>
      <c r="Q363" s="66" t="s">
        <v>285</v>
      </c>
      <c r="R363" s="66" t="s">
        <v>285</v>
      </c>
      <c r="S363" s="66"/>
      <c r="T363" s="66"/>
      <c r="U363" s="66" t="s">
        <v>285</v>
      </c>
      <c r="V363" s="66"/>
      <c r="W363" s="66"/>
      <c r="X363" s="66"/>
      <c r="Y363" s="66"/>
      <c r="Z363" s="66"/>
      <c r="AA363" s="92" t="s">
        <v>286</v>
      </c>
    </row>
    <row r="364" ht="14.25" hidden="1" customHeight="1" spans="2:27">
      <c r="B364" s="72" t="s">
        <v>1603</v>
      </c>
      <c r="C364" s="72">
        <v>5</v>
      </c>
      <c r="D364" s="72" t="s">
        <v>340</v>
      </c>
      <c r="E364" s="72" t="s">
        <v>205</v>
      </c>
      <c r="F364" s="72" t="s">
        <v>397</v>
      </c>
      <c r="G364" s="72" t="s">
        <v>289</v>
      </c>
      <c r="H364" s="72" t="s">
        <v>225</v>
      </c>
      <c r="I364" s="72" t="s">
        <v>226</v>
      </c>
      <c r="J364" s="72" t="s">
        <v>227</v>
      </c>
      <c r="K364" s="72" t="s">
        <v>1604</v>
      </c>
      <c r="L364" s="72" t="s">
        <v>282</v>
      </c>
      <c r="M364" s="83" t="s">
        <v>1605</v>
      </c>
      <c r="N364" s="72" t="s">
        <v>1603</v>
      </c>
      <c r="O364" s="72" t="s">
        <v>1606</v>
      </c>
      <c r="P364" s="72" t="s">
        <v>285</v>
      </c>
      <c r="Q364" s="72" t="s">
        <v>285</v>
      </c>
      <c r="R364" s="72"/>
      <c r="S364" s="72"/>
      <c r="T364" s="72"/>
      <c r="U364" s="72"/>
      <c r="V364" s="72"/>
      <c r="W364" s="72" t="s">
        <v>285</v>
      </c>
      <c r="X364" s="72"/>
      <c r="Y364" s="72"/>
      <c r="Z364" s="72"/>
      <c r="AA364" s="92" t="s">
        <v>286</v>
      </c>
    </row>
    <row r="365" ht="14.25" hidden="1" customHeight="1" spans="1:27">
      <c r="A365" s="94"/>
      <c r="B365" s="68" t="s">
        <v>1607</v>
      </c>
      <c r="C365" s="68">
        <v>5</v>
      </c>
      <c r="D365" s="68" t="s">
        <v>294</v>
      </c>
      <c r="E365" s="68" t="s">
        <v>205</v>
      </c>
      <c r="F365" s="68" t="s">
        <v>279</v>
      </c>
      <c r="G365" s="68" t="s">
        <v>302</v>
      </c>
      <c r="H365" s="68" t="s">
        <v>225</v>
      </c>
      <c r="I365" s="68" t="s">
        <v>226</v>
      </c>
      <c r="J365" s="68" t="s">
        <v>227</v>
      </c>
      <c r="K365" s="68" t="s">
        <v>1608</v>
      </c>
      <c r="L365" s="68" t="s">
        <v>312</v>
      </c>
      <c r="M365" s="77" t="s">
        <v>1609</v>
      </c>
      <c r="N365" s="68" t="s">
        <v>1607</v>
      </c>
      <c r="O365" s="68" t="s">
        <v>1610</v>
      </c>
      <c r="P365" s="68"/>
      <c r="Q365" s="68"/>
      <c r="R365" s="68" t="s">
        <v>285</v>
      </c>
      <c r="S365" s="68"/>
      <c r="T365" s="68"/>
      <c r="U365" s="68"/>
      <c r="V365" s="68"/>
      <c r="W365" s="68"/>
      <c r="X365" s="68"/>
      <c r="Y365" s="68"/>
      <c r="Z365" s="68"/>
      <c r="AA365" s="92" t="s">
        <v>310</v>
      </c>
    </row>
    <row r="366" ht="14.25" hidden="1" customHeight="1" spans="1:27">
      <c r="A366" s="94"/>
      <c r="B366" s="68" t="s">
        <v>1611</v>
      </c>
      <c r="C366" s="68">
        <v>5</v>
      </c>
      <c r="D366" s="68" t="s">
        <v>294</v>
      </c>
      <c r="E366" s="68" t="s">
        <v>205</v>
      </c>
      <c r="F366" s="68" t="s">
        <v>279</v>
      </c>
      <c r="G366" s="68" t="s">
        <v>280</v>
      </c>
      <c r="H366" s="68" t="s">
        <v>225</v>
      </c>
      <c r="I366" s="68" t="s">
        <v>226</v>
      </c>
      <c r="J366" s="68" t="s">
        <v>281</v>
      </c>
      <c r="K366" s="68" t="s">
        <v>281</v>
      </c>
      <c r="L366" s="68" t="s">
        <v>282</v>
      </c>
      <c r="M366" s="77" t="s">
        <v>1612</v>
      </c>
      <c r="N366" s="68" t="s">
        <v>1611</v>
      </c>
      <c r="O366" s="68" t="s">
        <v>1613</v>
      </c>
      <c r="P366" s="68" t="s">
        <v>285</v>
      </c>
      <c r="Q366" s="68" t="s">
        <v>285</v>
      </c>
      <c r="R366" s="68" t="s">
        <v>285</v>
      </c>
      <c r="S366" s="68"/>
      <c r="T366" s="68"/>
      <c r="U366" s="68"/>
      <c r="V366" s="68"/>
      <c r="W366" s="68"/>
      <c r="X366" s="68"/>
      <c r="Y366" s="68"/>
      <c r="Z366" s="68"/>
      <c r="AA366" s="92" t="s">
        <v>286</v>
      </c>
    </row>
    <row r="367" ht="14.25" hidden="1" customHeight="1" spans="1:27">
      <c r="A367" s="94"/>
      <c r="B367" s="73" t="s">
        <v>1614</v>
      </c>
      <c r="C367" s="73">
        <v>5</v>
      </c>
      <c r="D367" s="73" t="s">
        <v>378</v>
      </c>
      <c r="E367" s="73" t="s">
        <v>205</v>
      </c>
      <c r="F367" s="73" t="s">
        <v>279</v>
      </c>
      <c r="G367" s="73" t="s">
        <v>289</v>
      </c>
      <c r="H367" s="73" t="s">
        <v>281</v>
      </c>
      <c r="I367" s="73" t="s">
        <v>226</v>
      </c>
      <c r="J367" s="73" t="s">
        <v>281</v>
      </c>
      <c r="K367" s="73" t="s">
        <v>281</v>
      </c>
      <c r="L367" s="73" t="s">
        <v>585</v>
      </c>
      <c r="M367" s="91" t="s">
        <v>1615</v>
      </c>
      <c r="N367" s="73" t="s">
        <v>1614</v>
      </c>
      <c r="O367" s="73" t="s">
        <v>1616</v>
      </c>
      <c r="P367" s="73" t="s">
        <v>285</v>
      </c>
      <c r="Q367" s="73"/>
      <c r="R367" s="73"/>
      <c r="S367" s="73"/>
      <c r="T367" s="73"/>
      <c r="U367" s="73"/>
      <c r="V367" s="73"/>
      <c r="W367" s="73"/>
      <c r="X367" s="73"/>
      <c r="Y367" s="73"/>
      <c r="Z367" s="73"/>
      <c r="AA367" s="92" t="s">
        <v>286</v>
      </c>
    </row>
    <row r="368" ht="14.25" hidden="1" customHeight="1" spans="1:27">
      <c r="A368" s="94"/>
      <c r="B368" s="71" t="s">
        <v>1617</v>
      </c>
      <c r="C368" s="71">
        <v>5</v>
      </c>
      <c r="D368" s="71" t="s">
        <v>329</v>
      </c>
      <c r="E368" s="71" t="s">
        <v>205</v>
      </c>
      <c r="F368" s="71" t="s">
        <v>279</v>
      </c>
      <c r="G368" s="71" t="s">
        <v>320</v>
      </c>
      <c r="H368" s="71" t="s">
        <v>225</v>
      </c>
      <c r="I368" s="71" t="s">
        <v>226</v>
      </c>
      <c r="J368" s="71" t="s">
        <v>281</v>
      </c>
      <c r="K368" s="71" t="s">
        <v>281</v>
      </c>
      <c r="L368" s="71" t="s">
        <v>312</v>
      </c>
      <c r="M368" s="81" t="s">
        <v>1618</v>
      </c>
      <c r="N368" s="71" t="s">
        <v>1617</v>
      </c>
      <c r="O368" s="71" t="s">
        <v>1619</v>
      </c>
      <c r="P368" s="71" t="s">
        <v>285</v>
      </c>
      <c r="Q368" s="71"/>
      <c r="R368" s="71"/>
      <c r="S368" s="71"/>
      <c r="T368" s="71"/>
      <c r="U368" s="71"/>
      <c r="V368" s="71"/>
      <c r="W368" s="71" t="s">
        <v>285</v>
      </c>
      <c r="X368" s="71"/>
      <c r="Y368" s="71"/>
      <c r="Z368" s="71"/>
      <c r="AA368" s="92" t="s">
        <v>286</v>
      </c>
    </row>
    <row r="369" ht="14.25" hidden="1" customHeight="1" spans="1:27">
      <c r="A369" s="94"/>
      <c r="B369" s="69" t="s">
        <v>1620</v>
      </c>
      <c r="C369" s="69">
        <v>5</v>
      </c>
      <c r="D369" s="69" t="s">
        <v>301</v>
      </c>
      <c r="E369" s="69" t="s">
        <v>205</v>
      </c>
      <c r="F369" s="69" t="s">
        <v>279</v>
      </c>
      <c r="G369" s="69" t="s">
        <v>280</v>
      </c>
      <c r="H369" s="69" t="s">
        <v>225</v>
      </c>
      <c r="I369" s="69" t="s">
        <v>281</v>
      </c>
      <c r="J369" s="69" t="s">
        <v>227</v>
      </c>
      <c r="K369" s="69" t="s">
        <v>1621</v>
      </c>
      <c r="L369" s="69" t="s">
        <v>282</v>
      </c>
      <c r="M369" s="78" t="s">
        <v>1622</v>
      </c>
      <c r="N369" s="69" t="s">
        <v>1620</v>
      </c>
      <c r="O369" s="69" t="s">
        <v>1623</v>
      </c>
      <c r="P369" s="69"/>
      <c r="Q369" s="69"/>
      <c r="R369" s="69"/>
      <c r="S369" s="69"/>
      <c r="T369" s="69"/>
      <c r="U369" s="69"/>
      <c r="V369" s="69" t="s">
        <v>285</v>
      </c>
      <c r="W369" s="69" t="s">
        <v>285</v>
      </c>
      <c r="X369" s="69"/>
      <c r="Y369" s="69"/>
      <c r="Z369" s="69"/>
      <c r="AA369" s="92" t="s">
        <v>310</v>
      </c>
    </row>
    <row r="370" ht="14.25" hidden="1" customHeight="1" spans="1:27">
      <c r="A370" s="94"/>
      <c r="B370" s="70" t="s">
        <v>1624</v>
      </c>
      <c r="C370" s="70">
        <v>5</v>
      </c>
      <c r="D370" s="70" t="s">
        <v>306</v>
      </c>
      <c r="E370" s="70" t="s">
        <v>205</v>
      </c>
      <c r="F370" s="70" t="s">
        <v>279</v>
      </c>
      <c r="G370" s="70" t="s">
        <v>320</v>
      </c>
      <c r="H370" s="70" t="s">
        <v>225</v>
      </c>
      <c r="I370" s="70" t="s">
        <v>226</v>
      </c>
      <c r="J370" s="70" t="s">
        <v>227</v>
      </c>
      <c r="K370" s="70" t="s">
        <v>1625</v>
      </c>
      <c r="L370" s="70" t="s">
        <v>353</v>
      </c>
      <c r="M370" s="84" t="s">
        <v>1626</v>
      </c>
      <c r="N370" s="70" t="s">
        <v>1624</v>
      </c>
      <c r="O370" s="70" t="s">
        <v>1627</v>
      </c>
      <c r="P370" s="70"/>
      <c r="Q370" s="70"/>
      <c r="R370" s="70"/>
      <c r="S370" s="70"/>
      <c r="T370" s="70"/>
      <c r="U370" s="70"/>
      <c r="V370" s="70"/>
      <c r="W370" s="70" t="s">
        <v>285</v>
      </c>
      <c r="X370" s="70"/>
      <c r="Y370" s="70"/>
      <c r="Z370" s="70"/>
      <c r="AA370" s="92" t="s">
        <v>286</v>
      </c>
    </row>
    <row r="371" ht="14.25" hidden="1" customHeight="1" spans="1:27">
      <c r="A371" s="94"/>
      <c r="B371" s="67" t="s">
        <v>1628</v>
      </c>
      <c r="C371" s="67">
        <v>5</v>
      </c>
      <c r="D371" s="67" t="s">
        <v>288</v>
      </c>
      <c r="E371" s="67" t="s">
        <v>205</v>
      </c>
      <c r="F371" s="67" t="s">
        <v>353</v>
      </c>
      <c r="G371" s="67" t="s">
        <v>280</v>
      </c>
      <c r="H371" s="67" t="s">
        <v>225</v>
      </c>
      <c r="I371" s="67" t="s">
        <v>226</v>
      </c>
      <c r="J371" s="67" t="s">
        <v>227</v>
      </c>
      <c r="K371" s="67" t="s">
        <v>1629</v>
      </c>
      <c r="L371" s="67" t="s">
        <v>467</v>
      </c>
      <c r="M371" s="90" t="s">
        <v>1630</v>
      </c>
      <c r="N371" s="67" t="s">
        <v>1628</v>
      </c>
      <c r="O371" s="67" t="s">
        <v>1631</v>
      </c>
      <c r="P371" s="67" t="s">
        <v>285</v>
      </c>
      <c r="Q371" s="67" t="s">
        <v>285</v>
      </c>
      <c r="R371" s="67" t="s">
        <v>285</v>
      </c>
      <c r="S371" s="67"/>
      <c r="T371" s="67"/>
      <c r="U371" s="67"/>
      <c r="V371" s="67"/>
      <c r="W371" s="67" t="s">
        <v>285</v>
      </c>
      <c r="X371" s="67"/>
      <c r="Y371" s="67"/>
      <c r="Z371" s="67"/>
      <c r="AA371" s="92" t="s">
        <v>286</v>
      </c>
    </row>
    <row r="372" ht="14.25" hidden="1" customHeight="1" spans="1:27">
      <c r="A372" s="94"/>
      <c r="B372" s="69" t="s">
        <v>1632</v>
      </c>
      <c r="C372" s="69">
        <v>5</v>
      </c>
      <c r="D372" s="69" t="s">
        <v>301</v>
      </c>
      <c r="E372" s="69" t="s">
        <v>205</v>
      </c>
      <c r="F372" s="69" t="s">
        <v>353</v>
      </c>
      <c r="G372" s="69" t="s">
        <v>341</v>
      </c>
      <c r="H372" s="69" t="s">
        <v>225</v>
      </c>
      <c r="I372" s="69" t="s">
        <v>226</v>
      </c>
      <c r="J372" s="69" t="s">
        <v>227</v>
      </c>
      <c r="K372" s="69" t="s">
        <v>1633</v>
      </c>
      <c r="L372" s="69" t="s">
        <v>282</v>
      </c>
      <c r="M372" s="88" t="s">
        <v>1634</v>
      </c>
      <c r="N372" s="69" t="s">
        <v>1632</v>
      </c>
      <c r="O372" s="69" t="s">
        <v>1635</v>
      </c>
      <c r="P372" s="69" t="s">
        <v>285</v>
      </c>
      <c r="Q372" s="69" t="s">
        <v>285</v>
      </c>
      <c r="R372" s="69"/>
      <c r="S372" s="69" t="s">
        <v>285</v>
      </c>
      <c r="T372" s="69"/>
      <c r="U372" s="69"/>
      <c r="V372" s="69"/>
      <c r="W372" s="69"/>
      <c r="X372" s="69"/>
      <c r="Y372" s="69"/>
      <c r="Z372" s="69"/>
      <c r="AA372" s="92" t="s">
        <v>286</v>
      </c>
    </row>
    <row r="373" ht="14.25" hidden="1" customHeight="1" spans="1:27">
      <c r="A373" s="94"/>
      <c r="B373" s="72" t="s">
        <v>1636</v>
      </c>
      <c r="C373" s="72">
        <v>5</v>
      </c>
      <c r="D373" s="72" t="s">
        <v>340</v>
      </c>
      <c r="E373" s="72" t="s">
        <v>285</v>
      </c>
      <c r="F373" s="72" t="s">
        <v>279</v>
      </c>
      <c r="G373" s="72" t="s">
        <v>320</v>
      </c>
      <c r="H373" s="72" t="s">
        <v>225</v>
      </c>
      <c r="I373" s="72" t="s">
        <v>226</v>
      </c>
      <c r="J373" s="72" t="s">
        <v>227</v>
      </c>
      <c r="K373" s="72" t="s">
        <v>1637</v>
      </c>
      <c r="L373" s="72" t="s">
        <v>353</v>
      </c>
      <c r="M373" s="95" t="s">
        <v>1638</v>
      </c>
      <c r="N373" s="72" t="s">
        <v>1636</v>
      </c>
      <c r="O373" s="72" t="s">
        <v>1639</v>
      </c>
      <c r="P373" s="72"/>
      <c r="Q373" s="72"/>
      <c r="R373" s="72"/>
      <c r="S373" s="72"/>
      <c r="T373" s="72"/>
      <c r="U373" s="72"/>
      <c r="V373" s="72"/>
      <c r="W373" s="72" t="s">
        <v>285</v>
      </c>
      <c r="X373" s="72"/>
      <c r="Y373" s="72"/>
      <c r="Z373" s="72"/>
      <c r="AA373" s="92" t="s">
        <v>286</v>
      </c>
    </row>
    <row r="374" ht="14.25" hidden="1" customHeight="1" spans="2:27">
      <c r="B374" s="70" t="s">
        <v>1640</v>
      </c>
      <c r="C374" s="70">
        <v>5</v>
      </c>
      <c r="D374" s="70" t="s">
        <v>306</v>
      </c>
      <c r="E374" s="70" t="s">
        <v>205</v>
      </c>
      <c r="F374" s="70" t="s">
        <v>353</v>
      </c>
      <c r="G374" s="70" t="s">
        <v>341</v>
      </c>
      <c r="H374" s="70" t="s">
        <v>225</v>
      </c>
      <c r="I374" s="70" t="s">
        <v>226</v>
      </c>
      <c r="J374" s="70" t="s">
        <v>227</v>
      </c>
      <c r="K374" s="70" t="s">
        <v>1641</v>
      </c>
      <c r="L374" s="70" t="s">
        <v>282</v>
      </c>
      <c r="M374" s="84" t="s">
        <v>1642</v>
      </c>
      <c r="N374" s="70" t="s">
        <v>1640</v>
      </c>
      <c r="O374" s="70" t="s">
        <v>1643</v>
      </c>
      <c r="P374" s="70"/>
      <c r="Q374" s="70"/>
      <c r="R374" s="70" t="s">
        <v>285</v>
      </c>
      <c r="S374" s="70"/>
      <c r="T374" s="70"/>
      <c r="U374" s="70"/>
      <c r="V374" s="70"/>
      <c r="W374" s="70"/>
      <c r="X374" s="70"/>
      <c r="Y374" s="70"/>
      <c r="Z374" s="70"/>
      <c r="AA374" s="92" t="s">
        <v>286</v>
      </c>
    </row>
    <row r="375" ht="14.25" customHeight="1" spans="2:27">
      <c r="B375" s="72" t="s">
        <v>1644</v>
      </c>
      <c r="C375" s="72">
        <v>5</v>
      </c>
      <c r="D375" s="72" t="s">
        <v>340</v>
      </c>
      <c r="E375" s="72" t="s">
        <v>205</v>
      </c>
      <c r="F375" s="72" t="s">
        <v>397</v>
      </c>
      <c r="G375" s="72" t="s">
        <v>289</v>
      </c>
      <c r="H375" s="72" t="s">
        <v>225</v>
      </c>
      <c r="I375" s="72" t="s">
        <v>226</v>
      </c>
      <c r="J375" s="72" t="s">
        <v>227</v>
      </c>
      <c r="K375" s="72" t="s">
        <v>1645</v>
      </c>
      <c r="L375" s="72" t="s">
        <v>484</v>
      </c>
      <c r="M375" s="95" t="s">
        <v>1646</v>
      </c>
      <c r="N375" s="72" t="s">
        <v>1644</v>
      </c>
      <c r="O375" s="72" t="s">
        <v>1647</v>
      </c>
      <c r="P375" s="72" t="s">
        <v>285</v>
      </c>
      <c r="Q375" s="72" t="s">
        <v>285</v>
      </c>
      <c r="R375" s="72" t="s">
        <v>285</v>
      </c>
      <c r="S375" s="72"/>
      <c r="T375" s="72"/>
      <c r="U375" s="72"/>
      <c r="V375" s="72" t="s">
        <v>285</v>
      </c>
      <c r="W375" s="72" t="s">
        <v>285</v>
      </c>
      <c r="X375" s="72"/>
      <c r="Y375" s="72"/>
      <c r="Z375" s="72"/>
      <c r="AA375" s="92" t="s">
        <v>286</v>
      </c>
    </row>
    <row r="376" ht="14.25" hidden="1" customHeight="1" spans="1:27">
      <c r="A376" s="94"/>
      <c r="B376" s="73" t="s">
        <v>1648</v>
      </c>
      <c r="C376" s="73">
        <v>5</v>
      </c>
      <c r="D376" s="73" t="s">
        <v>378</v>
      </c>
      <c r="E376" s="73" t="s">
        <v>205</v>
      </c>
      <c r="F376" s="73" t="s">
        <v>279</v>
      </c>
      <c r="G376" s="73" t="s">
        <v>320</v>
      </c>
      <c r="H376" s="73" t="s">
        <v>225</v>
      </c>
      <c r="I376" s="73" t="s">
        <v>226</v>
      </c>
      <c r="J376" s="73" t="s">
        <v>281</v>
      </c>
      <c r="K376" s="73" t="s">
        <v>281</v>
      </c>
      <c r="L376" s="73" t="s">
        <v>462</v>
      </c>
      <c r="M376" s="91" t="s">
        <v>1649</v>
      </c>
      <c r="N376" s="73" t="s">
        <v>1648</v>
      </c>
      <c r="O376" s="73" t="s">
        <v>1650</v>
      </c>
      <c r="P376" s="73" t="s">
        <v>285</v>
      </c>
      <c r="Q376" s="73"/>
      <c r="R376" s="73"/>
      <c r="S376" s="73"/>
      <c r="T376" s="73"/>
      <c r="U376" s="73" t="s">
        <v>285</v>
      </c>
      <c r="V376" s="73"/>
      <c r="W376" s="73" t="s">
        <v>285</v>
      </c>
      <c r="X376" s="73"/>
      <c r="Y376" s="73"/>
      <c r="Z376" s="73"/>
      <c r="AA376" s="92" t="s">
        <v>286</v>
      </c>
    </row>
    <row r="377" ht="14.25" hidden="1" customHeight="1" spans="1:27">
      <c r="A377" s="94"/>
      <c r="B377" s="70" t="s">
        <v>1651</v>
      </c>
      <c r="C377" s="70">
        <v>5</v>
      </c>
      <c r="D377" s="70" t="s">
        <v>306</v>
      </c>
      <c r="E377" s="70" t="s">
        <v>205</v>
      </c>
      <c r="F377" s="70" t="s">
        <v>279</v>
      </c>
      <c r="G377" s="70" t="s">
        <v>341</v>
      </c>
      <c r="H377" s="70" t="s">
        <v>225</v>
      </c>
      <c r="I377" s="70" t="s">
        <v>226</v>
      </c>
      <c r="J377" s="70" t="s">
        <v>281</v>
      </c>
      <c r="K377" s="70" t="s">
        <v>281</v>
      </c>
      <c r="L377" s="70" t="s">
        <v>585</v>
      </c>
      <c r="M377" s="84" t="s">
        <v>1652</v>
      </c>
      <c r="N377" s="70" t="s">
        <v>1651</v>
      </c>
      <c r="O377" s="70" t="s">
        <v>1653</v>
      </c>
      <c r="P377" s="70" t="s">
        <v>285</v>
      </c>
      <c r="Q377" s="70"/>
      <c r="R377" s="70"/>
      <c r="S377" s="70"/>
      <c r="T377" s="70"/>
      <c r="U377" s="70" t="s">
        <v>285</v>
      </c>
      <c r="V377" s="70"/>
      <c r="W377" s="70" t="s">
        <v>285</v>
      </c>
      <c r="X377" s="70" t="s">
        <v>285</v>
      </c>
      <c r="Y377" s="70"/>
      <c r="Z377" s="70"/>
      <c r="AA377" s="92" t="s">
        <v>310</v>
      </c>
    </row>
    <row r="378" ht="14.25" hidden="1" customHeight="1" spans="1:27">
      <c r="A378" s="94"/>
      <c r="B378" s="66" t="s">
        <v>1654</v>
      </c>
      <c r="C378" s="66">
        <v>5</v>
      </c>
      <c r="D378" s="66" t="s">
        <v>278</v>
      </c>
      <c r="E378" s="66" t="s">
        <v>205</v>
      </c>
      <c r="F378" s="66" t="s">
        <v>279</v>
      </c>
      <c r="G378" s="66" t="s">
        <v>320</v>
      </c>
      <c r="H378" s="66" t="s">
        <v>281</v>
      </c>
      <c r="I378" s="66" t="s">
        <v>226</v>
      </c>
      <c r="J378" s="66" t="s">
        <v>227</v>
      </c>
      <c r="K378" s="66" t="s">
        <v>1655</v>
      </c>
      <c r="L378" s="66" t="s">
        <v>282</v>
      </c>
      <c r="M378" s="80" t="s">
        <v>1656</v>
      </c>
      <c r="N378" s="66" t="s">
        <v>1654</v>
      </c>
      <c r="O378" s="66" t="s">
        <v>1657</v>
      </c>
      <c r="P378" s="66"/>
      <c r="Q378" s="66"/>
      <c r="R378" s="66"/>
      <c r="S378" s="66"/>
      <c r="T378" s="66" t="s">
        <v>285</v>
      </c>
      <c r="U378" s="66"/>
      <c r="V378" s="66"/>
      <c r="W378" s="66" t="s">
        <v>285</v>
      </c>
      <c r="X378" s="66"/>
      <c r="Y378" s="66"/>
      <c r="Z378" s="66"/>
      <c r="AA378" s="92" t="s">
        <v>310</v>
      </c>
    </row>
    <row r="379" ht="14.25" hidden="1" customHeight="1" spans="1:27">
      <c r="A379" s="94"/>
      <c r="B379" s="66" t="s">
        <v>1658</v>
      </c>
      <c r="C379" s="66">
        <v>5</v>
      </c>
      <c r="D379" s="66" t="s">
        <v>278</v>
      </c>
      <c r="E379" s="66" t="s">
        <v>205</v>
      </c>
      <c r="F379" s="66" t="s">
        <v>279</v>
      </c>
      <c r="G379" s="66" t="s">
        <v>512</v>
      </c>
      <c r="H379" s="66" t="s">
        <v>225</v>
      </c>
      <c r="I379" s="66" t="s">
        <v>226</v>
      </c>
      <c r="J379" s="66" t="s">
        <v>227</v>
      </c>
      <c r="K379" s="66" t="s">
        <v>1659</v>
      </c>
      <c r="L379" s="66" t="s">
        <v>585</v>
      </c>
      <c r="M379" s="119" t="s">
        <v>1660</v>
      </c>
      <c r="N379" s="66" t="s">
        <v>1658</v>
      </c>
      <c r="O379" s="66" t="s">
        <v>1661</v>
      </c>
      <c r="P379" s="66"/>
      <c r="Q379" s="66" t="s">
        <v>285</v>
      </c>
      <c r="R379" s="66"/>
      <c r="S379" s="66" t="s">
        <v>285</v>
      </c>
      <c r="T379" s="66"/>
      <c r="U379" s="66"/>
      <c r="V379" s="66"/>
      <c r="W379" s="66"/>
      <c r="X379" s="66"/>
      <c r="Y379" s="114"/>
      <c r="Z379" s="114"/>
      <c r="AA379" s="92" t="s">
        <v>377</v>
      </c>
    </row>
    <row r="380" ht="14.25" hidden="1" customHeight="1" spans="1:27">
      <c r="A380" s="94"/>
      <c r="B380" s="70" t="s">
        <v>1662</v>
      </c>
      <c r="C380" s="70">
        <v>5</v>
      </c>
      <c r="D380" s="70" t="s">
        <v>306</v>
      </c>
      <c r="E380" s="70" t="s">
        <v>205</v>
      </c>
      <c r="F380" s="70" t="s">
        <v>364</v>
      </c>
      <c r="G380" s="70" t="s">
        <v>341</v>
      </c>
      <c r="H380" s="70" t="s">
        <v>225</v>
      </c>
      <c r="I380" s="70" t="s">
        <v>226</v>
      </c>
      <c r="J380" s="70" t="s">
        <v>227</v>
      </c>
      <c r="K380" s="70" t="s">
        <v>1663</v>
      </c>
      <c r="L380" s="70" t="s">
        <v>312</v>
      </c>
      <c r="M380" s="79" t="s">
        <v>1664</v>
      </c>
      <c r="N380" s="70" t="s">
        <v>1662</v>
      </c>
      <c r="O380" s="70" t="s">
        <v>1665</v>
      </c>
      <c r="P380" s="70"/>
      <c r="Q380" s="70"/>
      <c r="R380" s="70"/>
      <c r="S380" s="70"/>
      <c r="T380" s="70" t="s">
        <v>285</v>
      </c>
      <c r="U380" s="70"/>
      <c r="V380" s="70"/>
      <c r="W380" s="70"/>
      <c r="X380" s="70"/>
      <c r="Y380" s="70"/>
      <c r="Z380" s="70"/>
      <c r="AA380" s="92" t="s">
        <v>286</v>
      </c>
    </row>
    <row r="381" ht="14.25" hidden="1" customHeight="1" spans="1:27">
      <c r="A381" s="94"/>
      <c r="B381" s="71" t="s">
        <v>1666</v>
      </c>
      <c r="C381" s="71">
        <v>5</v>
      </c>
      <c r="D381" s="71" t="s">
        <v>329</v>
      </c>
      <c r="E381" s="71" t="s">
        <v>205</v>
      </c>
      <c r="F381" s="71" t="s">
        <v>279</v>
      </c>
      <c r="G381" s="71" t="s">
        <v>302</v>
      </c>
      <c r="H381" s="71" t="s">
        <v>225</v>
      </c>
      <c r="I381" s="71" t="s">
        <v>226</v>
      </c>
      <c r="J381" s="71" t="s">
        <v>281</v>
      </c>
      <c r="K381" s="71" t="s">
        <v>281</v>
      </c>
      <c r="L381" s="71" t="s">
        <v>282</v>
      </c>
      <c r="M381" s="89" t="s">
        <v>1667</v>
      </c>
      <c r="N381" s="71" t="s">
        <v>1666</v>
      </c>
      <c r="O381" s="71" t="s">
        <v>1668</v>
      </c>
      <c r="P381" s="71" t="s">
        <v>285</v>
      </c>
      <c r="Q381" s="71"/>
      <c r="R381" s="71"/>
      <c r="S381" s="71"/>
      <c r="T381" s="71"/>
      <c r="U381" s="71" t="s">
        <v>285</v>
      </c>
      <c r="V381" s="71" t="s">
        <v>285</v>
      </c>
      <c r="W381" s="71" t="s">
        <v>285</v>
      </c>
      <c r="X381" s="71"/>
      <c r="Y381" s="71"/>
      <c r="Z381" s="71"/>
      <c r="AA381" s="92" t="s">
        <v>310</v>
      </c>
    </row>
    <row r="382" ht="14.25" hidden="1" customHeight="1" spans="1:27">
      <c r="A382" s="94"/>
      <c r="B382" s="70" t="s">
        <v>1669</v>
      </c>
      <c r="C382" s="70">
        <v>5</v>
      </c>
      <c r="D382" s="70" t="s">
        <v>306</v>
      </c>
      <c r="E382" s="70" t="s">
        <v>205</v>
      </c>
      <c r="F382" s="70" t="s">
        <v>279</v>
      </c>
      <c r="G382" s="70" t="s">
        <v>280</v>
      </c>
      <c r="H382" s="70" t="s">
        <v>225</v>
      </c>
      <c r="I382" s="70" t="s">
        <v>226</v>
      </c>
      <c r="J382" s="70" t="s">
        <v>281</v>
      </c>
      <c r="K382" s="70" t="s">
        <v>281</v>
      </c>
      <c r="L382" s="70" t="s">
        <v>484</v>
      </c>
      <c r="M382" s="84" t="s">
        <v>1670</v>
      </c>
      <c r="N382" s="70" t="s">
        <v>1669</v>
      </c>
      <c r="O382" s="70" t="s">
        <v>1671</v>
      </c>
      <c r="P382" s="70"/>
      <c r="Q382" s="70"/>
      <c r="R382" s="70"/>
      <c r="S382" s="70"/>
      <c r="T382" s="70"/>
      <c r="U382" s="70" t="s">
        <v>285</v>
      </c>
      <c r="V382" s="70"/>
      <c r="W382" s="70" t="s">
        <v>285</v>
      </c>
      <c r="X382" s="70"/>
      <c r="Y382" s="70"/>
      <c r="Z382" s="70"/>
      <c r="AA382" s="92" t="s">
        <v>286</v>
      </c>
    </row>
    <row r="383" ht="14.25" hidden="1" customHeight="1" spans="1:27">
      <c r="A383" s="94"/>
      <c r="B383" s="66" t="s">
        <v>1672</v>
      </c>
      <c r="C383" s="66">
        <v>5</v>
      </c>
      <c r="D383" s="66" t="s">
        <v>278</v>
      </c>
      <c r="E383" s="66" t="s">
        <v>205</v>
      </c>
      <c r="F383" s="66" t="s">
        <v>360</v>
      </c>
      <c r="G383" s="66" t="s">
        <v>386</v>
      </c>
      <c r="H383" s="66" t="s">
        <v>225</v>
      </c>
      <c r="I383" s="66" t="s">
        <v>281</v>
      </c>
      <c r="J383" s="66" t="s">
        <v>227</v>
      </c>
      <c r="K383" s="66" t="s">
        <v>1673</v>
      </c>
      <c r="L383" s="66" t="s">
        <v>290</v>
      </c>
      <c r="M383" s="80" t="s">
        <v>1674</v>
      </c>
      <c r="N383" s="66" t="s">
        <v>1672</v>
      </c>
      <c r="O383" s="66" t="s">
        <v>1675</v>
      </c>
      <c r="P383" s="66" t="s">
        <v>285</v>
      </c>
      <c r="Q383" s="66"/>
      <c r="R383" s="66"/>
      <c r="S383" s="66"/>
      <c r="T383" s="66"/>
      <c r="U383" s="66" t="s">
        <v>285</v>
      </c>
      <c r="V383" s="66"/>
      <c r="W383" s="66" t="s">
        <v>285</v>
      </c>
      <c r="X383" s="66"/>
      <c r="Y383" s="66"/>
      <c r="Z383" s="66"/>
      <c r="AA383" s="92" t="s">
        <v>286</v>
      </c>
    </row>
    <row r="384" ht="14.25" hidden="1" customHeight="1" spans="1:27">
      <c r="A384" s="94"/>
      <c r="B384" s="70" t="s">
        <v>1676</v>
      </c>
      <c r="C384" s="70">
        <v>5</v>
      </c>
      <c r="D384" s="70" t="s">
        <v>306</v>
      </c>
      <c r="E384" s="70" t="s">
        <v>205</v>
      </c>
      <c r="F384" s="70" t="s">
        <v>1677</v>
      </c>
      <c r="G384" s="70" t="s">
        <v>302</v>
      </c>
      <c r="H384" s="70" t="s">
        <v>225</v>
      </c>
      <c r="I384" s="70" t="s">
        <v>226</v>
      </c>
      <c r="J384" s="70" t="s">
        <v>281</v>
      </c>
      <c r="K384" s="70" t="s">
        <v>281</v>
      </c>
      <c r="L384" s="70" t="s">
        <v>290</v>
      </c>
      <c r="M384" s="121" t="s">
        <v>1678</v>
      </c>
      <c r="N384" s="70" t="s">
        <v>1676</v>
      </c>
      <c r="O384" s="70" t="s">
        <v>1679</v>
      </c>
      <c r="P384" s="70"/>
      <c r="Q384" s="70"/>
      <c r="R384" s="70"/>
      <c r="S384" s="70"/>
      <c r="T384" s="70"/>
      <c r="U384" s="70"/>
      <c r="V384" s="70"/>
      <c r="W384" s="70"/>
      <c r="X384" s="70"/>
      <c r="Y384" s="70" t="s">
        <v>285</v>
      </c>
      <c r="Z384" s="70"/>
      <c r="AA384" s="92" t="s">
        <v>413</v>
      </c>
    </row>
    <row r="385" ht="14.25" hidden="1" customHeight="1" spans="1:27">
      <c r="A385" s="94"/>
      <c r="B385" s="70" t="s">
        <v>1680</v>
      </c>
      <c r="C385" s="70">
        <v>5</v>
      </c>
      <c r="D385" s="70" t="s">
        <v>306</v>
      </c>
      <c r="E385" s="70" t="s">
        <v>205</v>
      </c>
      <c r="F385" s="70" t="s">
        <v>279</v>
      </c>
      <c r="G385" s="70" t="s">
        <v>302</v>
      </c>
      <c r="H385" s="70" t="s">
        <v>225</v>
      </c>
      <c r="I385" s="70" t="s">
        <v>226</v>
      </c>
      <c r="J385" s="70" t="s">
        <v>227</v>
      </c>
      <c r="K385" s="70" t="s">
        <v>1681</v>
      </c>
      <c r="L385" s="70" t="s">
        <v>758</v>
      </c>
      <c r="M385" s="79" t="s">
        <v>1682</v>
      </c>
      <c r="N385" s="70" t="s">
        <v>1680</v>
      </c>
      <c r="O385" s="70" t="s">
        <v>1683</v>
      </c>
      <c r="P385" s="70"/>
      <c r="Q385" s="70"/>
      <c r="R385" s="70" t="s">
        <v>285</v>
      </c>
      <c r="S385" s="70"/>
      <c r="T385" s="70"/>
      <c r="U385" s="70"/>
      <c r="V385" s="70"/>
      <c r="W385" s="70" t="s">
        <v>285</v>
      </c>
      <c r="X385" s="70" t="s">
        <v>285</v>
      </c>
      <c r="Y385" s="70"/>
      <c r="Z385" s="70"/>
      <c r="AA385" s="92" t="s">
        <v>310</v>
      </c>
    </row>
    <row r="386" ht="14.25" hidden="1" customHeight="1" spans="1:27">
      <c r="A386" s="94"/>
      <c r="B386" s="66" t="s">
        <v>1684</v>
      </c>
      <c r="C386" s="66">
        <v>5</v>
      </c>
      <c r="D386" s="66" t="s">
        <v>278</v>
      </c>
      <c r="E386" s="66" t="s">
        <v>205</v>
      </c>
      <c r="F386" s="66" t="s">
        <v>279</v>
      </c>
      <c r="G386" s="66" t="s">
        <v>289</v>
      </c>
      <c r="H386" s="66" t="s">
        <v>225</v>
      </c>
      <c r="I386" s="66" t="s">
        <v>226</v>
      </c>
      <c r="J386" s="66" t="s">
        <v>281</v>
      </c>
      <c r="K386" s="66" t="s">
        <v>281</v>
      </c>
      <c r="L386" s="66" t="s">
        <v>312</v>
      </c>
      <c r="M386" s="75" t="s">
        <v>1685</v>
      </c>
      <c r="N386" s="66" t="s">
        <v>1684</v>
      </c>
      <c r="O386" s="66" t="s">
        <v>1686</v>
      </c>
      <c r="P386" s="66"/>
      <c r="Q386" s="66"/>
      <c r="R386" s="66" t="s">
        <v>285</v>
      </c>
      <c r="S386" s="66"/>
      <c r="T386" s="66" t="s">
        <v>285</v>
      </c>
      <c r="U386" s="66"/>
      <c r="V386" s="66"/>
      <c r="W386" s="66"/>
      <c r="X386" s="66"/>
      <c r="Y386" s="66"/>
      <c r="Z386" s="66"/>
      <c r="AA386" s="92" t="s">
        <v>286</v>
      </c>
    </row>
    <row r="387" ht="14.25" hidden="1" customHeight="1" spans="2:27">
      <c r="B387" s="68" t="s">
        <v>1687</v>
      </c>
      <c r="C387" s="68">
        <v>5</v>
      </c>
      <c r="D387" s="68" t="s">
        <v>294</v>
      </c>
      <c r="E387" s="68" t="s">
        <v>205</v>
      </c>
      <c r="F387" s="68" t="s">
        <v>279</v>
      </c>
      <c r="G387" s="68" t="s">
        <v>302</v>
      </c>
      <c r="H387" s="68" t="s">
        <v>225</v>
      </c>
      <c r="I387" s="68" t="s">
        <v>226</v>
      </c>
      <c r="J387" s="68" t="s">
        <v>227</v>
      </c>
      <c r="K387" s="68" t="s">
        <v>1688</v>
      </c>
      <c r="L387" s="68" t="s">
        <v>484</v>
      </c>
      <c r="M387" s="77" t="s">
        <v>1689</v>
      </c>
      <c r="N387" s="68" t="s">
        <v>1687</v>
      </c>
      <c r="O387" s="68" t="s">
        <v>1690</v>
      </c>
      <c r="P387" s="68"/>
      <c r="Q387" s="68"/>
      <c r="R387" s="68"/>
      <c r="S387" s="68"/>
      <c r="T387" s="68"/>
      <c r="U387" s="68"/>
      <c r="V387" s="68"/>
      <c r="W387" s="68" t="s">
        <v>285</v>
      </c>
      <c r="X387" s="68"/>
      <c r="Y387" s="68"/>
      <c r="Z387" s="68"/>
      <c r="AA387" s="92" t="s">
        <v>286</v>
      </c>
    </row>
    <row r="388" ht="14.25" hidden="1" customHeight="1" spans="1:27">
      <c r="A388" s="94"/>
      <c r="B388" s="68" t="s">
        <v>1691</v>
      </c>
      <c r="C388" s="68">
        <v>5</v>
      </c>
      <c r="D388" s="68" t="s">
        <v>294</v>
      </c>
      <c r="E388" s="68" t="s">
        <v>205</v>
      </c>
      <c r="F388" s="68" t="s">
        <v>279</v>
      </c>
      <c r="G388" s="68" t="s">
        <v>302</v>
      </c>
      <c r="H388" s="68" t="s">
        <v>225</v>
      </c>
      <c r="I388" s="68" t="s">
        <v>226</v>
      </c>
      <c r="J388" s="68" t="s">
        <v>227</v>
      </c>
      <c r="K388" s="68" t="s">
        <v>1692</v>
      </c>
      <c r="L388" s="68" t="s">
        <v>484</v>
      </c>
      <c r="M388" s="77" t="s">
        <v>1693</v>
      </c>
      <c r="N388" s="68" t="s">
        <v>1691</v>
      </c>
      <c r="O388" s="68" t="s">
        <v>1694</v>
      </c>
      <c r="P388" s="68"/>
      <c r="Q388" s="68"/>
      <c r="R388" s="68"/>
      <c r="S388" s="68"/>
      <c r="T388" s="68"/>
      <c r="U388" s="68" t="s">
        <v>285</v>
      </c>
      <c r="V388" s="68" t="s">
        <v>285</v>
      </c>
      <c r="W388" s="68" t="s">
        <v>285</v>
      </c>
      <c r="X388" s="68"/>
      <c r="Y388" s="68"/>
      <c r="Z388" s="68"/>
      <c r="AA388" s="92" t="s">
        <v>310</v>
      </c>
    </row>
    <row r="389" ht="14.25" hidden="1" customHeight="1" spans="1:27">
      <c r="A389" s="94"/>
      <c r="B389" s="68" t="s">
        <v>1695</v>
      </c>
      <c r="C389" s="68">
        <v>5</v>
      </c>
      <c r="D389" s="68" t="s">
        <v>294</v>
      </c>
      <c r="E389" s="68" t="s">
        <v>205</v>
      </c>
      <c r="F389" s="68" t="s">
        <v>279</v>
      </c>
      <c r="G389" s="68" t="s">
        <v>302</v>
      </c>
      <c r="H389" s="68" t="s">
        <v>225</v>
      </c>
      <c r="I389" s="68" t="s">
        <v>226</v>
      </c>
      <c r="J389" s="68" t="s">
        <v>227</v>
      </c>
      <c r="K389" s="68" t="s">
        <v>1696</v>
      </c>
      <c r="L389" s="68" t="s">
        <v>484</v>
      </c>
      <c r="M389" s="77" t="s">
        <v>1697</v>
      </c>
      <c r="N389" s="68" t="s">
        <v>1695</v>
      </c>
      <c r="O389" s="68" t="s">
        <v>1698</v>
      </c>
      <c r="P389" s="68"/>
      <c r="Q389" s="68"/>
      <c r="R389" s="68" t="s">
        <v>285</v>
      </c>
      <c r="S389" s="68"/>
      <c r="T389" s="68"/>
      <c r="U389" s="68" t="s">
        <v>285</v>
      </c>
      <c r="V389" s="68"/>
      <c r="W389" s="68" t="s">
        <v>285</v>
      </c>
      <c r="X389" s="68" t="s">
        <v>285</v>
      </c>
      <c r="Y389" s="68"/>
      <c r="Z389" s="68"/>
      <c r="AA389" s="92" t="s">
        <v>286</v>
      </c>
    </row>
    <row r="390" ht="14.25" hidden="1" customHeight="1" spans="2:27">
      <c r="B390" s="68" t="s">
        <v>1699</v>
      </c>
      <c r="C390" s="68">
        <v>5</v>
      </c>
      <c r="D390" s="68" t="s">
        <v>294</v>
      </c>
      <c r="E390" s="68" t="s">
        <v>205</v>
      </c>
      <c r="F390" s="68" t="s">
        <v>279</v>
      </c>
      <c r="G390" s="68" t="s">
        <v>302</v>
      </c>
      <c r="H390" s="68" t="s">
        <v>225</v>
      </c>
      <c r="I390" s="68" t="s">
        <v>226</v>
      </c>
      <c r="J390" s="68" t="s">
        <v>281</v>
      </c>
      <c r="K390" s="68" t="s">
        <v>281</v>
      </c>
      <c r="L390" s="68" t="s">
        <v>312</v>
      </c>
      <c r="M390" s="77" t="s">
        <v>1700</v>
      </c>
      <c r="N390" s="68" t="s">
        <v>1699</v>
      </c>
      <c r="O390" s="68" t="s">
        <v>1701</v>
      </c>
      <c r="P390" s="68"/>
      <c r="Q390" s="68"/>
      <c r="R390" s="68" t="s">
        <v>285</v>
      </c>
      <c r="S390" s="68"/>
      <c r="T390" s="68" t="s">
        <v>285</v>
      </c>
      <c r="U390" s="68"/>
      <c r="V390" s="68"/>
      <c r="W390" s="68"/>
      <c r="X390" s="68"/>
      <c r="Y390" s="68"/>
      <c r="Z390" s="68"/>
      <c r="AA390" s="92" t="s">
        <v>310</v>
      </c>
    </row>
    <row r="391" ht="14.25" hidden="1" customHeight="1" spans="2:27">
      <c r="B391" s="66" t="s">
        <v>1702</v>
      </c>
      <c r="C391" s="66">
        <v>5</v>
      </c>
      <c r="D391" s="66" t="s">
        <v>278</v>
      </c>
      <c r="E391" s="66" t="s">
        <v>205</v>
      </c>
      <c r="F391" s="66" t="s">
        <v>279</v>
      </c>
      <c r="G391" s="66" t="s">
        <v>280</v>
      </c>
      <c r="H391" s="66" t="s">
        <v>225</v>
      </c>
      <c r="I391" s="66" t="s">
        <v>226</v>
      </c>
      <c r="J391" s="66" t="s">
        <v>227</v>
      </c>
      <c r="K391" s="66" t="s">
        <v>1703</v>
      </c>
      <c r="L391" s="111" t="s">
        <v>585</v>
      </c>
      <c r="M391" s="107" t="s">
        <v>1704</v>
      </c>
      <c r="N391" s="66" t="s">
        <v>1702</v>
      </c>
      <c r="O391" s="66" t="s">
        <v>1705</v>
      </c>
      <c r="P391" s="66"/>
      <c r="Q391" s="66"/>
      <c r="R391" s="66" t="s">
        <v>285</v>
      </c>
      <c r="S391" s="66"/>
      <c r="T391" s="66"/>
      <c r="U391" s="66" t="s">
        <v>285</v>
      </c>
      <c r="V391" s="66"/>
      <c r="W391" s="66" t="s">
        <v>285</v>
      </c>
      <c r="X391" s="66"/>
      <c r="Y391" s="114"/>
      <c r="Z391" s="114"/>
      <c r="AA391" s="105" t="s">
        <v>1027</v>
      </c>
    </row>
    <row r="392" ht="14.25" customHeight="1" spans="1:27">
      <c r="A392" s="94"/>
      <c r="B392" s="66" t="s">
        <v>1706</v>
      </c>
      <c r="C392" s="66">
        <v>6</v>
      </c>
      <c r="D392" s="66" t="s">
        <v>278</v>
      </c>
      <c r="E392" s="66" t="s">
        <v>205</v>
      </c>
      <c r="F392" s="66" t="s">
        <v>279</v>
      </c>
      <c r="G392" s="66" t="s">
        <v>1353</v>
      </c>
      <c r="H392" s="66" t="s">
        <v>225</v>
      </c>
      <c r="I392" s="66" t="s">
        <v>226</v>
      </c>
      <c r="J392" s="66" t="s">
        <v>281</v>
      </c>
      <c r="K392" s="66" t="s">
        <v>281</v>
      </c>
      <c r="L392" s="66" t="s">
        <v>484</v>
      </c>
      <c r="M392" s="80" t="s">
        <v>1707</v>
      </c>
      <c r="N392" s="66" t="s">
        <v>1706</v>
      </c>
      <c r="O392" s="66" t="s">
        <v>1708</v>
      </c>
      <c r="P392" s="66"/>
      <c r="Q392" s="66"/>
      <c r="R392" s="66"/>
      <c r="S392" s="66"/>
      <c r="T392" s="66"/>
      <c r="U392" s="66" t="s">
        <v>285</v>
      </c>
      <c r="V392" s="66" t="s">
        <v>285</v>
      </c>
      <c r="W392" s="66" t="s">
        <v>285</v>
      </c>
      <c r="X392" s="66"/>
      <c r="Y392" s="66"/>
      <c r="Z392" s="66"/>
      <c r="AA392" s="92" t="s">
        <v>286</v>
      </c>
    </row>
    <row r="393" ht="14.25" hidden="1" customHeight="1" spans="1:27">
      <c r="A393" s="94"/>
      <c r="B393" s="68" t="s">
        <v>1709</v>
      </c>
      <c r="C393" s="68">
        <v>6</v>
      </c>
      <c r="D393" s="68" t="s">
        <v>294</v>
      </c>
      <c r="E393" s="68" t="s">
        <v>205</v>
      </c>
      <c r="F393" s="68" t="s">
        <v>279</v>
      </c>
      <c r="G393" s="68" t="s">
        <v>512</v>
      </c>
      <c r="H393" s="68" t="s">
        <v>225</v>
      </c>
      <c r="I393" s="68" t="s">
        <v>226</v>
      </c>
      <c r="J393" s="68" t="s">
        <v>281</v>
      </c>
      <c r="K393" s="68" t="s">
        <v>281</v>
      </c>
      <c r="L393" s="68" t="s">
        <v>484</v>
      </c>
      <c r="M393" s="77" t="s">
        <v>1710</v>
      </c>
      <c r="N393" s="68" t="s">
        <v>1709</v>
      </c>
      <c r="O393" s="68" t="s">
        <v>1711</v>
      </c>
      <c r="P393" s="68"/>
      <c r="Q393" s="68" t="s">
        <v>285</v>
      </c>
      <c r="R393" s="68"/>
      <c r="S393" s="68"/>
      <c r="T393" s="68"/>
      <c r="U393" s="68"/>
      <c r="V393" s="68"/>
      <c r="W393" s="68"/>
      <c r="X393" s="68"/>
      <c r="Y393" s="68"/>
      <c r="Z393" s="68"/>
      <c r="AA393" s="92" t="s">
        <v>286</v>
      </c>
    </row>
    <row r="394" ht="14.25" hidden="1" customHeight="1" spans="1:27">
      <c r="A394" s="94"/>
      <c r="B394" s="70" t="s">
        <v>1712</v>
      </c>
      <c r="C394" s="70">
        <v>6</v>
      </c>
      <c r="D394" s="70" t="s">
        <v>306</v>
      </c>
      <c r="E394" s="70" t="s">
        <v>205</v>
      </c>
      <c r="F394" s="70" t="s">
        <v>279</v>
      </c>
      <c r="G394" s="70" t="s">
        <v>302</v>
      </c>
      <c r="H394" s="70" t="s">
        <v>225</v>
      </c>
      <c r="I394" s="70" t="s">
        <v>226</v>
      </c>
      <c r="J394" s="70" t="s">
        <v>281</v>
      </c>
      <c r="K394" s="70" t="s">
        <v>281</v>
      </c>
      <c r="L394" s="70" t="s">
        <v>282</v>
      </c>
      <c r="M394" s="84" t="s">
        <v>1713</v>
      </c>
      <c r="N394" s="70" t="s">
        <v>1712</v>
      </c>
      <c r="O394" s="70" t="s">
        <v>1714</v>
      </c>
      <c r="P394" s="70"/>
      <c r="Q394" s="70"/>
      <c r="R394" s="70" t="s">
        <v>285</v>
      </c>
      <c r="S394" s="70"/>
      <c r="T394" s="70"/>
      <c r="U394" s="70"/>
      <c r="V394" s="70"/>
      <c r="W394" s="70"/>
      <c r="X394" s="70"/>
      <c r="Y394" s="70"/>
      <c r="Z394" s="70"/>
      <c r="AA394" s="92" t="s">
        <v>310</v>
      </c>
    </row>
    <row r="395" ht="14.25" hidden="1" customHeight="1" spans="1:27">
      <c r="A395" s="94"/>
      <c r="B395" s="68" t="s">
        <v>1715</v>
      </c>
      <c r="C395" s="68">
        <v>6</v>
      </c>
      <c r="D395" s="68" t="s">
        <v>294</v>
      </c>
      <c r="E395" s="68" t="s">
        <v>205</v>
      </c>
      <c r="F395" s="68" t="s">
        <v>279</v>
      </c>
      <c r="G395" s="68" t="s">
        <v>1122</v>
      </c>
      <c r="H395" s="68" t="s">
        <v>225</v>
      </c>
      <c r="I395" s="68" t="s">
        <v>226</v>
      </c>
      <c r="J395" s="68" t="s">
        <v>227</v>
      </c>
      <c r="K395" s="68" t="s">
        <v>1716</v>
      </c>
      <c r="L395" s="68" t="s">
        <v>282</v>
      </c>
      <c r="M395" s="77" t="s">
        <v>1717</v>
      </c>
      <c r="N395" s="68" t="s">
        <v>1715</v>
      </c>
      <c r="O395" s="68" t="s">
        <v>1718</v>
      </c>
      <c r="P395" s="68"/>
      <c r="Q395" s="68"/>
      <c r="R395" s="68"/>
      <c r="S395" s="68"/>
      <c r="T395" s="68"/>
      <c r="U395" s="68" t="s">
        <v>285</v>
      </c>
      <c r="V395" s="68"/>
      <c r="W395" s="68" t="s">
        <v>285</v>
      </c>
      <c r="X395" s="68"/>
      <c r="Y395" s="68"/>
      <c r="Z395" s="68"/>
      <c r="AA395" s="92" t="s">
        <v>286</v>
      </c>
    </row>
    <row r="396" ht="14.25" customHeight="1" spans="1:27">
      <c r="A396" s="94"/>
      <c r="B396" s="69" t="s">
        <v>1719</v>
      </c>
      <c r="C396" s="69">
        <v>6</v>
      </c>
      <c r="D396" s="69" t="s">
        <v>301</v>
      </c>
      <c r="E396" s="69" t="s">
        <v>205</v>
      </c>
      <c r="F396" s="69" t="s">
        <v>279</v>
      </c>
      <c r="G396" s="69" t="s">
        <v>1122</v>
      </c>
      <c r="H396" s="69" t="s">
        <v>225</v>
      </c>
      <c r="I396" s="69" t="s">
        <v>226</v>
      </c>
      <c r="J396" s="69" t="s">
        <v>227</v>
      </c>
      <c r="K396" s="69" t="s">
        <v>1720</v>
      </c>
      <c r="L396" s="69" t="s">
        <v>282</v>
      </c>
      <c r="M396" s="88" t="s">
        <v>1721</v>
      </c>
      <c r="N396" s="69" t="s">
        <v>1719</v>
      </c>
      <c r="O396" s="69" t="s">
        <v>1722</v>
      </c>
      <c r="P396" s="69"/>
      <c r="Q396" s="69"/>
      <c r="R396" s="69"/>
      <c r="S396" s="69"/>
      <c r="T396" s="69"/>
      <c r="U396" s="69" t="s">
        <v>285</v>
      </c>
      <c r="V396" s="69" t="s">
        <v>285</v>
      </c>
      <c r="W396" s="69" t="s">
        <v>285</v>
      </c>
      <c r="X396" s="69"/>
      <c r="Y396" s="69"/>
      <c r="Z396" s="69"/>
      <c r="AA396" s="92" t="s">
        <v>286</v>
      </c>
    </row>
    <row r="397" ht="14.25" customHeight="1" spans="2:27">
      <c r="B397" s="66" t="s">
        <v>1723</v>
      </c>
      <c r="C397" s="66">
        <v>6</v>
      </c>
      <c r="D397" s="66" t="s">
        <v>278</v>
      </c>
      <c r="E397" s="66" t="s">
        <v>205</v>
      </c>
      <c r="F397" s="66" t="s">
        <v>360</v>
      </c>
      <c r="G397" s="66" t="s">
        <v>512</v>
      </c>
      <c r="H397" s="66" t="s">
        <v>225</v>
      </c>
      <c r="I397" s="66" t="s">
        <v>226</v>
      </c>
      <c r="J397" s="66" t="s">
        <v>281</v>
      </c>
      <c r="K397" s="66" t="s">
        <v>281</v>
      </c>
      <c r="L397" s="66" t="s">
        <v>585</v>
      </c>
      <c r="M397" s="75" t="s">
        <v>1724</v>
      </c>
      <c r="N397" s="66" t="s">
        <v>1723</v>
      </c>
      <c r="O397" s="66" t="s">
        <v>1725</v>
      </c>
      <c r="P397" s="66"/>
      <c r="Q397" s="66"/>
      <c r="R397" s="66" t="s">
        <v>285</v>
      </c>
      <c r="S397" s="66"/>
      <c r="T397" s="66"/>
      <c r="U397" s="66"/>
      <c r="V397" s="66" t="s">
        <v>285</v>
      </c>
      <c r="W397" s="66"/>
      <c r="X397" s="66"/>
      <c r="Y397" s="66"/>
      <c r="Z397" s="66"/>
      <c r="AA397" s="92" t="s">
        <v>286</v>
      </c>
    </row>
    <row r="398" ht="14.25" hidden="1" customHeight="1" spans="1:27">
      <c r="A398" s="94"/>
      <c r="B398" s="68" t="s">
        <v>1726</v>
      </c>
      <c r="C398" s="68">
        <v>6</v>
      </c>
      <c r="D398" s="68" t="s">
        <v>294</v>
      </c>
      <c r="E398" s="68" t="s">
        <v>205</v>
      </c>
      <c r="F398" s="68" t="s">
        <v>397</v>
      </c>
      <c r="G398" s="68" t="s">
        <v>289</v>
      </c>
      <c r="H398" s="68" t="s">
        <v>225</v>
      </c>
      <c r="I398" s="68" t="s">
        <v>226</v>
      </c>
      <c r="J398" s="68" t="s">
        <v>227</v>
      </c>
      <c r="K398" s="68" t="s">
        <v>1727</v>
      </c>
      <c r="L398" s="68" t="s">
        <v>632</v>
      </c>
      <c r="M398" s="77" t="s">
        <v>1728</v>
      </c>
      <c r="N398" s="68" t="s">
        <v>1726</v>
      </c>
      <c r="O398" s="68" t="s">
        <v>1729</v>
      </c>
      <c r="P398" s="68"/>
      <c r="Q398" s="68"/>
      <c r="R398" s="68"/>
      <c r="S398" s="68"/>
      <c r="T398" s="68"/>
      <c r="U398" s="68"/>
      <c r="V398" s="68"/>
      <c r="W398" s="68" t="s">
        <v>285</v>
      </c>
      <c r="X398" s="68"/>
      <c r="Y398" s="68"/>
      <c r="Z398" s="68"/>
      <c r="AA398" s="92" t="s">
        <v>286</v>
      </c>
    </row>
    <row r="399" ht="14.25" hidden="1" customHeight="1" spans="1:27">
      <c r="A399" s="94"/>
      <c r="B399" s="70" t="s">
        <v>1730</v>
      </c>
      <c r="C399" s="70">
        <v>6</v>
      </c>
      <c r="D399" s="70" t="s">
        <v>306</v>
      </c>
      <c r="E399" s="70" t="s">
        <v>205</v>
      </c>
      <c r="F399" s="70" t="s">
        <v>353</v>
      </c>
      <c r="G399" s="70" t="s">
        <v>341</v>
      </c>
      <c r="H399" s="70" t="s">
        <v>225</v>
      </c>
      <c r="I399" s="70" t="s">
        <v>226</v>
      </c>
      <c r="J399" s="70" t="s">
        <v>227</v>
      </c>
      <c r="K399" s="70" t="s">
        <v>1731</v>
      </c>
      <c r="L399" s="70" t="s">
        <v>282</v>
      </c>
      <c r="M399" s="79" t="s">
        <v>1732</v>
      </c>
      <c r="N399" s="70" t="s">
        <v>1730</v>
      </c>
      <c r="O399" s="70" t="s">
        <v>1733</v>
      </c>
      <c r="P399" s="70"/>
      <c r="Q399" s="70"/>
      <c r="R399" s="70"/>
      <c r="S399" s="70"/>
      <c r="T399" s="70"/>
      <c r="U399" s="70"/>
      <c r="V399" s="70"/>
      <c r="W399" s="70" t="s">
        <v>285</v>
      </c>
      <c r="X399" s="70"/>
      <c r="Y399" s="70"/>
      <c r="Z399" s="70"/>
      <c r="AA399" s="92" t="s">
        <v>310</v>
      </c>
    </row>
    <row r="400" ht="14.25" customHeight="1" spans="1:27">
      <c r="A400" s="94"/>
      <c r="B400" s="69" t="s">
        <v>1734</v>
      </c>
      <c r="C400" s="69">
        <v>6</v>
      </c>
      <c r="D400" s="69" t="s">
        <v>301</v>
      </c>
      <c r="E400" s="69" t="s">
        <v>205</v>
      </c>
      <c r="F400" s="69" t="s">
        <v>360</v>
      </c>
      <c r="G400" s="69" t="s">
        <v>386</v>
      </c>
      <c r="H400" s="69" t="s">
        <v>225</v>
      </c>
      <c r="I400" s="69" t="s">
        <v>226</v>
      </c>
      <c r="J400" s="69" t="s">
        <v>227</v>
      </c>
      <c r="K400" s="69" t="s">
        <v>1735</v>
      </c>
      <c r="L400" s="69" t="s">
        <v>282</v>
      </c>
      <c r="M400" s="78" t="s">
        <v>1736</v>
      </c>
      <c r="N400" s="69" t="s">
        <v>1734</v>
      </c>
      <c r="O400" s="69" t="s">
        <v>1737</v>
      </c>
      <c r="P400" s="69"/>
      <c r="Q400" s="69" t="s">
        <v>285</v>
      </c>
      <c r="R400" s="69"/>
      <c r="S400" s="69"/>
      <c r="T400" s="69"/>
      <c r="U400" s="69"/>
      <c r="V400" s="69" t="s">
        <v>285</v>
      </c>
      <c r="W400" s="69" t="s">
        <v>285</v>
      </c>
      <c r="X400" s="69"/>
      <c r="Y400" s="69"/>
      <c r="Z400" s="69"/>
      <c r="AA400" s="92" t="s">
        <v>286</v>
      </c>
    </row>
    <row r="401" ht="14.25" hidden="1" customHeight="1" spans="1:27">
      <c r="A401" s="94"/>
      <c r="B401" s="70" t="s">
        <v>1738</v>
      </c>
      <c r="C401" s="70">
        <v>6</v>
      </c>
      <c r="D401" s="70" t="s">
        <v>306</v>
      </c>
      <c r="E401" s="70" t="s">
        <v>205</v>
      </c>
      <c r="F401" s="70" t="s">
        <v>279</v>
      </c>
      <c r="G401" s="70" t="s">
        <v>280</v>
      </c>
      <c r="H401" s="70" t="s">
        <v>225</v>
      </c>
      <c r="I401" s="70" t="s">
        <v>226</v>
      </c>
      <c r="J401" s="70" t="s">
        <v>227</v>
      </c>
      <c r="K401" s="70" t="s">
        <v>1739</v>
      </c>
      <c r="L401" s="70" t="s">
        <v>282</v>
      </c>
      <c r="M401" s="79" t="s">
        <v>1740</v>
      </c>
      <c r="N401" s="70" t="s">
        <v>1738</v>
      </c>
      <c r="O401" s="70" t="s">
        <v>1741</v>
      </c>
      <c r="P401" s="70"/>
      <c r="Q401" s="70"/>
      <c r="R401" s="70"/>
      <c r="S401" s="70"/>
      <c r="T401" s="70"/>
      <c r="U401" s="70" t="s">
        <v>285</v>
      </c>
      <c r="V401" s="70"/>
      <c r="W401" s="70" t="s">
        <v>285</v>
      </c>
      <c r="X401" s="70"/>
      <c r="Y401" s="70"/>
      <c r="Z401" s="70"/>
      <c r="AA401" s="92" t="s">
        <v>286</v>
      </c>
    </row>
    <row r="402" ht="14.25" hidden="1" customHeight="1" spans="2:27">
      <c r="B402" s="66" t="s">
        <v>1742</v>
      </c>
      <c r="C402" s="66">
        <v>6</v>
      </c>
      <c r="D402" s="66" t="s">
        <v>278</v>
      </c>
      <c r="E402" s="66" t="s">
        <v>285</v>
      </c>
      <c r="F402" s="66" t="s">
        <v>360</v>
      </c>
      <c r="G402" s="66" t="s">
        <v>341</v>
      </c>
      <c r="H402" s="66" t="s">
        <v>225</v>
      </c>
      <c r="I402" s="66" t="s">
        <v>226</v>
      </c>
      <c r="J402" s="66" t="s">
        <v>227</v>
      </c>
      <c r="K402" s="66" t="s">
        <v>1743</v>
      </c>
      <c r="L402" s="66" t="s">
        <v>758</v>
      </c>
      <c r="M402" s="75" t="s">
        <v>1744</v>
      </c>
      <c r="N402" s="66" t="s">
        <v>1742</v>
      </c>
      <c r="O402" s="66" t="s">
        <v>1745</v>
      </c>
      <c r="P402" s="66"/>
      <c r="Q402" s="66"/>
      <c r="R402" s="66"/>
      <c r="S402" s="66"/>
      <c r="T402" s="66"/>
      <c r="U402" s="66"/>
      <c r="V402" s="66"/>
      <c r="W402" s="66" t="s">
        <v>285</v>
      </c>
      <c r="X402" s="66"/>
      <c r="Y402" s="66"/>
      <c r="Z402" s="66"/>
      <c r="AA402" s="92" t="s">
        <v>286</v>
      </c>
    </row>
    <row r="403" ht="14.25" hidden="1" customHeight="1" spans="1:27">
      <c r="A403" s="94"/>
      <c r="B403" s="67" t="s">
        <v>1746</v>
      </c>
      <c r="C403" s="67">
        <v>6</v>
      </c>
      <c r="D403" s="67" t="s">
        <v>288</v>
      </c>
      <c r="E403" s="67" t="s">
        <v>205</v>
      </c>
      <c r="F403" s="67" t="s">
        <v>397</v>
      </c>
      <c r="G403" s="67" t="s">
        <v>341</v>
      </c>
      <c r="H403" s="67" t="s">
        <v>225</v>
      </c>
      <c r="I403" s="67" t="s">
        <v>226</v>
      </c>
      <c r="J403" s="67" t="s">
        <v>227</v>
      </c>
      <c r="K403" s="67" t="s">
        <v>1747</v>
      </c>
      <c r="L403" s="67" t="s">
        <v>467</v>
      </c>
      <c r="M403" s="76" t="s">
        <v>1748</v>
      </c>
      <c r="N403" s="67" t="s">
        <v>1746</v>
      </c>
      <c r="O403" s="67" t="s">
        <v>1749</v>
      </c>
      <c r="P403" s="67"/>
      <c r="Q403" s="67"/>
      <c r="R403" s="67" t="s">
        <v>285</v>
      </c>
      <c r="S403" s="67"/>
      <c r="T403" s="67"/>
      <c r="U403" s="67"/>
      <c r="V403" s="67"/>
      <c r="W403" s="67"/>
      <c r="X403" s="67"/>
      <c r="Y403" s="67"/>
      <c r="Z403" s="67"/>
      <c r="AA403" s="92" t="s">
        <v>310</v>
      </c>
    </row>
    <row r="404" ht="14.25" hidden="1" customHeight="1" spans="1:27">
      <c r="A404" s="94"/>
      <c r="B404" s="69" t="s">
        <v>1750</v>
      </c>
      <c r="C404" s="69">
        <v>6</v>
      </c>
      <c r="D404" s="69" t="s">
        <v>301</v>
      </c>
      <c r="E404" s="69" t="s">
        <v>205</v>
      </c>
      <c r="F404" s="69" t="s">
        <v>279</v>
      </c>
      <c r="G404" s="69" t="s">
        <v>289</v>
      </c>
      <c r="H404" s="69" t="s">
        <v>225</v>
      </c>
      <c r="I404" s="69" t="s">
        <v>226</v>
      </c>
      <c r="J404" s="69" t="s">
        <v>281</v>
      </c>
      <c r="K404" s="69" t="s">
        <v>281</v>
      </c>
      <c r="L404" s="69" t="s">
        <v>312</v>
      </c>
      <c r="M404" s="78" t="s">
        <v>1751</v>
      </c>
      <c r="N404" s="69" t="s">
        <v>1750</v>
      </c>
      <c r="O404" s="69" t="s">
        <v>1752</v>
      </c>
      <c r="P404" s="69" t="s">
        <v>285</v>
      </c>
      <c r="Q404" s="69"/>
      <c r="R404" s="69"/>
      <c r="S404" s="69"/>
      <c r="T404" s="69"/>
      <c r="U404" s="69" t="s">
        <v>285</v>
      </c>
      <c r="V404" s="69"/>
      <c r="W404" s="69" t="s">
        <v>285</v>
      </c>
      <c r="X404" s="69"/>
      <c r="Y404" s="69"/>
      <c r="Z404" s="69"/>
      <c r="AA404" s="92" t="s">
        <v>286</v>
      </c>
    </row>
    <row r="405" ht="14.25" hidden="1" customHeight="1" spans="2:27">
      <c r="B405" s="72" t="s">
        <v>1753</v>
      </c>
      <c r="C405" s="72">
        <v>6</v>
      </c>
      <c r="D405" s="72" t="s">
        <v>340</v>
      </c>
      <c r="E405" s="72" t="s">
        <v>205</v>
      </c>
      <c r="F405" s="72" t="s">
        <v>360</v>
      </c>
      <c r="G405" s="72" t="s">
        <v>289</v>
      </c>
      <c r="H405" s="72" t="s">
        <v>225</v>
      </c>
      <c r="I405" s="72" t="s">
        <v>226</v>
      </c>
      <c r="J405" s="72" t="s">
        <v>227</v>
      </c>
      <c r="K405" s="72" t="s">
        <v>1754</v>
      </c>
      <c r="L405" s="72" t="s">
        <v>1755</v>
      </c>
      <c r="M405" s="95" t="s">
        <v>1756</v>
      </c>
      <c r="N405" s="72" t="s">
        <v>1753</v>
      </c>
      <c r="O405" s="72" t="s">
        <v>1757</v>
      </c>
      <c r="P405" s="72" t="s">
        <v>285</v>
      </c>
      <c r="Q405" s="72" t="s">
        <v>285</v>
      </c>
      <c r="R405" s="72" t="s">
        <v>285</v>
      </c>
      <c r="S405" s="72"/>
      <c r="T405" s="72"/>
      <c r="U405" s="72"/>
      <c r="V405" s="72"/>
      <c r="W405" s="72"/>
      <c r="X405" s="72"/>
      <c r="Y405" s="72"/>
      <c r="Z405" s="72"/>
      <c r="AA405" s="92" t="s">
        <v>286</v>
      </c>
    </row>
    <row r="406" ht="14.25" customHeight="1" spans="1:27">
      <c r="A406" s="94"/>
      <c r="B406" s="70" t="s">
        <v>1758</v>
      </c>
      <c r="C406" s="70">
        <v>6</v>
      </c>
      <c r="D406" s="70" t="s">
        <v>306</v>
      </c>
      <c r="E406" s="70" t="s">
        <v>205</v>
      </c>
      <c r="F406" s="70" t="s">
        <v>279</v>
      </c>
      <c r="G406" s="70" t="s">
        <v>280</v>
      </c>
      <c r="H406" s="70" t="s">
        <v>225</v>
      </c>
      <c r="I406" s="70" t="s">
        <v>226</v>
      </c>
      <c r="J406" s="70" t="s">
        <v>227</v>
      </c>
      <c r="K406" s="70" t="s">
        <v>1759</v>
      </c>
      <c r="L406" s="70" t="s">
        <v>312</v>
      </c>
      <c r="M406" s="79" t="s">
        <v>1760</v>
      </c>
      <c r="N406" s="70" t="s">
        <v>1758</v>
      </c>
      <c r="O406" s="70" t="s">
        <v>1761</v>
      </c>
      <c r="P406" s="70"/>
      <c r="Q406" s="70"/>
      <c r="R406" s="70"/>
      <c r="S406" s="70"/>
      <c r="T406" s="70"/>
      <c r="U406" s="70"/>
      <c r="V406" s="70" t="s">
        <v>285</v>
      </c>
      <c r="W406" s="70" t="s">
        <v>285</v>
      </c>
      <c r="X406" s="70"/>
      <c r="Y406" s="70"/>
      <c r="Z406" s="70"/>
      <c r="AA406" s="92" t="s">
        <v>286</v>
      </c>
    </row>
    <row r="407" ht="14.25" hidden="1" customHeight="1" spans="2:27">
      <c r="B407" s="67" t="s">
        <v>1762</v>
      </c>
      <c r="C407" s="67">
        <v>6</v>
      </c>
      <c r="D407" s="67" t="s">
        <v>288</v>
      </c>
      <c r="E407" s="67" t="s">
        <v>285</v>
      </c>
      <c r="F407" s="67" t="s">
        <v>397</v>
      </c>
      <c r="G407" s="67" t="s">
        <v>341</v>
      </c>
      <c r="H407" s="67" t="s">
        <v>225</v>
      </c>
      <c r="I407" s="67" t="s">
        <v>226</v>
      </c>
      <c r="J407" s="67" t="s">
        <v>227</v>
      </c>
      <c r="K407" s="67" t="s">
        <v>1763</v>
      </c>
      <c r="L407" s="67" t="s">
        <v>1764</v>
      </c>
      <c r="M407" s="90" t="s">
        <v>1765</v>
      </c>
      <c r="N407" s="67" t="s">
        <v>1762</v>
      </c>
      <c r="O407" s="67" t="s">
        <v>1766</v>
      </c>
      <c r="P407" s="67"/>
      <c r="Q407" s="67" t="s">
        <v>285</v>
      </c>
      <c r="R407" s="67"/>
      <c r="S407" s="67"/>
      <c r="T407" s="67"/>
      <c r="U407" s="67"/>
      <c r="V407" s="67"/>
      <c r="W407" s="67"/>
      <c r="X407" s="67"/>
      <c r="Y407" s="67"/>
      <c r="Z407" s="67"/>
      <c r="AA407" s="92" t="s">
        <v>286</v>
      </c>
    </row>
    <row r="408" ht="14.25" hidden="1" customHeight="1" spans="2:27">
      <c r="B408" s="67" t="s">
        <v>1767</v>
      </c>
      <c r="C408" s="67">
        <v>6</v>
      </c>
      <c r="D408" s="67" t="s">
        <v>288</v>
      </c>
      <c r="E408" s="67" t="s">
        <v>205</v>
      </c>
      <c r="F408" s="67" t="s">
        <v>279</v>
      </c>
      <c r="G408" s="67" t="s">
        <v>475</v>
      </c>
      <c r="H408" s="67" t="s">
        <v>225</v>
      </c>
      <c r="I408" s="67" t="s">
        <v>226</v>
      </c>
      <c r="J408" s="67" t="s">
        <v>227</v>
      </c>
      <c r="K408" s="67" t="s">
        <v>1768</v>
      </c>
      <c r="L408" s="67" t="s">
        <v>312</v>
      </c>
      <c r="M408" s="90" t="s">
        <v>1769</v>
      </c>
      <c r="N408" s="67" t="s">
        <v>1767</v>
      </c>
      <c r="O408" s="67" t="s">
        <v>1770</v>
      </c>
      <c r="P408" s="67"/>
      <c r="Q408" s="67"/>
      <c r="R408" s="67"/>
      <c r="S408" s="67"/>
      <c r="T408" s="67"/>
      <c r="U408" s="67" t="s">
        <v>285</v>
      </c>
      <c r="V408" s="67"/>
      <c r="W408" s="67" t="s">
        <v>285</v>
      </c>
      <c r="X408" s="67"/>
      <c r="Y408" s="67"/>
      <c r="Z408" s="67"/>
      <c r="AA408" s="92" t="s">
        <v>286</v>
      </c>
    </row>
    <row r="409" ht="14.25" hidden="1" customHeight="1" spans="1:27">
      <c r="A409" s="94"/>
      <c r="B409" s="68" t="s">
        <v>1771</v>
      </c>
      <c r="C409" s="68">
        <v>6</v>
      </c>
      <c r="D409" s="68" t="s">
        <v>294</v>
      </c>
      <c r="E409" s="68" t="s">
        <v>205</v>
      </c>
      <c r="F409" s="68" t="s">
        <v>279</v>
      </c>
      <c r="G409" s="68" t="s">
        <v>1169</v>
      </c>
      <c r="H409" s="68" t="s">
        <v>225</v>
      </c>
      <c r="I409" s="68" t="s">
        <v>226</v>
      </c>
      <c r="J409" s="68" t="s">
        <v>227</v>
      </c>
      <c r="K409" s="68" t="s">
        <v>1772</v>
      </c>
      <c r="L409" s="68" t="s">
        <v>282</v>
      </c>
      <c r="M409" s="120" t="s">
        <v>1773</v>
      </c>
      <c r="N409" s="68" t="s">
        <v>1771</v>
      </c>
      <c r="O409" s="68" t="s">
        <v>1774</v>
      </c>
      <c r="P409" s="68"/>
      <c r="Q409" s="68"/>
      <c r="R409" s="68"/>
      <c r="S409" s="68"/>
      <c r="T409" s="68"/>
      <c r="U409" s="68"/>
      <c r="V409" s="68"/>
      <c r="W409" s="68"/>
      <c r="X409" s="68"/>
      <c r="Y409" s="68"/>
      <c r="Z409" s="68" t="s">
        <v>285</v>
      </c>
      <c r="AA409" s="92" t="s">
        <v>413</v>
      </c>
    </row>
    <row r="410" ht="14.25" hidden="1" customHeight="1" spans="1:27">
      <c r="A410" s="94"/>
      <c r="B410" s="67" t="s">
        <v>1775</v>
      </c>
      <c r="C410" s="67">
        <v>6</v>
      </c>
      <c r="D410" s="67" t="s">
        <v>288</v>
      </c>
      <c r="E410" s="67" t="s">
        <v>205</v>
      </c>
      <c r="F410" s="67" t="s">
        <v>397</v>
      </c>
      <c r="G410" s="67" t="s">
        <v>341</v>
      </c>
      <c r="H410" s="67" t="s">
        <v>225</v>
      </c>
      <c r="I410" s="67" t="s">
        <v>226</v>
      </c>
      <c r="J410" s="67" t="s">
        <v>227</v>
      </c>
      <c r="K410" s="67" t="s">
        <v>1776</v>
      </c>
      <c r="L410" s="67" t="s">
        <v>467</v>
      </c>
      <c r="M410" s="90" t="s">
        <v>1777</v>
      </c>
      <c r="N410" s="67" t="s">
        <v>1775</v>
      </c>
      <c r="O410" s="67" t="s">
        <v>1778</v>
      </c>
      <c r="P410" s="67" t="s">
        <v>285</v>
      </c>
      <c r="Q410" s="67"/>
      <c r="R410" s="67"/>
      <c r="S410" s="67"/>
      <c r="T410" s="67"/>
      <c r="U410" s="67"/>
      <c r="V410" s="67"/>
      <c r="W410" s="67" t="s">
        <v>285</v>
      </c>
      <c r="X410" s="67"/>
      <c r="Y410" s="67"/>
      <c r="Z410" s="67"/>
      <c r="AA410" s="92" t="s">
        <v>286</v>
      </c>
    </row>
    <row r="411" ht="14.25" hidden="1" customHeight="1" spans="2:27">
      <c r="B411" s="69" t="s">
        <v>1779</v>
      </c>
      <c r="C411" s="69">
        <v>6</v>
      </c>
      <c r="D411" s="69" t="s">
        <v>301</v>
      </c>
      <c r="E411" s="69" t="s">
        <v>205</v>
      </c>
      <c r="F411" s="69" t="s">
        <v>279</v>
      </c>
      <c r="G411" s="69" t="s">
        <v>280</v>
      </c>
      <c r="H411" s="69" t="s">
        <v>225</v>
      </c>
      <c r="I411" s="69" t="s">
        <v>226</v>
      </c>
      <c r="J411" s="69" t="s">
        <v>281</v>
      </c>
      <c r="K411" s="69" t="s">
        <v>281</v>
      </c>
      <c r="L411" s="69" t="s">
        <v>282</v>
      </c>
      <c r="M411" s="88" t="s">
        <v>1780</v>
      </c>
      <c r="N411" s="69" t="s">
        <v>1779</v>
      </c>
      <c r="O411" s="69" t="s">
        <v>1781</v>
      </c>
      <c r="P411" s="69"/>
      <c r="Q411" s="69" t="s">
        <v>285</v>
      </c>
      <c r="R411" s="69"/>
      <c r="S411" s="69"/>
      <c r="T411" s="69"/>
      <c r="U411" s="69"/>
      <c r="V411" s="69"/>
      <c r="W411" s="69"/>
      <c r="X411" s="69"/>
      <c r="Y411" s="69"/>
      <c r="Z411" s="69"/>
      <c r="AA411" s="92" t="s">
        <v>286</v>
      </c>
    </row>
    <row r="412" ht="14.25" hidden="1" customHeight="1" spans="1:27">
      <c r="A412" s="94"/>
      <c r="B412" s="68" t="s">
        <v>1782</v>
      </c>
      <c r="C412" s="68">
        <v>6</v>
      </c>
      <c r="D412" s="68" t="s">
        <v>294</v>
      </c>
      <c r="E412" s="68" t="s">
        <v>205</v>
      </c>
      <c r="F412" s="68" t="s">
        <v>279</v>
      </c>
      <c r="G412" s="68" t="s">
        <v>280</v>
      </c>
      <c r="H412" s="68" t="s">
        <v>225</v>
      </c>
      <c r="I412" s="68" t="s">
        <v>226</v>
      </c>
      <c r="J412" s="68" t="s">
        <v>281</v>
      </c>
      <c r="K412" s="68" t="s">
        <v>281</v>
      </c>
      <c r="L412" s="68" t="s">
        <v>282</v>
      </c>
      <c r="M412" s="82" t="s">
        <v>1783</v>
      </c>
      <c r="N412" s="68" t="s">
        <v>1782</v>
      </c>
      <c r="O412" s="68" t="s">
        <v>1784</v>
      </c>
      <c r="P412" s="68"/>
      <c r="Q412" s="68" t="s">
        <v>285</v>
      </c>
      <c r="R412" s="68" t="s">
        <v>285</v>
      </c>
      <c r="S412" s="68"/>
      <c r="T412" s="68"/>
      <c r="U412" s="68"/>
      <c r="V412" s="68"/>
      <c r="W412" s="68"/>
      <c r="X412" s="68"/>
      <c r="Y412" s="68"/>
      <c r="Z412" s="68"/>
      <c r="AA412" s="92" t="s">
        <v>286</v>
      </c>
    </row>
    <row r="413" ht="14.25" hidden="1" customHeight="1" spans="2:27">
      <c r="B413" s="66" t="s">
        <v>1785</v>
      </c>
      <c r="C413" s="66">
        <v>6</v>
      </c>
      <c r="D413" s="66" t="s">
        <v>278</v>
      </c>
      <c r="E413" s="66" t="s">
        <v>205</v>
      </c>
      <c r="F413" s="66" t="s">
        <v>397</v>
      </c>
      <c r="G413" s="66" t="s">
        <v>320</v>
      </c>
      <c r="H413" s="66" t="s">
        <v>225</v>
      </c>
      <c r="I413" s="66" t="s">
        <v>226</v>
      </c>
      <c r="J413" s="66" t="s">
        <v>227</v>
      </c>
      <c r="K413" s="66" t="s">
        <v>1786</v>
      </c>
      <c r="L413" s="66" t="s">
        <v>282</v>
      </c>
      <c r="M413" s="80" t="s">
        <v>1787</v>
      </c>
      <c r="N413" s="66" t="s">
        <v>1785</v>
      </c>
      <c r="O413" s="66" t="s">
        <v>1788</v>
      </c>
      <c r="P413" s="66"/>
      <c r="Q413" s="66" t="s">
        <v>285</v>
      </c>
      <c r="R413" s="66" t="s">
        <v>285</v>
      </c>
      <c r="S413" s="66"/>
      <c r="T413" s="66"/>
      <c r="U413" s="66"/>
      <c r="V413" s="66"/>
      <c r="W413" s="66"/>
      <c r="X413" s="66"/>
      <c r="Y413" s="66"/>
      <c r="Z413" s="66"/>
      <c r="AA413" s="92" t="s">
        <v>286</v>
      </c>
    </row>
    <row r="414" ht="14.25" customHeight="1" spans="2:27">
      <c r="B414" s="70" t="s">
        <v>1789</v>
      </c>
      <c r="C414" s="70">
        <v>6</v>
      </c>
      <c r="D414" s="70" t="s">
        <v>306</v>
      </c>
      <c r="E414" s="70" t="s">
        <v>205</v>
      </c>
      <c r="F414" s="70" t="s">
        <v>279</v>
      </c>
      <c r="G414" s="70" t="s">
        <v>289</v>
      </c>
      <c r="H414" s="70" t="s">
        <v>225</v>
      </c>
      <c r="I414" s="70" t="s">
        <v>226</v>
      </c>
      <c r="J414" s="70" t="s">
        <v>281</v>
      </c>
      <c r="K414" s="70" t="s">
        <v>281</v>
      </c>
      <c r="L414" s="70" t="s">
        <v>484</v>
      </c>
      <c r="M414" s="79" t="s">
        <v>1790</v>
      </c>
      <c r="N414" s="70" t="s">
        <v>1789</v>
      </c>
      <c r="O414" s="70" t="s">
        <v>1791</v>
      </c>
      <c r="P414" s="70"/>
      <c r="Q414" s="70"/>
      <c r="R414" s="70" t="s">
        <v>285</v>
      </c>
      <c r="S414" s="70"/>
      <c r="T414" s="70"/>
      <c r="U414" s="70" t="s">
        <v>285</v>
      </c>
      <c r="V414" s="70" t="s">
        <v>285</v>
      </c>
      <c r="W414" s="70" t="s">
        <v>285</v>
      </c>
      <c r="X414" s="70"/>
      <c r="Y414" s="70"/>
      <c r="Z414" s="70"/>
      <c r="AA414" s="92" t="s">
        <v>286</v>
      </c>
    </row>
    <row r="415" ht="14.25" customHeight="1" spans="2:27">
      <c r="B415" s="70" t="s">
        <v>1792</v>
      </c>
      <c r="C415" s="70">
        <v>6</v>
      </c>
      <c r="D415" s="70" t="s">
        <v>306</v>
      </c>
      <c r="E415" s="70" t="s">
        <v>205</v>
      </c>
      <c r="F415" s="70" t="s">
        <v>279</v>
      </c>
      <c r="G415" s="70" t="s">
        <v>289</v>
      </c>
      <c r="H415" s="70" t="s">
        <v>225</v>
      </c>
      <c r="I415" s="70" t="s">
        <v>226</v>
      </c>
      <c r="J415" s="70" t="s">
        <v>281</v>
      </c>
      <c r="K415" s="70" t="s">
        <v>281</v>
      </c>
      <c r="L415" s="70" t="s">
        <v>484</v>
      </c>
      <c r="M415" s="79" t="s">
        <v>1793</v>
      </c>
      <c r="N415" s="70" t="s">
        <v>1792</v>
      </c>
      <c r="O415" s="70" t="s">
        <v>1794</v>
      </c>
      <c r="P415" s="70"/>
      <c r="Q415" s="70"/>
      <c r="R415" s="70" t="s">
        <v>285</v>
      </c>
      <c r="S415" s="70"/>
      <c r="T415" s="70"/>
      <c r="U415" s="70" t="s">
        <v>285</v>
      </c>
      <c r="V415" s="70" t="s">
        <v>285</v>
      </c>
      <c r="W415" s="70" t="s">
        <v>285</v>
      </c>
      <c r="X415" s="70"/>
      <c r="Y415" s="70"/>
      <c r="Z415" s="70"/>
      <c r="AA415" s="92" t="s">
        <v>286</v>
      </c>
    </row>
    <row r="416" ht="14.25" customHeight="1" spans="1:27">
      <c r="A416" s="94"/>
      <c r="B416" s="70" t="s">
        <v>1795</v>
      </c>
      <c r="C416" s="70">
        <v>6</v>
      </c>
      <c r="D416" s="70" t="s">
        <v>306</v>
      </c>
      <c r="E416" s="70" t="s">
        <v>205</v>
      </c>
      <c r="F416" s="70" t="s">
        <v>279</v>
      </c>
      <c r="G416" s="70" t="s">
        <v>289</v>
      </c>
      <c r="H416" s="70" t="s">
        <v>225</v>
      </c>
      <c r="I416" s="70" t="s">
        <v>226</v>
      </c>
      <c r="J416" s="70" t="s">
        <v>281</v>
      </c>
      <c r="K416" s="70" t="s">
        <v>281</v>
      </c>
      <c r="L416" s="70" t="s">
        <v>484</v>
      </c>
      <c r="M416" s="79" t="s">
        <v>1796</v>
      </c>
      <c r="N416" s="70" t="s">
        <v>1795</v>
      </c>
      <c r="O416" s="70" t="s">
        <v>1797</v>
      </c>
      <c r="P416" s="70"/>
      <c r="Q416" s="70"/>
      <c r="R416" s="70" t="s">
        <v>285</v>
      </c>
      <c r="S416" s="70"/>
      <c r="T416" s="70"/>
      <c r="U416" s="70" t="s">
        <v>285</v>
      </c>
      <c r="V416" s="70" t="s">
        <v>285</v>
      </c>
      <c r="W416" s="70" t="s">
        <v>285</v>
      </c>
      <c r="X416" s="70"/>
      <c r="Y416" s="70"/>
      <c r="Z416" s="70"/>
      <c r="AA416" s="92" t="s">
        <v>286</v>
      </c>
    </row>
    <row r="417" ht="14.25" customHeight="1" spans="2:27">
      <c r="B417" s="70" t="s">
        <v>1798</v>
      </c>
      <c r="C417" s="70">
        <v>6</v>
      </c>
      <c r="D417" s="70" t="s">
        <v>306</v>
      </c>
      <c r="E417" s="70" t="s">
        <v>205</v>
      </c>
      <c r="F417" s="70" t="s">
        <v>279</v>
      </c>
      <c r="G417" s="70" t="s">
        <v>289</v>
      </c>
      <c r="H417" s="70" t="s">
        <v>225</v>
      </c>
      <c r="I417" s="70" t="s">
        <v>226</v>
      </c>
      <c r="J417" s="70" t="s">
        <v>281</v>
      </c>
      <c r="K417" s="70" t="s">
        <v>281</v>
      </c>
      <c r="L417" s="70" t="s">
        <v>484</v>
      </c>
      <c r="M417" s="79" t="s">
        <v>1799</v>
      </c>
      <c r="N417" s="70" t="s">
        <v>1798</v>
      </c>
      <c r="O417" s="70" t="s">
        <v>1800</v>
      </c>
      <c r="P417" s="70"/>
      <c r="Q417" s="70"/>
      <c r="R417" s="70" t="s">
        <v>285</v>
      </c>
      <c r="S417" s="70"/>
      <c r="T417" s="70"/>
      <c r="U417" s="70" t="s">
        <v>285</v>
      </c>
      <c r="V417" s="70" t="s">
        <v>285</v>
      </c>
      <c r="W417" s="70" t="s">
        <v>285</v>
      </c>
      <c r="X417" s="70"/>
      <c r="Y417" s="70"/>
      <c r="Z417" s="70"/>
      <c r="AA417" s="92" t="s">
        <v>286</v>
      </c>
    </row>
    <row r="418" ht="14.25" hidden="1" customHeight="1" spans="1:27">
      <c r="A418" s="94"/>
      <c r="B418" s="69" t="s">
        <v>1801</v>
      </c>
      <c r="C418" s="69">
        <v>6</v>
      </c>
      <c r="D418" s="69" t="s">
        <v>301</v>
      </c>
      <c r="E418" s="69" t="s">
        <v>205</v>
      </c>
      <c r="F418" s="69" t="s">
        <v>360</v>
      </c>
      <c r="G418" s="69" t="s">
        <v>289</v>
      </c>
      <c r="H418" s="69" t="s">
        <v>225</v>
      </c>
      <c r="I418" s="69" t="s">
        <v>226</v>
      </c>
      <c r="J418" s="69" t="s">
        <v>227</v>
      </c>
      <c r="K418" s="69" t="s">
        <v>1802</v>
      </c>
      <c r="L418" s="69" t="s">
        <v>758</v>
      </c>
      <c r="M418" s="78" t="s">
        <v>1803</v>
      </c>
      <c r="N418" s="69" t="s">
        <v>1801</v>
      </c>
      <c r="O418" s="69" t="s">
        <v>1804</v>
      </c>
      <c r="P418" s="69"/>
      <c r="Q418" s="69"/>
      <c r="R418" s="69"/>
      <c r="S418" s="69"/>
      <c r="T418" s="69"/>
      <c r="U418" s="69"/>
      <c r="V418" s="69"/>
      <c r="W418" s="69" t="s">
        <v>285</v>
      </c>
      <c r="X418" s="69"/>
      <c r="Y418" s="69"/>
      <c r="Z418" s="69"/>
      <c r="AA418" s="92" t="s">
        <v>286</v>
      </c>
    </row>
    <row r="419" ht="14.25" customHeight="1" spans="1:27">
      <c r="A419" s="94"/>
      <c r="B419" s="71" t="s">
        <v>1805</v>
      </c>
      <c r="C419" s="71">
        <v>6</v>
      </c>
      <c r="D419" s="71" t="s">
        <v>329</v>
      </c>
      <c r="E419" s="71" t="s">
        <v>205</v>
      </c>
      <c r="F419" s="71" t="s">
        <v>279</v>
      </c>
      <c r="G419" s="71" t="s">
        <v>280</v>
      </c>
      <c r="H419" s="71" t="s">
        <v>225</v>
      </c>
      <c r="I419" s="71" t="s">
        <v>281</v>
      </c>
      <c r="J419" s="71" t="s">
        <v>227</v>
      </c>
      <c r="K419" s="71" t="s">
        <v>1806</v>
      </c>
      <c r="L419" s="71" t="s">
        <v>467</v>
      </c>
      <c r="M419" s="89" t="s">
        <v>1807</v>
      </c>
      <c r="N419" s="71" t="s">
        <v>1805</v>
      </c>
      <c r="O419" s="71" t="s">
        <v>1808</v>
      </c>
      <c r="P419" s="71" t="s">
        <v>285</v>
      </c>
      <c r="Q419" s="71"/>
      <c r="R419" s="71"/>
      <c r="S419" s="71"/>
      <c r="T419" s="71"/>
      <c r="U419" s="71" t="s">
        <v>285</v>
      </c>
      <c r="V419" s="71" t="s">
        <v>285</v>
      </c>
      <c r="W419" s="71" t="s">
        <v>285</v>
      </c>
      <c r="X419" s="71"/>
      <c r="Y419" s="71"/>
      <c r="Z419" s="71"/>
      <c r="AA419" s="92" t="s">
        <v>286</v>
      </c>
    </row>
    <row r="420" ht="14.25" customHeight="1" spans="2:27">
      <c r="B420" s="73" t="s">
        <v>1809</v>
      </c>
      <c r="C420" s="73">
        <v>6</v>
      </c>
      <c r="D420" s="73" t="s">
        <v>378</v>
      </c>
      <c r="E420" s="73" t="s">
        <v>205</v>
      </c>
      <c r="F420" s="73" t="s">
        <v>279</v>
      </c>
      <c r="G420" s="73" t="s">
        <v>280</v>
      </c>
      <c r="H420" s="73" t="s">
        <v>281</v>
      </c>
      <c r="I420" s="73" t="s">
        <v>226</v>
      </c>
      <c r="J420" s="73" t="s">
        <v>281</v>
      </c>
      <c r="K420" s="73" t="s">
        <v>281</v>
      </c>
      <c r="L420" s="73" t="s">
        <v>312</v>
      </c>
      <c r="M420" s="86" t="s">
        <v>1810</v>
      </c>
      <c r="N420" s="73" t="s">
        <v>1809</v>
      </c>
      <c r="O420" s="73" t="s">
        <v>1811</v>
      </c>
      <c r="P420" s="73"/>
      <c r="Q420" s="73"/>
      <c r="R420" s="73"/>
      <c r="S420" s="73"/>
      <c r="T420" s="73"/>
      <c r="U420" s="73" t="s">
        <v>285</v>
      </c>
      <c r="V420" s="73" t="s">
        <v>285</v>
      </c>
      <c r="W420" s="73" t="s">
        <v>285</v>
      </c>
      <c r="X420" s="73"/>
      <c r="Y420" s="73"/>
      <c r="Z420" s="73"/>
      <c r="AA420" s="92" t="s">
        <v>286</v>
      </c>
    </row>
    <row r="421" ht="14.25" hidden="1" customHeight="1" spans="2:27">
      <c r="B421" s="70" t="s">
        <v>1812</v>
      </c>
      <c r="C421" s="70">
        <v>6</v>
      </c>
      <c r="D421" s="70" t="s">
        <v>306</v>
      </c>
      <c r="E421" s="70" t="s">
        <v>205</v>
      </c>
      <c r="F421" s="70" t="s">
        <v>279</v>
      </c>
      <c r="G421" s="70" t="s">
        <v>302</v>
      </c>
      <c r="H421" s="70" t="s">
        <v>225</v>
      </c>
      <c r="I421" s="70" t="s">
        <v>226</v>
      </c>
      <c r="J421" s="70" t="s">
        <v>227</v>
      </c>
      <c r="K421" s="70" t="s">
        <v>1813</v>
      </c>
      <c r="L421" s="70" t="s">
        <v>1814</v>
      </c>
      <c r="M421" s="79" t="s">
        <v>1815</v>
      </c>
      <c r="N421" s="70" t="s">
        <v>1812</v>
      </c>
      <c r="O421" s="70" t="s">
        <v>1816</v>
      </c>
      <c r="P421" s="70"/>
      <c r="Q421" s="70"/>
      <c r="R421" s="70" t="s">
        <v>285</v>
      </c>
      <c r="S421" s="70"/>
      <c r="T421" s="70"/>
      <c r="U421" s="70" t="s">
        <v>285</v>
      </c>
      <c r="V421" s="70"/>
      <c r="W421" s="70" t="s">
        <v>285</v>
      </c>
      <c r="X421" s="70"/>
      <c r="Y421" s="70"/>
      <c r="Z421" s="70"/>
      <c r="AA421" s="92" t="s">
        <v>286</v>
      </c>
    </row>
    <row r="422" ht="14.25" hidden="1" customHeight="1" spans="1:27">
      <c r="A422" s="94"/>
      <c r="B422" s="68" t="s">
        <v>1817</v>
      </c>
      <c r="C422" s="68">
        <v>6</v>
      </c>
      <c r="D422" s="68" t="s">
        <v>294</v>
      </c>
      <c r="E422" s="68" t="s">
        <v>205</v>
      </c>
      <c r="F422" s="68" t="s">
        <v>279</v>
      </c>
      <c r="G422" s="68" t="s">
        <v>820</v>
      </c>
      <c r="H422" s="68" t="s">
        <v>225</v>
      </c>
      <c r="I422" s="68" t="s">
        <v>226</v>
      </c>
      <c r="J422" s="68" t="s">
        <v>227</v>
      </c>
      <c r="K422" s="68" t="s">
        <v>1818</v>
      </c>
      <c r="L422" s="68" t="s">
        <v>282</v>
      </c>
      <c r="M422" s="82" t="s">
        <v>1819</v>
      </c>
      <c r="N422" s="68" t="s">
        <v>1817</v>
      </c>
      <c r="O422" s="68" t="s">
        <v>1820</v>
      </c>
      <c r="P422" s="68"/>
      <c r="Q422" s="68"/>
      <c r="R422" s="68"/>
      <c r="S422" s="68"/>
      <c r="T422" s="68"/>
      <c r="U422" s="68"/>
      <c r="V422" s="68"/>
      <c r="W422" s="68" t="s">
        <v>285</v>
      </c>
      <c r="X422" s="68"/>
      <c r="Y422" s="68"/>
      <c r="Z422" s="68"/>
      <c r="AA422" s="92" t="s">
        <v>286</v>
      </c>
    </row>
    <row r="423" ht="14.25" hidden="1" customHeight="1" spans="1:27">
      <c r="A423" s="94"/>
      <c r="B423" s="71" t="s">
        <v>1821</v>
      </c>
      <c r="C423" s="71">
        <v>6</v>
      </c>
      <c r="D423" s="71" t="s">
        <v>329</v>
      </c>
      <c r="E423" s="71" t="s">
        <v>205</v>
      </c>
      <c r="F423" s="71" t="s">
        <v>279</v>
      </c>
      <c r="G423" s="71" t="s">
        <v>320</v>
      </c>
      <c r="H423" s="71" t="s">
        <v>225</v>
      </c>
      <c r="I423" s="71" t="s">
        <v>281</v>
      </c>
      <c r="J423" s="71" t="s">
        <v>281</v>
      </c>
      <c r="K423" s="71" t="s">
        <v>281</v>
      </c>
      <c r="L423" s="71" t="s">
        <v>312</v>
      </c>
      <c r="M423" s="89" t="s">
        <v>1822</v>
      </c>
      <c r="N423" s="71" t="s">
        <v>1821</v>
      </c>
      <c r="O423" s="71" t="s">
        <v>1823</v>
      </c>
      <c r="P423" s="71" t="s">
        <v>285</v>
      </c>
      <c r="Q423" s="71"/>
      <c r="R423" s="71"/>
      <c r="S423" s="71"/>
      <c r="T423" s="71"/>
      <c r="U423" s="71"/>
      <c r="V423" s="71"/>
      <c r="W423" s="71" t="s">
        <v>285</v>
      </c>
      <c r="X423" s="71"/>
      <c r="Y423" s="71"/>
      <c r="Z423" s="71"/>
      <c r="AA423" s="92" t="s">
        <v>286</v>
      </c>
    </row>
    <row r="424" ht="14.25" hidden="1" customHeight="1" spans="1:27">
      <c r="A424" s="94"/>
      <c r="B424" s="66" t="s">
        <v>1824</v>
      </c>
      <c r="C424" s="66">
        <v>6</v>
      </c>
      <c r="D424" s="66" t="s">
        <v>278</v>
      </c>
      <c r="E424" s="66" t="s">
        <v>205</v>
      </c>
      <c r="F424" s="66" t="s">
        <v>397</v>
      </c>
      <c r="G424" s="66" t="s">
        <v>280</v>
      </c>
      <c r="H424" s="66" t="s">
        <v>225</v>
      </c>
      <c r="I424" s="66" t="s">
        <v>226</v>
      </c>
      <c r="J424" s="66" t="s">
        <v>281</v>
      </c>
      <c r="K424" s="66" t="s">
        <v>281</v>
      </c>
      <c r="L424" s="66" t="s">
        <v>282</v>
      </c>
      <c r="M424" s="80" t="s">
        <v>1825</v>
      </c>
      <c r="N424" s="66" t="s">
        <v>1824</v>
      </c>
      <c r="O424" s="66" t="s">
        <v>1826</v>
      </c>
      <c r="P424" s="66"/>
      <c r="Q424" s="66" t="s">
        <v>285</v>
      </c>
      <c r="R424" s="66"/>
      <c r="S424" s="66"/>
      <c r="T424" s="66"/>
      <c r="U424" s="66"/>
      <c r="V424" s="66"/>
      <c r="W424" s="66"/>
      <c r="X424" s="66"/>
      <c r="Y424" s="66"/>
      <c r="Z424" s="66"/>
      <c r="AA424" s="92" t="s">
        <v>286</v>
      </c>
    </row>
    <row r="425" ht="14.25" hidden="1" customHeight="1" spans="1:27">
      <c r="A425" s="94"/>
      <c r="B425" s="67" t="s">
        <v>1827</v>
      </c>
      <c r="C425" s="67">
        <v>6</v>
      </c>
      <c r="D425" s="67" t="s">
        <v>288</v>
      </c>
      <c r="E425" s="67" t="s">
        <v>205</v>
      </c>
      <c r="F425" s="67" t="s">
        <v>279</v>
      </c>
      <c r="G425" s="67" t="s">
        <v>289</v>
      </c>
      <c r="H425" s="67" t="s">
        <v>225</v>
      </c>
      <c r="I425" s="67" t="s">
        <v>226</v>
      </c>
      <c r="J425" s="67" t="s">
        <v>281</v>
      </c>
      <c r="K425" s="67" t="s">
        <v>281</v>
      </c>
      <c r="L425" s="67" t="s">
        <v>312</v>
      </c>
      <c r="M425" s="90" t="s">
        <v>1828</v>
      </c>
      <c r="N425" s="67" t="s">
        <v>1827</v>
      </c>
      <c r="O425" s="67" t="s">
        <v>1829</v>
      </c>
      <c r="P425" s="67"/>
      <c r="Q425" s="67"/>
      <c r="R425" s="67" t="s">
        <v>285</v>
      </c>
      <c r="S425" s="67"/>
      <c r="T425" s="67"/>
      <c r="U425" s="67"/>
      <c r="V425" s="67"/>
      <c r="W425" s="67"/>
      <c r="X425" s="67"/>
      <c r="Y425" s="67"/>
      <c r="Z425" s="67"/>
      <c r="AA425" s="92" t="s">
        <v>286</v>
      </c>
    </row>
    <row r="426" ht="14.25" hidden="1" customHeight="1" spans="1:27">
      <c r="A426" s="94"/>
      <c r="B426" s="73" t="s">
        <v>1830</v>
      </c>
      <c r="C426" s="73">
        <v>6</v>
      </c>
      <c r="D426" s="73" t="s">
        <v>378</v>
      </c>
      <c r="E426" s="73" t="s">
        <v>205</v>
      </c>
      <c r="F426" s="73" t="s">
        <v>279</v>
      </c>
      <c r="G426" s="73" t="s">
        <v>302</v>
      </c>
      <c r="H426" s="73" t="s">
        <v>225</v>
      </c>
      <c r="I426" s="73" t="s">
        <v>226</v>
      </c>
      <c r="J426" s="73" t="s">
        <v>227</v>
      </c>
      <c r="K426" s="73" t="s">
        <v>1831</v>
      </c>
      <c r="L426" s="73" t="s">
        <v>758</v>
      </c>
      <c r="M426" s="91" t="s">
        <v>1832</v>
      </c>
      <c r="N426" s="73" t="s">
        <v>1830</v>
      </c>
      <c r="O426" s="73" t="s">
        <v>1833</v>
      </c>
      <c r="P426" s="73" t="s">
        <v>285</v>
      </c>
      <c r="Q426" s="73"/>
      <c r="R426" s="73"/>
      <c r="S426" s="73"/>
      <c r="T426" s="73"/>
      <c r="U426" s="73"/>
      <c r="V426" s="73"/>
      <c r="W426" s="73" t="s">
        <v>285</v>
      </c>
      <c r="X426" s="73"/>
      <c r="Y426" s="73"/>
      <c r="Z426" s="73"/>
      <c r="AA426" s="92" t="s">
        <v>286</v>
      </c>
    </row>
    <row r="427" ht="14.25" customHeight="1" spans="1:27">
      <c r="A427" s="94"/>
      <c r="B427" s="66" t="s">
        <v>1834</v>
      </c>
      <c r="C427" s="66">
        <v>6</v>
      </c>
      <c r="D427" s="66" t="s">
        <v>278</v>
      </c>
      <c r="E427" s="66" t="s">
        <v>205</v>
      </c>
      <c r="F427" s="66" t="s">
        <v>279</v>
      </c>
      <c r="G427" s="66" t="s">
        <v>320</v>
      </c>
      <c r="H427" s="66" t="s">
        <v>225</v>
      </c>
      <c r="I427" s="66" t="s">
        <v>281</v>
      </c>
      <c r="J427" s="66" t="s">
        <v>281</v>
      </c>
      <c r="K427" s="66" t="s">
        <v>281</v>
      </c>
      <c r="L427" s="66" t="s">
        <v>282</v>
      </c>
      <c r="M427" s="75" t="s">
        <v>1835</v>
      </c>
      <c r="N427" s="66" t="s">
        <v>1834</v>
      </c>
      <c r="O427" s="66" t="s">
        <v>1836</v>
      </c>
      <c r="P427" s="66"/>
      <c r="Q427" s="66"/>
      <c r="R427" s="66"/>
      <c r="S427" s="66"/>
      <c r="T427" s="66"/>
      <c r="U427" s="66" t="s">
        <v>285</v>
      </c>
      <c r="V427" s="66" t="s">
        <v>285</v>
      </c>
      <c r="W427" s="66" t="s">
        <v>285</v>
      </c>
      <c r="X427" s="66"/>
      <c r="Y427" s="66"/>
      <c r="Z427" s="66"/>
      <c r="AA427" s="92" t="s">
        <v>286</v>
      </c>
    </row>
    <row r="428" ht="14.25" customHeight="1" spans="1:27">
      <c r="A428" s="94"/>
      <c r="B428" s="69" t="s">
        <v>1837</v>
      </c>
      <c r="C428" s="69">
        <v>6</v>
      </c>
      <c r="D428" s="69" t="s">
        <v>301</v>
      </c>
      <c r="E428" s="69" t="s">
        <v>205</v>
      </c>
      <c r="F428" s="69" t="s">
        <v>1838</v>
      </c>
      <c r="G428" s="69" t="s">
        <v>280</v>
      </c>
      <c r="H428" s="69" t="s">
        <v>225</v>
      </c>
      <c r="I428" s="69" t="s">
        <v>226</v>
      </c>
      <c r="J428" s="69" t="s">
        <v>227</v>
      </c>
      <c r="K428" s="69" t="s">
        <v>1839</v>
      </c>
      <c r="L428" s="69" t="s">
        <v>462</v>
      </c>
      <c r="M428" s="78" t="s">
        <v>1840</v>
      </c>
      <c r="N428" s="69" t="s">
        <v>1837</v>
      </c>
      <c r="O428" s="69" t="s">
        <v>1841</v>
      </c>
      <c r="P428" s="69"/>
      <c r="Q428" s="69"/>
      <c r="R428" s="69"/>
      <c r="S428" s="69"/>
      <c r="T428" s="69"/>
      <c r="U428" s="69"/>
      <c r="V428" s="69" t="s">
        <v>285</v>
      </c>
      <c r="W428" s="69" t="s">
        <v>285</v>
      </c>
      <c r="X428" s="69"/>
      <c r="Y428" s="69"/>
      <c r="Z428" s="69"/>
      <c r="AA428" s="92" t="s">
        <v>286</v>
      </c>
    </row>
    <row r="429" ht="14.25" hidden="1" customHeight="1" spans="1:27">
      <c r="A429" s="94"/>
      <c r="B429" s="66" t="s">
        <v>1842</v>
      </c>
      <c r="C429" s="66">
        <v>6</v>
      </c>
      <c r="D429" s="66" t="s">
        <v>278</v>
      </c>
      <c r="E429" s="66" t="s">
        <v>205</v>
      </c>
      <c r="F429" s="66" t="s">
        <v>279</v>
      </c>
      <c r="G429" s="66" t="s">
        <v>512</v>
      </c>
      <c r="H429" s="66" t="s">
        <v>225</v>
      </c>
      <c r="I429" s="66" t="s">
        <v>226</v>
      </c>
      <c r="J429" s="66" t="s">
        <v>227</v>
      </c>
      <c r="K429" s="66" t="s">
        <v>1843</v>
      </c>
      <c r="L429" s="66" t="s">
        <v>585</v>
      </c>
      <c r="M429" s="107" t="s">
        <v>1844</v>
      </c>
      <c r="N429" s="66" t="s">
        <v>1842</v>
      </c>
      <c r="O429" s="66" t="s">
        <v>1845</v>
      </c>
      <c r="P429" s="66"/>
      <c r="Q429" s="66"/>
      <c r="R429" s="66"/>
      <c r="S429" s="66"/>
      <c r="T429" s="66"/>
      <c r="U429" s="66"/>
      <c r="V429" s="66" t="s">
        <v>285</v>
      </c>
      <c r="W429" s="66" t="s">
        <v>285</v>
      </c>
      <c r="X429" s="66"/>
      <c r="Y429" s="114"/>
      <c r="Z429" s="114"/>
      <c r="AA429" s="92" t="s">
        <v>377</v>
      </c>
    </row>
    <row r="430" ht="14.25" hidden="1" customHeight="1" spans="1:27">
      <c r="A430" s="94"/>
      <c r="B430" s="68" t="s">
        <v>1846</v>
      </c>
      <c r="C430" s="68">
        <v>6</v>
      </c>
      <c r="D430" s="68" t="s">
        <v>294</v>
      </c>
      <c r="E430" s="68" t="s">
        <v>205</v>
      </c>
      <c r="F430" s="68" t="s">
        <v>279</v>
      </c>
      <c r="G430" s="68" t="s">
        <v>857</v>
      </c>
      <c r="H430" s="68" t="s">
        <v>225</v>
      </c>
      <c r="I430" s="68" t="s">
        <v>226</v>
      </c>
      <c r="J430" s="68" t="s">
        <v>227</v>
      </c>
      <c r="K430" s="68" t="s">
        <v>1847</v>
      </c>
      <c r="L430" s="68" t="s">
        <v>312</v>
      </c>
      <c r="M430" s="77" t="s">
        <v>1848</v>
      </c>
      <c r="N430" s="68" t="s">
        <v>1846</v>
      </c>
      <c r="O430" s="68" t="s">
        <v>1849</v>
      </c>
      <c r="P430" s="68"/>
      <c r="Q430" s="68"/>
      <c r="R430" s="68" t="s">
        <v>285</v>
      </c>
      <c r="S430" s="68"/>
      <c r="T430" s="68"/>
      <c r="U430" s="68" t="s">
        <v>285</v>
      </c>
      <c r="V430" s="68"/>
      <c r="W430" s="68" t="s">
        <v>285</v>
      </c>
      <c r="X430" s="68"/>
      <c r="Y430" s="68"/>
      <c r="Z430" s="68"/>
      <c r="AA430" s="92" t="s">
        <v>286</v>
      </c>
    </row>
    <row r="431" ht="14.25" hidden="1" customHeight="1" spans="1:27">
      <c r="A431" s="94"/>
      <c r="B431" s="70" t="s">
        <v>1850</v>
      </c>
      <c r="C431" s="70">
        <v>6</v>
      </c>
      <c r="D431" s="70" t="s">
        <v>306</v>
      </c>
      <c r="E431" s="70" t="s">
        <v>205</v>
      </c>
      <c r="F431" s="70" t="s">
        <v>364</v>
      </c>
      <c r="G431" s="70" t="s">
        <v>289</v>
      </c>
      <c r="H431" s="70" t="s">
        <v>225</v>
      </c>
      <c r="I431" s="70" t="s">
        <v>226</v>
      </c>
      <c r="J431" s="70" t="s">
        <v>227</v>
      </c>
      <c r="K431" s="70" t="s">
        <v>1851</v>
      </c>
      <c r="L431" s="70" t="s">
        <v>312</v>
      </c>
      <c r="M431" s="97" t="s">
        <v>1852</v>
      </c>
      <c r="N431" s="70" t="s">
        <v>1850</v>
      </c>
      <c r="O431" s="70" t="s">
        <v>1853</v>
      </c>
      <c r="P431" s="70"/>
      <c r="Q431" s="70"/>
      <c r="R431" s="70"/>
      <c r="S431" s="70"/>
      <c r="T431" s="70"/>
      <c r="U431" s="70" t="s">
        <v>285</v>
      </c>
      <c r="V431" s="70" t="s">
        <v>285</v>
      </c>
      <c r="W431" s="70" t="s">
        <v>285</v>
      </c>
      <c r="X431" s="70"/>
      <c r="Y431" s="116"/>
      <c r="Z431" s="116"/>
      <c r="AA431" s="92" t="s">
        <v>377</v>
      </c>
    </row>
    <row r="432" ht="14.25" hidden="1" customHeight="1" spans="1:27">
      <c r="A432" s="94"/>
      <c r="B432" s="70" t="s">
        <v>1854</v>
      </c>
      <c r="C432" s="70">
        <v>6</v>
      </c>
      <c r="D432" s="70" t="s">
        <v>306</v>
      </c>
      <c r="E432" s="70" t="s">
        <v>205</v>
      </c>
      <c r="F432" s="70" t="s">
        <v>279</v>
      </c>
      <c r="G432" s="70" t="s">
        <v>289</v>
      </c>
      <c r="H432" s="70" t="s">
        <v>225</v>
      </c>
      <c r="I432" s="70" t="s">
        <v>226</v>
      </c>
      <c r="J432" s="70" t="s">
        <v>227</v>
      </c>
      <c r="K432" s="70" t="s">
        <v>1855</v>
      </c>
      <c r="L432" s="70" t="s">
        <v>484</v>
      </c>
      <c r="M432" s="84" t="s">
        <v>1856</v>
      </c>
      <c r="N432" s="70" t="s">
        <v>1854</v>
      </c>
      <c r="O432" s="70" t="s">
        <v>1857</v>
      </c>
      <c r="P432" s="70"/>
      <c r="Q432" s="70"/>
      <c r="R432" s="70"/>
      <c r="S432" s="70"/>
      <c r="T432" s="70"/>
      <c r="U432" s="70"/>
      <c r="V432" s="70"/>
      <c r="W432" s="70" t="s">
        <v>285</v>
      </c>
      <c r="X432" s="70"/>
      <c r="Y432" s="70"/>
      <c r="Z432" s="70"/>
      <c r="AA432" s="92" t="s">
        <v>286</v>
      </c>
    </row>
    <row r="433" ht="14.25" hidden="1" customHeight="1" spans="1:27">
      <c r="A433" s="94"/>
      <c r="B433" s="66" t="s">
        <v>1858</v>
      </c>
      <c r="C433" s="66">
        <v>6</v>
      </c>
      <c r="D433" s="66" t="s">
        <v>278</v>
      </c>
      <c r="E433" s="66" t="s">
        <v>205</v>
      </c>
      <c r="F433" s="66" t="s">
        <v>279</v>
      </c>
      <c r="G433" s="66" t="s">
        <v>386</v>
      </c>
      <c r="H433" s="66" t="s">
        <v>225</v>
      </c>
      <c r="I433" s="66" t="s">
        <v>226</v>
      </c>
      <c r="J433" s="66" t="s">
        <v>281</v>
      </c>
      <c r="K433" s="66" t="s">
        <v>281</v>
      </c>
      <c r="L433" s="66" t="s">
        <v>290</v>
      </c>
      <c r="M433" s="75" t="s">
        <v>1859</v>
      </c>
      <c r="N433" s="66" t="s">
        <v>1858</v>
      </c>
      <c r="O433" s="66" t="s">
        <v>1860</v>
      </c>
      <c r="P433" s="66"/>
      <c r="Q433" s="66"/>
      <c r="R433" s="66" t="s">
        <v>285</v>
      </c>
      <c r="S433" s="66"/>
      <c r="T433" s="66"/>
      <c r="U433" s="66"/>
      <c r="V433" s="66"/>
      <c r="W433" s="66"/>
      <c r="X433" s="66"/>
      <c r="Y433" s="66"/>
      <c r="Z433" s="66"/>
      <c r="AA433" s="92" t="s">
        <v>286</v>
      </c>
    </row>
    <row r="434" ht="14.25" customHeight="1" spans="1:27">
      <c r="A434" s="94"/>
      <c r="B434" s="72" t="s">
        <v>1861</v>
      </c>
      <c r="C434" s="72">
        <v>6</v>
      </c>
      <c r="D434" s="72" t="s">
        <v>340</v>
      </c>
      <c r="E434" s="72" t="s">
        <v>205</v>
      </c>
      <c r="F434" s="72" t="s">
        <v>279</v>
      </c>
      <c r="G434" s="72" t="s">
        <v>341</v>
      </c>
      <c r="H434" s="72" t="s">
        <v>225</v>
      </c>
      <c r="I434" s="72" t="s">
        <v>226</v>
      </c>
      <c r="J434" s="72" t="s">
        <v>227</v>
      </c>
      <c r="K434" s="72" t="s">
        <v>1862</v>
      </c>
      <c r="L434" s="72" t="s">
        <v>353</v>
      </c>
      <c r="M434" s="83" t="s">
        <v>1863</v>
      </c>
      <c r="N434" s="72" t="s">
        <v>1861</v>
      </c>
      <c r="O434" s="72" t="s">
        <v>1864</v>
      </c>
      <c r="P434" s="72" t="s">
        <v>285</v>
      </c>
      <c r="Q434" s="72" t="s">
        <v>285</v>
      </c>
      <c r="R434" s="72"/>
      <c r="S434" s="72"/>
      <c r="T434" s="72"/>
      <c r="U434" s="72" t="s">
        <v>285</v>
      </c>
      <c r="V434" s="72" t="s">
        <v>285</v>
      </c>
      <c r="W434" s="72" t="s">
        <v>285</v>
      </c>
      <c r="X434" s="72"/>
      <c r="Y434" s="72"/>
      <c r="Z434" s="72"/>
      <c r="AA434" s="92" t="s">
        <v>286</v>
      </c>
    </row>
    <row r="435" ht="14.25" hidden="1" customHeight="1" spans="2:27">
      <c r="B435" s="68" t="s">
        <v>1865</v>
      </c>
      <c r="C435" s="68">
        <v>6</v>
      </c>
      <c r="D435" s="68" t="s">
        <v>294</v>
      </c>
      <c r="E435" s="68" t="s">
        <v>205</v>
      </c>
      <c r="F435" s="68" t="s">
        <v>279</v>
      </c>
      <c r="G435" s="68" t="s">
        <v>302</v>
      </c>
      <c r="H435" s="68" t="s">
        <v>225</v>
      </c>
      <c r="I435" s="68" t="s">
        <v>226</v>
      </c>
      <c r="J435" s="68" t="s">
        <v>227</v>
      </c>
      <c r="K435" s="68" t="s">
        <v>1866</v>
      </c>
      <c r="L435" s="68" t="s">
        <v>484</v>
      </c>
      <c r="M435" s="77" t="s">
        <v>1867</v>
      </c>
      <c r="N435" s="68" t="s">
        <v>1865</v>
      </c>
      <c r="O435" s="68" t="s">
        <v>1868</v>
      </c>
      <c r="P435" s="68"/>
      <c r="Q435" s="68"/>
      <c r="R435" s="68"/>
      <c r="S435" s="68"/>
      <c r="T435" s="68"/>
      <c r="U435" s="68"/>
      <c r="V435" s="68"/>
      <c r="W435" s="68" t="s">
        <v>285</v>
      </c>
      <c r="X435" s="68"/>
      <c r="Y435" s="68"/>
      <c r="Z435" s="68"/>
      <c r="AA435" s="92" t="s">
        <v>286</v>
      </c>
    </row>
    <row r="436" ht="14.25" hidden="1" customHeight="1" spans="1:27">
      <c r="A436" s="94"/>
      <c r="B436" s="66" t="s">
        <v>1869</v>
      </c>
      <c r="C436" s="66">
        <v>6</v>
      </c>
      <c r="D436" s="66" t="s">
        <v>278</v>
      </c>
      <c r="E436" s="66" t="s">
        <v>205</v>
      </c>
      <c r="F436" s="66" t="s">
        <v>279</v>
      </c>
      <c r="G436" s="66" t="s">
        <v>302</v>
      </c>
      <c r="H436" s="66" t="s">
        <v>225</v>
      </c>
      <c r="I436" s="66" t="s">
        <v>226</v>
      </c>
      <c r="J436" s="66" t="s">
        <v>227</v>
      </c>
      <c r="K436" s="66" t="s">
        <v>1870</v>
      </c>
      <c r="L436" s="66" t="s">
        <v>484</v>
      </c>
      <c r="M436" s="75" t="s">
        <v>1871</v>
      </c>
      <c r="N436" s="66" t="s">
        <v>1869</v>
      </c>
      <c r="O436" s="66" t="s">
        <v>1872</v>
      </c>
      <c r="P436" s="66"/>
      <c r="Q436" s="66"/>
      <c r="R436" s="66" t="s">
        <v>285</v>
      </c>
      <c r="S436" s="66"/>
      <c r="T436" s="66"/>
      <c r="U436" s="66"/>
      <c r="V436" s="66"/>
      <c r="W436" s="66"/>
      <c r="X436" s="66"/>
      <c r="Y436" s="66"/>
      <c r="Z436" s="66"/>
      <c r="AA436" s="92" t="s">
        <v>286</v>
      </c>
    </row>
    <row r="437" ht="14.25" hidden="1" customHeight="1" spans="1:27">
      <c r="A437" s="94"/>
      <c r="B437" s="70" t="s">
        <v>1873</v>
      </c>
      <c r="C437" s="70">
        <v>6</v>
      </c>
      <c r="D437" s="70" t="s">
        <v>306</v>
      </c>
      <c r="E437" s="70" t="s">
        <v>205</v>
      </c>
      <c r="F437" s="70" t="s">
        <v>360</v>
      </c>
      <c r="G437" s="70" t="s">
        <v>320</v>
      </c>
      <c r="H437" s="70" t="s">
        <v>225</v>
      </c>
      <c r="I437" s="70" t="s">
        <v>226</v>
      </c>
      <c r="J437" s="70" t="s">
        <v>227</v>
      </c>
      <c r="K437" s="70" t="s">
        <v>1874</v>
      </c>
      <c r="L437" s="70" t="s">
        <v>462</v>
      </c>
      <c r="M437" s="84" t="s">
        <v>1875</v>
      </c>
      <c r="N437" s="70" t="s">
        <v>1873</v>
      </c>
      <c r="O437" s="70" t="s">
        <v>1876</v>
      </c>
      <c r="P437" s="70"/>
      <c r="Q437" s="70"/>
      <c r="R437" s="70" t="s">
        <v>285</v>
      </c>
      <c r="S437" s="70"/>
      <c r="T437" s="70"/>
      <c r="U437" s="70"/>
      <c r="V437" s="70"/>
      <c r="W437" s="70"/>
      <c r="X437" s="70"/>
      <c r="Y437" s="70"/>
      <c r="Z437" s="70"/>
      <c r="AA437" s="92" t="s">
        <v>286</v>
      </c>
    </row>
    <row r="438" ht="14.25" hidden="1" customHeight="1" spans="2:27">
      <c r="B438" s="66" t="s">
        <v>1877</v>
      </c>
      <c r="C438" s="66">
        <v>6</v>
      </c>
      <c r="D438" s="66" t="s">
        <v>278</v>
      </c>
      <c r="E438" s="66" t="s">
        <v>205</v>
      </c>
      <c r="F438" s="66" t="s">
        <v>279</v>
      </c>
      <c r="G438" s="66" t="s">
        <v>439</v>
      </c>
      <c r="H438" s="66" t="s">
        <v>225</v>
      </c>
      <c r="I438" s="66" t="s">
        <v>281</v>
      </c>
      <c r="J438" s="66" t="s">
        <v>281</v>
      </c>
      <c r="K438" s="66" t="s">
        <v>281</v>
      </c>
      <c r="L438" s="66" t="s">
        <v>282</v>
      </c>
      <c r="M438" s="75" t="s">
        <v>1878</v>
      </c>
      <c r="N438" s="66" t="s">
        <v>1877</v>
      </c>
      <c r="O438" s="66" t="s">
        <v>1879</v>
      </c>
      <c r="P438" s="66"/>
      <c r="Q438" s="66" t="s">
        <v>285</v>
      </c>
      <c r="R438" s="66"/>
      <c r="S438" s="66"/>
      <c r="T438" s="66"/>
      <c r="U438" s="66"/>
      <c r="V438" s="66"/>
      <c r="W438" s="66"/>
      <c r="X438" s="66"/>
      <c r="Y438" s="66"/>
      <c r="Z438" s="66"/>
      <c r="AA438" s="92" t="s">
        <v>286</v>
      </c>
    </row>
    <row r="439" ht="14.25" hidden="1" customHeight="1" spans="2:27">
      <c r="B439" s="67" t="s">
        <v>1880</v>
      </c>
      <c r="C439" s="67">
        <v>6</v>
      </c>
      <c r="D439" s="67" t="s">
        <v>288</v>
      </c>
      <c r="E439" s="67" t="s">
        <v>205</v>
      </c>
      <c r="F439" s="67" t="s">
        <v>364</v>
      </c>
      <c r="G439" s="67" t="s">
        <v>280</v>
      </c>
      <c r="H439" s="67" t="s">
        <v>225</v>
      </c>
      <c r="I439" s="67" t="s">
        <v>226</v>
      </c>
      <c r="J439" s="67" t="s">
        <v>227</v>
      </c>
      <c r="K439" s="67" t="s">
        <v>1881</v>
      </c>
      <c r="L439" s="122" t="s">
        <v>312</v>
      </c>
      <c r="M439" s="113" t="s">
        <v>1882</v>
      </c>
      <c r="N439" s="67" t="s">
        <v>1880</v>
      </c>
      <c r="O439" s="67" t="s">
        <v>1883</v>
      </c>
      <c r="P439" s="67"/>
      <c r="Q439" s="67"/>
      <c r="R439" s="67"/>
      <c r="S439" s="67"/>
      <c r="T439" s="67"/>
      <c r="U439" s="67" t="s">
        <v>285</v>
      </c>
      <c r="V439" s="67"/>
      <c r="W439" s="67" t="s">
        <v>285</v>
      </c>
      <c r="X439" s="67"/>
      <c r="Y439" s="118"/>
      <c r="Z439" s="118"/>
      <c r="AA439" s="105" t="s">
        <v>1027</v>
      </c>
    </row>
    <row r="440" ht="14.25" hidden="1" customHeight="1" spans="1:27">
      <c r="A440" s="94"/>
      <c r="B440" s="66" t="s">
        <v>1884</v>
      </c>
      <c r="C440" s="66">
        <v>7</v>
      </c>
      <c r="D440" s="66" t="s">
        <v>278</v>
      </c>
      <c r="E440" s="66" t="s">
        <v>205</v>
      </c>
      <c r="F440" s="66" t="s">
        <v>360</v>
      </c>
      <c r="G440" s="66" t="s">
        <v>512</v>
      </c>
      <c r="H440" s="66" t="s">
        <v>225</v>
      </c>
      <c r="I440" s="66" t="s">
        <v>226</v>
      </c>
      <c r="J440" s="66" t="s">
        <v>281</v>
      </c>
      <c r="K440" s="66" t="s">
        <v>281</v>
      </c>
      <c r="L440" s="66" t="s">
        <v>585</v>
      </c>
      <c r="M440" s="75" t="s">
        <v>1885</v>
      </c>
      <c r="N440" s="66" t="s">
        <v>1884</v>
      </c>
      <c r="O440" s="66" t="s">
        <v>1886</v>
      </c>
      <c r="P440" s="66"/>
      <c r="Q440" s="66" t="s">
        <v>285</v>
      </c>
      <c r="R440" s="66"/>
      <c r="S440" s="66"/>
      <c r="T440" s="66"/>
      <c r="U440" s="66"/>
      <c r="V440" s="66"/>
      <c r="W440" s="66"/>
      <c r="X440" s="66"/>
      <c r="Y440" s="66"/>
      <c r="Z440" s="66"/>
      <c r="AA440" s="92" t="s">
        <v>286</v>
      </c>
    </row>
    <row r="441" ht="14.25" hidden="1" customHeight="1" spans="1:27">
      <c r="A441" s="94"/>
      <c r="B441" s="68" t="s">
        <v>1887</v>
      </c>
      <c r="C441" s="68">
        <v>7</v>
      </c>
      <c r="D441" s="68" t="s">
        <v>294</v>
      </c>
      <c r="E441" s="68" t="s">
        <v>205</v>
      </c>
      <c r="F441" s="68" t="s">
        <v>279</v>
      </c>
      <c r="G441" s="68" t="s">
        <v>289</v>
      </c>
      <c r="H441" s="68" t="s">
        <v>225</v>
      </c>
      <c r="I441" s="68" t="s">
        <v>226</v>
      </c>
      <c r="J441" s="68" t="s">
        <v>281</v>
      </c>
      <c r="K441" s="68" t="s">
        <v>281</v>
      </c>
      <c r="L441" s="68" t="s">
        <v>353</v>
      </c>
      <c r="M441" s="82" t="s">
        <v>1888</v>
      </c>
      <c r="N441" s="68" t="s">
        <v>1887</v>
      </c>
      <c r="O441" s="68" t="s">
        <v>1889</v>
      </c>
      <c r="P441" s="68"/>
      <c r="Q441" s="68"/>
      <c r="R441" s="68"/>
      <c r="S441" s="68"/>
      <c r="T441" s="68"/>
      <c r="U441" s="68" t="s">
        <v>285</v>
      </c>
      <c r="V441" s="68" t="s">
        <v>285</v>
      </c>
      <c r="W441" s="68" t="s">
        <v>285</v>
      </c>
      <c r="X441" s="68"/>
      <c r="Y441" s="68"/>
      <c r="Z441" s="68"/>
      <c r="AA441" s="92" t="s">
        <v>310</v>
      </c>
    </row>
    <row r="442" ht="14.25" hidden="1" customHeight="1" spans="1:27">
      <c r="A442" s="94"/>
      <c r="B442" s="68" t="s">
        <v>1890</v>
      </c>
      <c r="C442" s="68">
        <v>7</v>
      </c>
      <c r="D442" s="68" t="s">
        <v>294</v>
      </c>
      <c r="E442" s="68" t="s">
        <v>205</v>
      </c>
      <c r="F442" s="68" t="s">
        <v>279</v>
      </c>
      <c r="G442" s="68" t="s">
        <v>1122</v>
      </c>
      <c r="H442" s="68" t="s">
        <v>225</v>
      </c>
      <c r="I442" s="68" t="s">
        <v>226</v>
      </c>
      <c r="J442" s="68" t="s">
        <v>227</v>
      </c>
      <c r="K442" s="68" t="s">
        <v>1891</v>
      </c>
      <c r="L442" s="68" t="s">
        <v>312</v>
      </c>
      <c r="M442" s="77" t="s">
        <v>1892</v>
      </c>
      <c r="N442" s="68" t="s">
        <v>1890</v>
      </c>
      <c r="O442" s="68" t="s">
        <v>1893</v>
      </c>
      <c r="P442" s="68"/>
      <c r="Q442" s="68"/>
      <c r="R442" s="68"/>
      <c r="S442" s="68"/>
      <c r="T442" s="68"/>
      <c r="U442" s="68" t="s">
        <v>285</v>
      </c>
      <c r="V442" s="68"/>
      <c r="W442" s="68" t="s">
        <v>285</v>
      </c>
      <c r="X442" s="68"/>
      <c r="Y442" s="68"/>
      <c r="Z442" s="68"/>
      <c r="AA442" s="92" t="s">
        <v>286</v>
      </c>
    </row>
    <row r="443" ht="14.25" hidden="1" customHeight="1" spans="1:27">
      <c r="A443" s="94"/>
      <c r="B443" s="68" t="s">
        <v>1894</v>
      </c>
      <c r="C443" s="68">
        <v>7</v>
      </c>
      <c r="D443" s="68" t="s">
        <v>294</v>
      </c>
      <c r="E443" s="68" t="s">
        <v>205</v>
      </c>
      <c r="F443" s="68" t="s">
        <v>364</v>
      </c>
      <c r="G443" s="68" t="s">
        <v>320</v>
      </c>
      <c r="H443" s="68" t="s">
        <v>225</v>
      </c>
      <c r="I443" s="68" t="s">
        <v>281</v>
      </c>
      <c r="J443" s="68" t="s">
        <v>281</v>
      </c>
      <c r="K443" s="68" t="s">
        <v>281</v>
      </c>
      <c r="L443" s="68" t="s">
        <v>282</v>
      </c>
      <c r="M443" s="82" t="s">
        <v>1895</v>
      </c>
      <c r="N443" s="68" t="s">
        <v>1894</v>
      </c>
      <c r="O443" s="68" t="s">
        <v>1896</v>
      </c>
      <c r="P443" s="68"/>
      <c r="Q443" s="68" t="s">
        <v>285</v>
      </c>
      <c r="R443" s="68"/>
      <c r="S443" s="68"/>
      <c r="T443" s="68"/>
      <c r="U443" s="68"/>
      <c r="V443" s="68"/>
      <c r="W443" s="68"/>
      <c r="X443" s="68"/>
      <c r="Y443" s="68"/>
      <c r="Z443" s="68"/>
      <c r="AA443" s="92" t="s">
        <v>286</v>
      </c>
    </row>
    <row r="444" ht="14.25" hidden="1" customHeight="1" spans="1:27">
      <c r="A444" s="94"/>
      <c r="B444" s="66" t="s">
        <v>1897</v>
      </c>
      <c r="C444" s="66">
        <v>7</v>
      </c>
      <c r="D444" s="66" t="s">
        <v>278</v>
      </c>
      <c r="E444" s="66" t="s">
        <v>205</v>
      </c>
      <c r="F444" s="66" t="s">
        <v>397</v>
      </c>
      <c r="G444" s="66" t="s">
        <v>1898</v>
      </c>
      <c r="H444" s="66" t="s">
        <v>225</v>
      </c>
      <c r="I444" s="66" t="s">
        <v>226</v>
      </c>
      <c r="J444" s="66" t="s">
        <v>227</v>
      </c>
      <c r="K444" s="66" t="s">
        <v>1899</v>
      </c>
      <c r="L444" s="66" t="s">
        <v>1900</v>
      </c>
      <c r="M444" s="119" t="s">
        <v>1901</v>
      </c>
      <c r="N444" s="66" t="s">
        <v>1897</v>
      </c>
      <c r="O444" s="66" t="s">
        <v>1902</v>
      </c>
      <c r="P444" s="66" t="s">
        <v>285</v>
      </c>
      <c r="Q444" s="66"/>
      <c r="R444" s="66"/>
      <c r="S444" s="66"/>
      <c r="T444" s="66"/>
      <c r="U444" s="66" t="s">
        <v>285</v>
      </c>
      <c r="V444" s="66" t="s">
        <v>285</v>
      </c>
      <c r="W444" s="66" t="s">
        <v>285</v>
      </c>
      <c r="X444" s="66"/>
      <c r="Y444" s="114"/>
      <c r="Z444" s="114"/>
      <c r="AA444" s="92" t="s">
        <v>377</v>
      </c>
    </row>
    <row r="445" ht="14.25" customHeight="1" spans="1:27">
      <c r="A445" s="94"/>
      <c r="B445" s="70" t="s">
        <v>1903</v>
      </c>
      <c r="C445" s="70">
        <v>7</v>
      </c>
      <c r="D445" s="70" t="s">
        <v>306</v>
      </c>
      <c r="E445" s="70" t="s">
        <v>205</v>
      </c>
      <c r="F445" s="70" t="s">
        <v>279</v>
      </c>
      <c r="G445" s="70" t="s">
        <v>289</v>
      </c>
      <c r="H445" s="70" t="s">
        <v>225</v>
      </c>
      <c r="I445" s="70" t="s">
        <v>226</v>
      </c>
      <c r="J445" s="70" t="s">
        <v>281</v>
      </c>
      <c r="K445" s="70" t="s">
        <v>281</v>
      </c>
      <c r="L445" s="70" t="s">
        <v>1904</v>
      </c>
      <c r="M445" s="79" t="s">
        <v>1905</v>
      </c>
      <c r="N445" s="70" t="s">
        <v>1903</v>
      </c>
      <c r="O445" s="70" t="s">
        <v>1906</v>
      </c>
      <c r="P445" s="70" t="s">
        <v>285</v>
      </c>
      <c r="Q445" s="70" t="s">
        <v>285</v>
      </c>
      <c r="R445" s="70"/>
      <c r="S445" s="70"/>
      <c r="T445" s="70"/>
      <c r="U445" s="70" t="s">
        <v>285</v>
      </c>
      <c r="V445" s="70" t="s">
        <v>285</v>
      </c>
      <c r="W445" s="70" t="s">
        <v>285</v>
      </c>
      <c r="X445" s="70"/>
      <c r="Y445" s="70"/>
      <c r="Z445" s="70"/>
      <c r="AA445" s="92" t="s">
        <v>286</v>
      </c>
    </row>
    <row r="446" ht="14.25" customHeight="1" spans="2:27">
      <c r="B446" s="69" t="s">
        <v>1907</v>
      </c>
      <c r="C446" s="69">
        <v>7</v>
      </c>
      <c r="D446" s="69" t="s">
        <v>301</v>
      </c>
      <c r="E446" s="69" t="s">
        <v>205</v>
      </c>
      <c r="F446" s="69" t="s">
        <v>279</v>
      </c>
      <c r="G446" s="69" t="s">
        <v>280</v>
      </c>
      <c r="H446" s="69" t="s">
        <v>225</v>
      </c>
      <c r="I446" s="69" t="s">
        <v>226</v>
      </c>
      <c r="J446" s="69" t="s">
        <v>281</v>
      </c>
      <c r="K446" s="69" t="s">
        <v>281</v>
      </c>
      <c r="L446" s="69" t="s">
        <v>282</v>
      </c>
      <c r="M446" s="78" t="s">
        <v>1908</v>
      </c>
      <c r="N446" s="69" t="s">
        <v>1907</v>
      </c>
      <c r="O446" s="69" t="s">
        <v>1909</v>
      </c>
      <c r="P446" s="69"/>
      <c r="Q446" s="69"/>
      <c r="R446" s="69"/>
      <c r="S446" s="69"/>
      <c r="T446" s="69"/>
      <c r="U446" s="69" t="s">
        <v>285</v>
      </c>
      <c r="V446" s="69" t="s">
        <v>285</v>
      </c>
      <c r="W446" s="69" t="s">
        <v>285</v>
      </c>
      <c r="X446" s="69"/>
      <c r="Y446" s="69"/>
      <c r="Z446" s="69"/>
      <c r="AA446" s="92" t="s">
        <v>286</v>
      </c>
    </row>
    <row r="447" ht="14.25" hidden="1" customHeight="1" spans="1:27">
      <c r="A447" s="94"/>
      <c r="B447" s="68" t="s">
        <v>1910</v>
      </c>
      <c r="C447" s="68">
        <v>7</v>
      </c>
      <c r="D447" s="68" t="s">
        <v>294</v>
      </c>
      <c r="E447" s="68" t="s">
        <v>205</v>
      </c>
      <c r="F447" s="68" t="s">
        <v>279</v>
      </c>
      <c r="G447" s="68" t="s">
        <v>1122</v>
      </c>
      <c r="H447" s="68" t="s">
        <v>225</v>
      </c>
      <c r="I447" s="68" t="s">
        <v>226</v>
      </c>
      <c r="J447" s="68" t="s">
        <v>281</v>
      </c>
      <c r="K447" s="68" t="s">
        <v>281</v>
      </c>
      <c r="L447" s="68" t="s">
        <v>282</v>
      </c>
      <c r="M447" s="82" t="s">
        <v>1911</v>
      </c>
      <c r="N447" s="68" t="s">
        <v>1910</v>
      </c>
      <c r="O447" s="68" t="s">
        <v>1912</v>
      </c>
      <c r="P447" s="68"/>
      <c r="Q447" s="68" t="s">
        <v>285</v>
      </c>
      <c r="R447" s="68" t="s">
        <v>285</v>
      </c>
      <c r="S447" s="68"/>
      <c r="T447" s="68"/>
      <c r="U447" s="68" t="s">
        <v>285</v>
      </c>
      <c r="V447" s="68"/>
      <c r="W447" s="68"/>
      <c r="X447" s="68"/>
      <c r="Y447" s="68"/>
      <c r="Z447" s="68"/>
      <c r="AA447" s="92" t="s">
        <v>286</v>
      </c>
    </row>
    <row r="448" ht="14.25" customHeight="1" spans="1:27">
      <c r="A448" s="94"/>
      <c r="B448" s="68" t="s">
        <v>1913</v>
      </c>
      <c r="C448" s="68">
        <v>7</v>
      </c>
      <c r="D448" s="68" t="s">
        <v>294</v>
      </c>
      <c r="E448" s="68" t="s">
        <v>205</v>
      </c>
      <c r="F448" s="68" t="s">
        <v>279</v>
      </c>
      <c r="G448" s="68" t="s">
        <v>1914</v>
      </c>
      <c r="H448" s="68" t="s">
        <v>225</v>
      </c>
      <c r="I448" s="68" t="s">
        <v>226</v>
      </c>
      <c r="J448" s="68" t="s">
        <v>227</v>
      </c>
      <c r="K448" s="68" t="s">
        <v>1915</v>
      </c>
      <c r="L448" s="68" t="s">
        <v>353</v>
      </c>
      <c r="M448" s="82" t="s">
        <v>1916</v>
      </c>
      <c r="N448" s="68" t="s">
        <v>1913</v>
      </c>
      <c r="O448" s="68" t="s">
        <v>1917</v>
      </c>
      <c r="P448" s="68" t="s">
        <v>285</v>
      </c>
      <c r="Q448" s="68"/>
      <c r="R448" s="68"/>
      <c r="S448" s="68"/>
      <c r="T448" s="68"/>
      <c r="U448" s="68"/>
      <c r="V448" s="68" t="s">
        <v>285</v>
      </c>
      <c r="W448" s="68" t="s">
        <v>285</v>
      </c>
      <c r="X448" s="68"/>
      <c r="Y448" s="68"/>
      <c r="Z448" s="68"/>
      <c r="AA448" s="92" t="s">
        <v>286</v>
      </c>
    </row>
    <row r="449" ht="14.25" hidden="1" customHeight="1" spans="1:27">
      <c r="A449" s="94"/>
      <c r="B449" s="73" t="s">
        <v>1918</v>
      </c>
      <c r="C449" s="73">
        <v>7</v>
      </c>
      <c r="D449" s="73" t="s">
        <v>378</v>
      </c>
      <c r="E449" s="73" t="s">
        <v>205</v>
      </c>
      <c r="F449" s="73" t="s">
        <v>397</v>
      </c>
      <c r="G449" s="73" t="s">
        <v>969</v>
      </c>
      <c r="H449" s="73" t="s">
        <v>225</v>
      </c>
      <c r="I449" s="73" t="s">
        <v>226</v>
      </c>
      <c r="J449" s="73" t="s">
        <v>281</v>
      </c>
      <c r="K449" s="73" t="s">
        <v>281</v>
      </c>
      <c r="L449" s="73" t="s">
        <v>632</v>
      </c>
      <c r="M449" s="91" t="s">
        <v>1919</v>
      </c>
      <c r="N449" s="73" t="s">
        <v>1918</v>
      </c>
      <c r="O449" s="73" t="s">
        <v>1920</v>
      </c>
      <c r="P449" s="73" t="s">
        <v>285</v>
      </c>
      <c r="Q449" s="73"/>
      <c r="R449" s="73" t="s">
        <v>285</v>
      </c>
      <c r="S449" s="73"/>
      <c r="T449" s="73"/>
      <c r="U449" s="73"/>
      <c r="V449" s="73"/>
      <c r="W449" s="73" t="s">
        <v>285</v>
      </c>
      <c r="X449" s="73"/>
      <c r="Y449" s="73"/>
      <c r="Z449" s="73"/>
      <c r="AA449" s="92" t="s">
        <v>286</v>
      </c>
    </row>
    <row r="450" ht="14.25" hidden="1" customHeight="1" spans="1:27">
      <c r="A450" s="94"/>
      <c r="B450" s="66" t="s">
        <v>1921</v>
      </c>
      <c r="C450" s="66">
        <v>7</v>
      </c>
      <c r="D450" s="66" t="s">
        <v>278</v>
      </c>
      <c r="E450" s="66" t="s">
        <v>205</v>
      </c>
      <c r="F450" s="66" t="s">
        <v>360</v>
      </c>
      <c r="G450" s="66" t="s">
        <v>820</v>
      </c>
      <c r="H450" s="66" t="s">
        <v>225</v>
      </c>
      <c r="I450" s="66" t="s">
        <v>226</v>
      </c>
      <c r="J450" s="66" t="s">
        <v>227</v>
      </c>
      <c r="K450" s="66" t="s">
        <v>1922</v>
      </c>
      <c r="L450" s="66" t="s">
        <v>467</v>
      </c>
      <c r="M450" s="80" t="s">
        <v>1923</v>
      </c>
      <c r="N450" s="66" t="s">
        <v>1921</v>
      </c>
      <c r="O450" s="66" t="s">
        <v>1924</v>
      </c>
      <c r="P450" s="66" t="s">
        <v>285</v>
      </c>
      <c r="Q450" s="66"/>
      <c r="R450" s="66"/>
      <c r="S450" s="66"/>
      <c r="T450" s="66"/>
      <c r="U450" s="66"/>
      <c r="V450" s="66"/>
      <c r="W450" s="66" t="s">
        <v>285</v>
      </c>
      <c r="X450" s="66"/>
      <c r="Y450" s="66"/>
      <c r="Z450" s="66"/>
      <c r="AA450" s="92" t="s">
        <v>286</v>
      </c>
    </row>
    <row r="451" ht="14.25" hidden="1" customHeight="1" spans="1:27">
      <c r="A451" s="94"/>
      <c r="B451" s="68" t="s">
        <v>1925</v>
      </c>
      <c r="C451" s="68">
        <v>7</v>
      </c>
      <c r="D451" s="68" t="s">
        <v>294</v>
      </c>
      <c r="E451" s="68" t="s">
        <v>205</v>
      </c>
      <c r="F451" s="68" t="s">
        <v>279</v>
      </c>
      <c r="G451" s="68" t="s">
        <v>280</v>
      </c>
      <c r="H451" s="68" t="s">
        <v>225</v>
      </c>
      <c r="I451" s="68" t="s">
        <v>226</v>
      </c>
      <c r="J451" s="68" t="s">
        <v>227</v>
      </c>
      <c r="K451" s="68" t="s">
        <v>1926</v>
      </c>
      <c r="L451" s="68" t="s">
        <v>312</v>
      </c>
      <c r="M451" s="82" t="s">
        <v>1927</v>
      </c>
      <c r="N451" s="68" t="s">
        <v>1925</v>
      </c>
      <c r="O451" s="68" t="s">
        <v>1928</v>
      </c>
      <c r="P451" s="68" t="s">
        <v>285</v>
      </c>
      <c r="Q451" s="68"/>
      <c r="R451" s="68"/>
      <c r="S451" s="68"/>
      <c r="T451" s="68"/>
      <c r="U451" s="68"/>
      <c r="V451" s="68"/>
      <c r="W451" s="68" t="s">
        <v>285</v>
      </c>
      <c r="X451" s="68"/>
      <c r="Y451" s="68"/>
      <c r="Z451" s="68"/>
      <c r="AA451" s="92" t="s">
        <v>286</v>
      </c>
    </row>
    <row r="452" ht="14.25" customHeight="1" spans="1:27">
      <c r="A452" s="94"/>
      <c r="B452" s="66" t="s">
        <v>1929</v>
      </c>
      <c r="C452" s="66">
        <v>7</v>
      </c>
      <c r="D452" s="66" t="s">
        <v>278</v>
      </c>
      <c r="E452" s="66" t="s">
        <v>205</v>
      </c>
      <c r="F452" s="66" t="s">
        <v>279</v>
      </c>
      <c r="G452" s="66" t="s">
        <v>341</v>
      </c>
      <c r="H452" s="66" t="s">
        <v>225</v>
      </c>
      <c r="I452" s="66" t="s">
        <v>226</v>
      </c>
      <c r="J452" s="66" t="s">
        <v>227</v>
      </c>
      <c r="K452" s="66" t="s">
        <v>1930</v>
      </c>
      <c r="L452" s="66" t="s">
        <v>282</v>
      </c>
      <c r="M452" s="80" t="s">
        <v>1931</v>
      </c>
      <c r="N452" s="66" t="s">
        <v>1929</v>
      </c>
      <c r="O452" s="66" t="s">
        <v>1932</v>
      </c>
      <c r="P452" s="66"/>
      <c r="Q452" s="66" t="s">
        <v>285</v>
      </c>
      <c r="R452" s="66" t="s">
        <v>285</v>
      </c>
      <c r="S452" s="66"/>
      <c r="T452" s="66"/>
      <c r="U452" s="66" t="s">
        <v>285</v>
      </c>
      <c r="V452" s="66" t="s">
        <v>285</v>
      </c>
      <c r="W452" s="66" t="s">
        <v>285</v>
      </c>
      <c r="X452" s="66"/>
      <c r="Y452" s="66"/>
      <c r="Z452" s="66"/>
      <c r="AA452" s="92" t="s">
        <v>286</v>
      </c>
    </row>
    <row r="453" ht="14.25" hidden="1" customHeight="1" spans="1:27">
      <c r="A453" s="94"/>
      <c r="B453" s="71" t="s">
        <v>1933</v>
      </c>
      <c r="C453" s="71">
        <v>7</v>
      </c>
      <c r="D453" s="71" t="s">
        <v>329</v>
      </c>
      <c r="E453" s="71" t="s">
        <v>205</v>
      </c>
      <c r="F453" s="71" t="s">
        <v>279</v>
      </c>
      <c r="G453" s="71" t="s">
        <v>280</v>
      </c>
      <c r="H453" s="71" t="s">
        <v>225</v>
      </c>
      <c r="I453" s="71" t="s">
        <v>281</v>
      </c>
      <c r="J453" s="71" t="s">
        <v>281</v>
      </c>
      <c r="K453" s="71" t="s">
        <v>281</v>
      </c>
      <c r="L453" s="71" t="s">
        <v>282</v>
      </c>
      <c r="M453" s="89" t="s">
        <v>1934</v>
      </c>
      <c r="N453" s="71" t="s">
        <v>1933</v>
      </c>
      <c r="O453" s="71" t="s">
        <v>1935</v>
      </c>
      <c r="P453" s="71"/>
      <c r="Q453" s="71"/>
      <c r="R453" s="71"/>
      <c r="S453" s="71"/>
      <c r="T453" s="71"/>
      <c r="U453" s="71" t="s">
        <v>285</v>
      </c>
      <c r="V453" s="71" t="s">
        <v>285</v>
      </c>
      <c r="W453" s="71" t="s">
        <v>285</v>
      </c>
      <c r="X453" s="71"/>
      <c r="Y453" s="71"/>
      <c r="Z453" s="71"/>
      <c r="AA453" s="92" t="s">
        <v>310</v>
      </c>
    </row>
    <row r="454" ht="14.25" hidden="1" customHeight="1" spans="1:27">
      <c r="A454" s="94"/>
      <c r="B454" s="68" t="s">
        <v>1936</v>
      </c>
      <c r="C454" s="68">
        <v>7</v>
      </c>
      <c r="D454" s="68" t="s">
        <v>294</v>
      </c>
      <c r="E454" s="68" t="s">
        <v>205</v>
      </c>
      <c r="F454" s="68" t="s">
        <v>279</v>
      </c>
      <c r="G454" s="68" t="s">
        <v>1083</v>
      </c>
      <c r="H454" s="68" t="s">
        <v>225</v>
      </c>
      <c r="I454" s="68" t="s">
        <v>226</v>
      </c>
      <c r="J454" s="68" t="s">
        <v>281</v>
      </c>
      <c r="K454" s="68" t="s">
        <v>281</v>
      </c>
      <c r="L454" s="68" t="s">
        <v>282</v>
      </c>
      <c r="M454" s="82" t="s">
        <v>1937</v>
      </c>
      <c r="N454" s="68" t="s">
        <v>1936</v>
      </c>
      <c r="O454" s="68" t="s">
        <v>1938</v>
      </c>
      <c r="P454" s="68"/>
      <c r="Q454" s="68"/>
      <c r="R454" s="68"/>
      <c r="S454" s="68"/>
      <c r="T454" s="68"/>
      <c r="U454" s="68" t="s">
        <v>285</v>
      </c>
      <c r="V454" s="68"/>
      <c r="W454" s="68" t="s">
        <v>285</v>
      </c>
      <c r="X454" s="68"/>
      <c r="Y454" s="68"/>
      <c r="Z454" s="68"/>
      <c r="AA454" s="92" t="s">
        <v>286</v>
      </c>
    </row>
    <row r="455" ht="14.25" hidden="1" customHeight="1" spans="1:27">
      <c r="A455" s="94"/>
      <c r="B455" s="73" t="s">
        <v>1939</v>
      </c>
      <c r="C455" s="73">
        <v>7</v>
      </c>
      <c r="D455" s="73" t="s">
        <v>378</v>
      </c>
      <c r="E455" s="73" t="s">
        <v>205</v>
      </c>
      <c r="F455" s="73" t="s">
        <v>279</v>
      </c>
      <c r="G455" s="73" t="s">
        <v>1940</v>
      </c>
      <c r="H455" s="73" t="s">
        <v>225</v>
      </c>
      <c r="I455" s="73" t="s">
        <v>226</v>
      </c>
      <c r="J455" s="73" t="s">
        <v>227</v>
      </c>
      <c r="K455" s="73" t="s">
        <v>1941</v>
      </c>
      <c r="L455" s="73" t="s">
        <v>1755</v>
      </c>
      <c r="M455" s="91" t="s">
        <v>1942</v>
      </c>
      <c r="N455" s="73" t="s">
        <v>1939</v>
      </c>
      <c r="O455" s="73" t="s">
        <v>1943</v>
      </c>
      <c r="P455" s="73" t="s">
        <v>285</v>
      </c>
      <c r="Q455" s="73"/>
      <c r="R455" s="73"/>
      <c r="S455" s="73"/>
      <c r="T455" s="73"/>
      <c r="U455" s="73"/>
      <c r="V455" s="73"/>
      <c r="W455" s="73" t="s">
        <v>285</v>
      </c>
      <c r="X455" s="73"/>
      <c r="Y455" s="73"/>
      <c r="Z455" s="73"/>
      <c r="AA455" s="92" t="s">
        <v>286</v>
      </c>
    </row>
    <row r="456" ht="14.25" hidden="1" customHeight="1" spans="1:27">
      <c r="A456" s="94"/>
      <c r="B456" s="70" t="s">
        <v>1944</v>
      </c>
      <c r="C456" s="70">
        <v>7</v>
      </c>
      <c r="D456" s="70" t="s">
        <v>306</v>
      </c>
      <c r="E456" s="70" t="s">
        <v>205</v>
      </c>
      <c r="F456" s="70" t="s">
        <v>360</v>
      </c>
      <c r="G456" s="70" t="s">
        <v>341</v>
      </c>
      <c r="H456" s="70" t="s">
        <v>225</v>
      </c>
      <c r="I456" s="70" t="s">
        <v>226</v>
      </c>
      <c r="J456" s="70" t="s">
        <v>227</v>
      </c>
      <c r="K456" s="70" t="s">
        <v>1945</v>
      </c>
      <c r="L456" s="70" t="s">
        <v>353</v>
      </c>
      <c r="M456" s="79" t="s">
        <v>1946</v>
      </c>
      <c r="N456" s="70" t="s">
        <v>1944</v>
      </c>
      <c r="O456" s="70" t="s">
        <v>1947</v>
      </c>
      <c r="P456" s="70" t="s">
        <v>285</v>
      </c>
      <c r="Q456" s="70" t="s">
        <v>285</v>
      </c>
      <c r="R456" s="70" t="s">
        <v>285</v>
      </c>
      <c r="S456" s="70"/>
      <c r="T456" s="70"/>
      <c r="U456" s="70"/>
      <c r="V456" s="70"/>
      <c r="W456" s="70"/>
      <c r="X456" s="70"/>
      <c r="Y456" s="70"/>
      <c r="Z456" s="70"/>
      <c r="AA456" s="92" t="s">
        <v>286</v>
      </c>
    </row>
    <row r="457" ht="14.25" hidden="1" customHeight="1" spans="1:27">
      <c r="A457" s="94"/>
      <c r="B457" s="69" t="s">
        <v>1948</v>
      </c>
      <c r="C457" s="69">
        <v>7</v>
      </c>
      <c r="D457" s="69" t="s">
        <v>301</v>
      </c>
      <c r="E457" s="69" t="s">
        <v>205</v>
      </c>
      <c r="F457" s="69" t="s">
        <v>353</v>
      </c>
      <c r="G457" s="69" t="s">
        <v>341</v>
      </c>
      <c r="H457" s="69" t="s">
        <v>225</v>
      </c>
      <c r="I457" s="69" t="s">
        <v>226</v>
      </c>
      <c r="J457" s="69" t="s">
        <v>227</v>
      </c>
      <c r="K457" s="69" t="s">
        <v>1949</v>
      </c>
      <c r="L457" s="69" t="s">
        <v>282</v>
      </c>
      <c r="M457" s="78" t="s">
        <v>1950</v>
      </c>
      <c r="N457" s="69" t="s">
        <v>1948</v>
      </c>
      <c r="O457" s="69" t="s">
        <v>1951</v>
      </c>
      <c r="P457" s="69" t="s">
        <v>285</v>
      </c>
      <c r="Q457" s="69" t="s">
        <v>285</v>
      </c>
      <c r="R457" s="69"/>
      <c r="S457" s="69"/>
      <c r="T457" s="69"/>
      <c r="U457" s="69"/>
      <c r="V457" s="69"/>
      <c r="W457" s="69"/>
      <c r="X457" s="69"/>
      <c r="Y457" s="69"/>
      <c r="Z457" s="69"/>
      <c r="AA457" s="92" t="s">
        <v>286</v>
      </c>
    </row>
    <row r="458" ht="14.25" hidden="1" customHeight="1" spans="1:27">
      <c r="A458" s="94"/>
      <c r="B458" s="70" t="s">
        <v>1952</v>
      </c>
      <c r="C458" s="70">
        <v>7</v>
      </c>
      <c r="D458" s="70" t="s">
        <v>306</v>
      </c>
      <c r="E458" s="70" t="s">
        <v>205</v>
      </c>
      <c r="F458" s="70" t="s">
        <v>279</v>
      </c>
      <c r="G458" s="70" t="s">
        <v>1914</v>
      </c>
      <c r="H458" s="70" t="s">
        <v>225</v>
      </c>
      <c r="I458" s="70" t="s">
        <v>226</v>
      </c>
      <c r="J458" s="70" t="s">
        <v>227</v>
      </c>
      <c r="K458" s="70" t="s">
        <v>1953</v>
      </c>
      <c r="L458" s="70" t="s">
        <v>312</v>
      </c>
      <c r="M458" s="84" t="s">
        <v>1954</v>
      </c>
      <c r="N458" s="70" t="s">
        <v>1952</v>
      </c>
      <c r="O458" s="70" t="s">
        <v>1955</v>
      </c>
      <c r="P458" s="70"/>
      <c r="Q458" s="70"/>
      <c r="R458" s="70" t="s">
        <v>285</v>
      </c>
      <c r="S458" s="70"/>
      <c r="T458" s="70"/>
      <c r="U458" s="70" t="s">
        <v>285</v>
      </c>
      <c r="V458" s="70"/>
      <c r="W458" s="70" t="s">
        <v>285</v>
      </c>
      <c r="X458" s="70"/>
      <c r="Y458" s="70"/>
      <c r="Z458" s="70"/>
      <c r="AA458" s="92" t="s">
        <v>286</v>
      </c>
    </row>
    <row r="459" ht="14.25" hidden="1" customHeight="1" spans="1:27">
      <c r="A459" s="94"/>
      <c r="B459" s="70" t="s">
        <v>1956</v>
      </c>
      <c r="C459" s="70">
        <v>7</v>
      </c>
      <c r="D459" s="70" t="s">
        <v>306</v>
      </c>
      <c r="E459" s="70" t="s">
        <v>205</v>
      </c>
      <c r="F459" s="70" t="s">
        <v>279</v>
      </c>
      <c r="G459" s="70" t="s">
        <v>341</v>
      </c>
      <c r="H459" s="70" t="s">
        <v>225</v>
      </c>
      <c r="I459" s="70" t="s">
        <v>226</v>
      </c>
      <c r="J459" s="70" t="s">
        <v>227</v>
      </c>
      <c r="K459" s="70" t="s">
        <v>1957</v>
      </c>
      <c r="L459" s="70" t="s">
        <v>758</v>
      </c>
      <c r="M459" s="79" t="s">
        <v>1958</v>
      </c>
      <c r="N459" s="70" t="s">
        <v>1956</v>
      </c>
      <c r="O459" s="70" t="s">
        <v>1959</v>
      </c>
      <c r="P459" s="70"/>
      <c r="Q459" s="70"/>
      <c r="R459" s="70"/>
      <c r="S459" s="70"/>
      <c r="T459" s="70"/>
      <c r="U459" s="70"/>
      <c r="V459" s="70"/>
      <c r="W459" s="70" t="s">
        <v>285</v>
      </c>
      <c r="X459" s="70"/>
      <c r="Y459" s="70"/>
      <c r="Z459" s="70"/>
      <c r="AA459" s="92" t="s">
        <v>286</v>
      </c>
    </row>
    <row r="460" ht="14.25" hidden="1" customHeight="1" spans="2:27">
      <c r="B460" s="73" t="s">
        <v>1960</v>
      </c>
      <c r="C460" s="73">
        <v>7</v>
      </c>
      <c r="D460" s="73" t="s">
        <v>378</v>
      </c>
      <c r="E460" s="73" t="s">
        <v>205</v>
      </c>
      <c r="F460" s="73" t="s">
        <v>1961</v>
      </c>
      <c r="G460" s="73" t="s">
        <v>341</v>
      </c>
      <c r="H460" s="73" t="s">
        <v>225</v>
      </c>
      <c r="I460" s="73" t="s">
        <v>226</v>
      </c>
      <c r="J460" s="73" t="s">
        <v>227</v>
      </c>
      <c r="K460" s="73" t="s">
        <v>1962</v>
      </c>
      <c r="L460" s="73" t="s">
        <v>758</v>
      </c>
      <c r="M460" s="91" t="s">
        <v>1963</v>
      </c>
      <c r="N460" s="73" t="s">
        <v>1960</v>
      </c>
      <c r="O460" s="73" t="s">
        <v>1964</v>
      </c>
      <c r="P460" s="73"/>
      <c r="Q460" s="73"/>
      <c r="R460" s="73"/>
      <c r="S460" s="73"/>
      <c r="T460" s="73"/>
      <c r="U460" s="73"/>
      <c r="V460" s="73"/>
      <c r="W460" s="73" t="s">
        <v>285</v>
      </c>
      <c r="X460" s="73"/>
      <c r="Y460" s="73"/>
      <c r="Z460" s="73"/>
      <c r="AA460" s="92" t="s">
        <v>286</v>
      </c>
    </row>
    <row r="461" ht="14.25" hidden="1" customHeight="1" spans="2:27">
      <c r="B461" s="67" t="s">
        <v>1965</v>
      </c>
      <c r="C461" s="67">
        <v>7</v>
      </c>
      <c r="D461" s="67" t="s">
        <v>288</v>
      </c>
      <c r="E461" s="67" t="s">
        <v>205</v>
      </c>
      <c r="F461" s="67" t="s">
        <v>360</v>
      </c>
      <c r="G461" s="67" t="s">
        <v>341</v>
      </c>
      <c r="H461" s="67" t="s">
        <v>225</v>
      </c>
      <c r="I461" s="67" t="s">
        <v>226</v>
      </c>
      <c r="J461" s="67" t="s">
        <v>227</v>
      </c>
      <c r="K461" s="67" t="s">
        <v>1966</v>
      </c>
      <c r="L461" s="67" t="s">
        <v>1139</v>
      </c>
      <c r="M461" s="90" t="s">
        <v>1967</v>
      </c>
      <c r="N461" s="67" t="s">
        <v>1965</v>
      </c>
      <c r="O461" s="67" t="s">
        <v>1968</v>
      </c>
      <c r="P461" s="67" t="s">
        <v>285</v>
      </c>
      <c r="Q461" s="67" t="s">
        <v>285</v>
      </c>
      <c r="R461" s="67"/>
      <c r="S461" s="67"/>
      <c r="T461" s="67"/>
      <c r="U461" s="67"/>
      <c r="V461" s="67"/>
      <c r="W461" s="67" t="s">
        <v>285</v>
      </c>
      <c r="X461" s="67"/>
      <c r="Y461" s="67"/>
      <c r="Z461" s="67"/>
      <c r="AA461" s="92" t="s">
        <v>286</v>
      </c>
    </row>
    <row r="462" ht="14.25" hidden="1" customHeight="1" spans="1:27">
      <c r="A462" s="94"/>
      <c r="B462" s="66" t="s">
        <v>1969</v>
      </c>
      <c r="C462" s="66">
        <v>7</v>
      </c>
      <c r="D462" s="66" t="s">
        <v>278</v>
      </c>
      <c r="E462" s="66" t="s">
        <v>205</v>
      </c>
      <c r="F462" s="66" t="s">
        <v>279</v>
      </c>
      <c r="G462" s="66" t="s">
        <v>386</v>
      </c>
      <c r="H462" s="66" t="s">
        <v>225</v>
      </c>
      <c r="I462" s="66" t="s">
        <v>281</v>
      </c>
      <c r="J462" s="66" t="s">
        <v>281</v>
      </c>
      <c r="K462" s="66" t="s">
        <v>281</v>
      </c>
      <c r="L462" s="66" t="s">
        <v>282</v>
      </c>
      <c r="M462" s="80" t="s">
        <v>1970</v>
      </c>
      <c r="N462" s="66" t="s">
        <v>1969</v>
      </c>
      <c r="O462" s="66" t="s">
        <v>1971</v>
      </c>
      <c r="P462" s="66" t="s">
        <v>285</v>
      </c>
      <c r="Q462" s="66"/>
      <c r="R462" s="66"/>
      <c r="S462" s="66"/>
      <c r="T462" s="66"/>
      <c r="U462" s="66" t="s">
        <v>285</v>
      </c>
      <c r="V462" s="66"/>
      <c r="W462" s="66" t="s">
        <v>285</v>
      </c>
      <c r="X462" s="66"/>
      <c r="Y462" s="66"/>
      <c r="Z462" s="66"/>
      <c r="AA462" s="92" t="s">
        <v>286</v>
      </c>
    </row>
    <row r="463" ht="14.25" hidden="1" customHeight="1" spans="1:27">
      <c r="A463" s="94"/>
      <c r="B463" s="66" t="s">
        <v>1972</v>
      </c>
      <c r="C463" s="66">
        <v>7</v>
      </c>
      <c r="D463" s="66" t="s">
        <v>278</v>
      </c>
      <c r="E463" s="66" t="s">
        <v>205</v>
      </c>
      <c r="F463" s="66" t="s">
        <v>353</v>
      </c>
      <c r="G463" s="66" t="s">
        <v>302</v>
      </c>
      <c r="H463" s="66" t="s">
        <v>225</v>
      </c>
      <c r="I463" s="66" t="s">
        <v>226</v>
      </c>
      <c r="J463" s="66" t="s">
        <v>227</v>
      </c>
      <c r="K463" s="66" t="s">
        <v>1973</v>
      </c>
      <c r="L463" s="66" t="s">
        <v>467</v>
      </c>
      <c r="M463" s="80" t="s">
        <v>1974</v>
      </c>
      <c r="N463" s="66" t="s">
        <v>1972</v>
      </c>
      <c r="O463" s="66" t="s">
        <v>1975</v>
      </c>
      <c r="P463" s="66"/>
      <c r="Q463" s="66" t="s">
        <v>285</v>
      </c>
      <c r="R463" s="66"/>
      <c r="S463" s="66"/>
      <c r="T463" s="66"/>
      <c r="U463" s="66"/>
      <c r="V463" s="66"/>
      <c r="W463" s="66"/>
      <c r="X463" s="66"/>
      <c r="Y463" s="66"/>
      <c r="Z463" s="66"/>
      <c r="AA463" s="92" t="s">
        <v>310</v>
      </c>
    </row>
    <row r="464" ht="14.25" hidden="1" customHeight="1" spans="1:27">
      <c r="A464" s="94"/>
      <c r="B464" s="69" t="s">
        <v>1976</v>
      </c>
      <c r="C464" s="69">
        <v>7</v>
      </c>
      <c r="D464" s="69" t="s">
        <v>301</v>
      </c>
      <c r="E464" s="69" t="s">
        <v>205</v>
      </c>
      <c r="F464" s="69" t="s">
        <v>279</v>
      </c>
      <c r="G464" s="69" t="s">
        <v>280</v>
      </c>
      <c r="H464" s="69" t="s">
        <v>225</v>
      </c>
      <c r="I464" s="69" t="s">
        <v>226</v>
      </c>
      <c r="J464" s="69" t="s">
        <v>227</v>
      </c>
      <c r="K464" s="69" t="s">
        <v>1977</v>
      </c>
      <c r="L464" s="69" t="s">
        <v>585</v>
      </c>
      <c r="M464" s="123" t="s">
        <v>1978</v>
      </c>
      <c r="N464" s="69" t="s">
        <v>1976</v>
      </c>
      <c r="O464" s="69" t="s">
        <v>1979</v>
      </c>
      <c r="P464" s="69"/>
      <c r="Q464" s="69"/>
      <c r="R464" s="69"/>
      <c r="S464" s="69"/>
      <c r="T464" s="69"/>
      <c r="U464" s="69"/>
      <c r="V464" s="69"/>
      <c r="W464" s="69"/>
      <c r="X464" s="69"/>
      <c r="Y464" s="69" t="s">
        <v>285</v>
      </c>
      <c r="Z464" s="69" t="s">
        <v>285</v>
      </c>
      <c r="AA464" s="92" t="s">
        <v>413</v>
      </c>
    </row>
    <row r="465" ht="14.25" hidden="1" customHeight="1" spans="1:27">
      <c r="A465" s="94"/>
      <c r="B465" s="68" t="s">
        <v>1980</v>
      </c>
      <c r="C465" s="68">
        <v>7</v>
      </c>
      <c r="D465" s="68" t="s">
        <v>294</v>
      </c>
      <c r="E465" s="68" t="s">
        <v>205</v>
      </c>
      <c r="F465" s="68" t="s">
        <v>279</v>
      </c>
      <c r="G465" s="68" t="s">
        <v>820</v>
      </c>
      <c r="H465" s="68" t="s">
        <v>225</v>
      </c>
      <c r="I465" s="68" t="s">
        <v>281</v>
      </c>
      <c r="J465" s="68" t="s">
        <v>227</v>
      </c>
      <c r="K465" s="68" t="s">
        <v>1981</v>
      </c>
      <c r="L465" s="68" t="s">
        <v>312</v>
      </c>
      <c r="M465" s="77" t="s">
        <v>1982</v>
      </c>
      <c r="N465" s="68" t="s">
        <v>1980</v>
      </c>
      <c r="O465" s="68" t="s">
        <v>1983</v>
      </c>
      <c r="P465" s="68"/>
      <c r="Q465" s="68"/>
      <c r="R465" s="68" t="s">
        <v>285</v>
      </c>
      <c r="S465" s="68"/>
      <c r="T465" s="68"/>
      <c r="U465" s="68" t="s">
        <v>285</v>
      </c>
      <c r="V465" s="68"/>
      <c r="W465" s="68" t="s">
        <v>285</v>
      </c>
      <c r="X465" s="68"/>
      <c r="Y465" s="68"/>
      <c r="Z465" s="68"/>
      <c r="AA465" s="92" t="s">
        <v>310</v>
      </c>
    </row>
    <row r="466" ht="14.25" hidden="1" customHeight="1" spans="2:27">
      <c r="B466" s="70" t="s">
        <v>1984</v>
      </c>
      <c r="C466" s="70">
        <v>7</v>
      </c>
      <c r="D466" s="70" t="s">
        <v>306</v>
      </c>
      <c r="E466" s="70" t="s">
        <v>205</v>
      </c>
      <c r="F466" s="70" t="s">
        <v>364</v>
      </c>
      <c r="G466" s="70" t="s">
        <v>289</v>
      </c>
      <c r="H466" s="70" t="s">
        <v>225</v>
      </c>
      <c r="I466" s="70" t="s">
        <v>226</v>
      </c>
      <c r="J466" s="70" t="s">
        <v>227</v>
      </c>
      <c r="K466" s="70" t="s">
        <v>1985</v>
      </c>
      <c r="L466" s="110" t="s">
        <v>312</v>
      </c>
      <c r="M466" s="97" t="s">
        <v>1986</v>
      </c>
      <c r="N466" s="70" t="s">
        <v>1984</v>
      </c>
      <c r="O466" s="70" t="s">
        <v>1987</v>
      </c>
      <c r="P466" s="70"/>
      <c r="Q466" s="70"/>
      <c r="R466" s="70" t="s">
        <v>285</v>
      </c>
      <c r="S466" s="70"/>
      <c r="T466" s="70"/>
      <c r="U466" s="70" t="s">
        <v>285</v>
      </c>
      <c r="V466" s="70"/>
      <c r="W466" s="70" t="s">
        <v>285</v>
      </c>
      <c r="X466" s="70"/>
      <c r="Y466" s="116"/>
      <c r="Z466" s="116"/>
      <c r="AA466" s="105" t="s">
        <v>1027</v>
      </c>
    </row>
    <row r="467" ht="14.25" hidden="1" customHeight="1" spans="1:27">
      <c r="A467" s="94"/>
      <c r="B467" s="69" t="s">
        <v>1988</v>
      </c>
      <c r="C467" s="69">
        <v>8</v>
      </c>
      <c r="D467" s="69" t="s">
        <v>301</v>
      </c>
      <c r="E467" s="69" t="s">
        <v>205</v>
      </c>
      <c r="F467" s="69" t="s">
        <v>279</v>
      </c>
      <c r="G467" s="69" t="s">
        <v>1122</v>
      </c>
      <c r="H467" s="69" t="s">
        <v>225</v>
      </c>
      <c r="I467" s="69" t="s">
        <v>226</v>
      </c>
      <c r="J467" s="69" t="s">
        <v>227</v>
      </c>
      <c r="K467" s="69" t="s">
        <v>1989</v>
      </c>
      <c r="L467" s="69" t="s">
        <v>282</v>
      </c>
      <c r="M467" s="78" t="s">
        <v>1990</v>
      </c>
      <c r="N467" s="69" t="s">
        <v>1988</v>
      </c>
      <c r="O467" s="69" t="s">
        <v>1991</v>
      </c>
      <c r="P467" s="69"/>
      <c r="Q467" s="69"/>
      <c r="R467" s="69"/>
      <c r="S467" s="69"/>
      <c r="T467" s="69"/>
      <c r="U467" s="69" t="s">
        <v>285</v>
      </c>
      <c r="V467" s="69"/>
      <c r="W467" s="69" t="s">
        <v>285</v>
      </c>
      <c r="X467" s="69"/>
      <c r="Y467" s="69"/>
      <c r="Z467" s="69"/>
      <c r="AA467" s="92" t="s">
        <v>310</v>
      </c>
    </row>
    <row r="468" ht="14.25" hidden="1" customHeight="1" spans="2:27">
      <c r="B468" s="70" t="s">
        <v>1992</v>
      </c>
      <c r="C468" s="70">
        <v>8</v>
      </c>
      <c r="D468" s="70" t="s">
        <v>306</v>
      </c>
      <c r="E468" s="70" t="s">
        <v>205</v>
      </c>
      <c r="F468" s="70" t="s">
        <v>279</v>
      </c>
      <c r="G468" s="70" t="s">
        <v>320</v>
      </c>
      <c r="H468" s="70" t="s">
        <v>225</v>
      </c>
      <c r="I468" s="70" t="s">
        <v>226</v>
      </c>
      <c r="J468" s="70" t="s">
        <v>281</v>
      </c>
      <c r="K468" s="70" t="s">
        <v>281</v>
      </c>
      <c r="L468" s="70" t="s">
        <v>1993</v>
      </c>
      <c r="M468" s="84" t="s">
        <v>1994</v>
      </c>
      <c r="N468" s="70" t="s">
        <v>1992</v>
      </c>
      <c r="O468" s="70" t="s">
        <v>1995</v>
      </c>
      <c r="P468" s="70"/>
      <c r="Q468" s="70"/>
      <c r="R468" s="70" t="s">
        <v>285</v>
      </c>
      <c r="S468" s="70"/>
      <c r="T468" s="70"/>
      <c r="U468" s="70"/>
      <c r="V468" s="70"/>
      <c r="W468" s="70"/>
      <c r="X468" s="70"/>
      <c r="Y468" s="70"/>
      <c r="Z468" s="70"/>
      <c r="AA468" s="92" t="s">
        <v>286</v>
      </c>
    </row>
    <row r="469" ht="14.25" hidden="1" customHeight="1" spans="2:27">
      <c r="B469" s="67" t="s">
        <v>1996</v>
      </c>
      <c r="C469" s="67">
        <v>8</v>
      </c>
      <c r="D469" s="67" t="s">
        <v>288</v>
      </c>
      <c r="E469" s="67" t="s">
        <v>205</v>
      </c>
      <c r="F469" s="67" t="s">
        <v>279</v>
      </c>
      <c r="G469" s="67" t="s">
        <v>1997</v>
      </c>
      <c r="H469" s="67" t="s">
        <v>225</v>
      </c>
      <c r="I469" s="67" t="s">
        <v>226</v>
      </c>
      <c r="J469" s="67" t="s">
        <v>227</v>
      </c>
      <c r="K469" s="67" t="s">
        <v>1998</v>
      </c>
      <c r="L469" s="67" t="s">
        <v>585</v>
      </c>
      <c r="M469" s="90" t="s">
        <v>1999</v>
      </c>
      <c r="N469" s="67" t="s">
        <v>1996</v>
      </c>
      <c r="O469" s="67" t="s">
        <v>2000</v>
      </c>
      <c r="P469" s="67"/>
      <c r="Q469" s="67" t="s">
        <v>285</v>
      </c>
      <c r="R469" s="67"/>
      <c r="S469" s="67"/>
      <c r="T469" s="67"/>
      <c r="U469" s="67"/>
      <c r="V469" s="67"/>
      <c r="W469" s="67" t="s">
        <v>285</v>
      </c>
      <c r="X469" s="67"/>
      <c r="Y469" s="67"/>
      <c r="Z469" s="67"/>
      <c r="AA469" s="92" t="s">
        <v>286</v>
      </c>
    </row>
    <row r="470" ht="14.25" hidden="1" customHeight="1" spans="1:27">
      <c r="A470" s="94"/>
      <c r="B470" s="71" t="s">
        <v>2001</v>
      </c>
      <c r="C470" s="71">
        <v>8</v>
      </c>
      <c r="D470" s="71" t="s">
        <v>329</v>
      </c>
      <c r="E470" s="71" t="s">
        <v>205</v>
      </c>
      <c r="F470" s="71" t="s">
        <v>353</v>
      </c>
      <c r="G470" s="71" t="s">
        <v>280</v>
      </c>
      <c r="H470" s="71" t="s">
        <v>225</v>
      </c>
      <c r="I470" s="71" t="s">
        <v>226</v>
      </c>
      <c r="J470" s="71" t="s">
        <v>227</v>
      </c>
      <c r="K470" s="71" t="s">
        <v>2002</v>
      </c>
      <c r="L470" s="71" t="s">
        <v>2003</v>
      </c>
      <c r="M470" s="89" t="s">
        <v>2004</v>
      </c>
      <c r="N470" s="71" t="s">
        <v>2001</v>
      </c>
      <c r="O470" s="71" t="s">
        <v>2005</v>
      </c>
      <c r="P470" s="71"/>
      <c r="Q470" s="71"/>
      <c r="R470" s="71" t="s">
        <v>285</v>
      </c>
      <c r="S470" s="71"/>
      <c r="T470" s="71"/>
      <c r="U470" s="71"/>
      <c r="V470" s="71"/>
      <c r="W470" s="71" t="s">
        <v>285</v>
      </c>
      <c r="X470" s="71"/>
      <c r="Y470" s="71"/>
      <c r="Z470" s="71"/>
      <c r="AA470" s="92" t="s">
        <v>286</v>
      </c>
    </row>
    <row r="471" ht="14.25" hidden="1" customHeight="1" spans="1:27">
      <c r="A471" s="94"/>
      <c r="B471" s="69" t="s">
        <v>2006</v>
      </c>
      <c r="C471" s="69">
        <v>8</v>
      </c>
      <c r="D471" s="69" t="s">
        <v>301</v>
      </c>
      <c r="E471" s="69" t="s">
        <v>205</v>
      </c>
      <c r="F471" s="69" t="s">
        <v>353</v>
      </c>
      <c r="G471" s="69" t="s">
        <v>341</v>
      </c>
      <c r="H471" s="69" t="s">
        <v>225</v>
      </c>
      <c r="I471" s="69" t="s">
        <v>226</v>
      </c>
      <c r="J471" s="69" t="s">
        <v>227</v>
      </c>
      <c r="K471" s="69" t="s">
        <v>2007</v>
      </c>
      <c r="L471" s="69" t="s">
        <v>282</v>
      </c>
      <c r="M471" s="78" t="s">
        <v>2008</v>
      </c>
      <c r="N471" s="69" t="s">
        <v>2006</v>
      </c>
      <c r="O471" s="69" t="s">
        <v>2009</v>
      </c>
      <c r="P471" s="69"/>
      <c r="Q471" s="69"/>
      <c r="R471" s="69"/>
      <c r="S471" s="69"/>
      <c r="T471" s="69"/>
      <c r="U471" s="69"/>
      <c r="V471" s="69"/>
      <c r="W471" s="69" t="s">
        <v>285</v>
      </c>
      <c r="X471" s="69"/>
      <c r="Y471" s="69"/>
      <c r="Z471" s="69"/>
      <c r="AA471" s="92" t="s">
        <v>286</v>
      </c>
    </row>
    <row r="472" ht="14.25" hidden="1" customHeight="1" spans="1:27">
      <c r="A472" s="94"/>
      <c r="B472" s="70" t="s">
        <v>2010</v>
      </c>
      <c r="C472" s="70">
        <v>8</v>
      </c>
      <c r="D472" s="70" t="s">
        <v>306</v>
      </c>
      <c r="E472" s="70" t="s">
        <v>205</v>
      </c>
      <c r="F472" s="70" t="s">
        <v>397</v>
      </c>
      <c r="G472" s="70" t="s">
        <v>2011</v>
      </c>
      <c r="H472" s="70" t="s">
        <v>225</v>
      </c>
      <c r="I472" s="70" t="s">
        <v>226</v>
      </c>
      <c r="J472" s="70" t="s">
        <v>227</v>
      </c>
      <c r="K472" s="70" t="s">
        <v>2012</v>
      </c>
      <c r="L472" s="70" t="s">
        <v>988</v>
      </c>
      <c r="M472" s="84" t="s">
        <v>2013</v>
      </c>
      <c r="N472" s="70" t="s">
        <v>2010</v>
      </c>
      <c r="O472" s="70" t="s">
        <v>2014</v>
      </c>
      <c r="P472" s="70"/>
      <c r="Q472" s="70" t="s">
        <v>285</v>
      </c>
      <c r="R472" s="70" t="s">
        <v>285</v>
      </c>
      <c r="S472" s="70"/>
      <c r="T472" s="70"/>
      <c r="U472" s="70"/>
      <c r="V472" s="70"/>
      <c r="W472" s="70" t="s">
        <v>285</v>
      </c>
      <c r="X472" s="70"/>
      <c r="Y472" s="70"/>
      <c r="Z472" s="70"/>
      <c r="AA472" s="92" t="s">
        <v>286</v>
      </c>
    </row>
    <row r="473" ht="14.25" hidden="1" customHeight="1" spans="2:27">
      <c r="B473" s="68" t="s">
        <v>2015</v>
      </c>
      <c r="C473" s="68">
        <v>8</v>
      </c>
      <c r="D473" s="68" t="s">
        <v>294</v>
      </c>
      <c r="E473" s="68" t="s">
        <v>205</v>
      </c>
      <c r="F473" s="68" t="s">
        <v>279</v>
      </c>
      <c r="G473" s="68" t="s">
        <v>1122</v>
      </c>
      <c r="H473" s="68" t="s">
        <v>225</v>
      </c>
      <c r="I473" s="68" t="s">
        <v>226</v>
      </c>
      <c r="J473" s="68" t="s">
        <v>227</v>
      </c>
      <c r="K473" s="68" t="s">
        <v>2016</v>
      </c>
      <c r="L473" s="68" t="s">
        <v>312</v>
      </c>
      <c r="M473" s="98" t="s">
        <v>2017</v>
      </c>
      <c r="N473" s="68" t="s">
        <v>2015</v>
      </c>
      <c r="O473" s="68" t="s">
        <v>2018</v>
      </c>
      <c r="P473" s="68"/>
      <c r="Q473" s="68"/>
      <c r="R473" s="68"/>
      <c r="S473" s="68"/>
      <c r="T473" s="68"/>
      <c r="U473" s="68"/>
      <c r="V473" s="68"/>
      <c r="W473" s="68"/>
      <c r="X473" s="68"/>
      <c r="Y473" s="68"/>
      <c r="Z473" s="68" t="s">
        <v>285</v>
      </c>
      <c r="AA473" s="92" t="s">
        <v>413</v>
      </c>
    </row>
    <row r="474" ht="14.25" customHeight="1" spans="1:27">
      <c r="A474" s="94"/>
      <c r="B474" s="66" t="s">
        <v>2019</v>
      </c>
      <c r="C474" s="66">
        <v>8</v>
      </c>
      <c r="D474" s="66" t="s">
        <v>278</v>
      </c>
      <c r="E474" s="66" t="s">
        <v>205</v>
      </c>
      <c r="F474" s="66" t="s">
        <v>279</v>
      </c>
      <c r="G474" s="66" t="s">
        <v>280</v>
      </c>
      <c r="H474" s="66" t="s">
        <v>281</v>
      </c>
      <c r="I474" s="66" t="s">
        <v>226</v>
      </c>
      <c r="J474" s="66" t="s">
        <v>281</v>
      </c>
      <c r="K474" s="66" t="s">
        <v>281</v>
      </c>
      <c r="L474" s="66" t="s">
        <v>353</v>
      </c>
      <c r="M474" s="80" t="s">
        <v>2020</v>
      </c>
      <c r="N474" s="66" t="s">
        <v>2019</v>
      </c>
      <c r="O474" s="66" t="s">
        <v>2021</v>
      </c>
      <c r="P474" s="66"/>
      <c r="Q474" s="66"/>
      <c r="R474" s="66"/>
      <c r="S474" s="66"/>
      <c r="T474" s="66"/>
      <c r="U474" s="66"/>
      <c r="V474" s="66" t="s">
        <v>285</v>
      </c>
      <c r="W474" s="66" t="s">
        <v>285</v>
      </c>
      <c r="X474" s="66"/>
      <c r="Y474" s="66"/>
      <c r="Z474" s="66"/>
      <c r="AA474" s="92" t="s">
        <v>286</v>
      </c>
    </row>
    <row r="475" ht="14.25" customHeight="1" spans="1:27">
      <c r="A475" s="94"/>
      <c r="B475" s="71" t="s">
        <v>2022</v>
      </c>
      <c r="C475" s="71">
        <v>8</v>
      </c>
      <c r="D475" s="71" t="s">
        <v>329</v>
      </c>
      <c r="E475" s="71" t="s">
        <v>205</v>
      </c>
      <c r="F475" s="71" t="s">
        <v>279</v>
      </c>
      <c r="G475" s="71" t="s">
        <v>280</v>
      </c>
      <c r="H475" s="71" t="s">
        <v>225</v>
      </c>
      <c r="I475" s="71" t="s">
        <v>226</v>
      </c>
      <c r="J475" s="71" t="s">
        <v>281</v>
      </c>
      <c r="K475" s="71" t="s">
        <v>281</v>
      </c>
      <c r="L475" s="71" t="s">
        <v>585</v>
      </c>
      <c r="M475" s="89" t="s">
        <v>2023</v>
      </c>
      <c r="N475" s="71" t="s">
        <v>2022</v>
      </c>
      <c r="O475" s="71" t="s">
        <v>2024</v>
      </c>
      <c r="P475" s="71" t="s">
        <v>285</v>
      </c>
      <c r="Q475" s="71"/>
      <c r="R475" s="71"/>
      <c r="S475" s="71"/>
      <c r="T475" s="71"/>
      <c r="U475" s="71" t="s">
        <v>285</v>
      </c>
      <c r="V475" s="71" t="s">
        <v>285</v>
      </c>
      <c r="W475" s="71" t="s">
        <v>285</v>
      </c>
      <c r="X475" s="71"/>
      <c r="Y475" s="71"/>
      <c r="Z475" s="71"/>
      <c r="AA475" s="92" t="s">
        <v>286</v>
      </c>
    </row>
    <row r="476" ht="14.25" hidden="1" customHeight="1" spans="1:27">
      <c r="A476" s="94"/>
      <c r="B476" s="68" t="s">
        <v>2025</v>
      </c>
      <c r="C476" s="68">
        <v>8</v>
      </c>
      <c r="D476" s="68" t="s">
        <v>294</v>
      </c>
      <c r="E476" s="68" t="s">
        <v>205</v>
      </c>
      <c r="F476" s="68" t="s">
        <v>279</v>
      </c>
      <c r="G476" s="68" t="s">
        <v>1353</v>
      </c>
      <c r="H476" s="68" t="s">
        <v>225</v>
      </c>
      <c r="I476" s="68" t="s">
        <v>226</v>
      </c>
      <c r="J476" s="68" t="s">
        <v>227</v>
      </c>
      <c r="K476" s="68" t="s">
        <v>2026</v>
      </c>
      <c r="L476" s="68" t="s">
        <v>312</v>
      </c>
      <c r="M476" s="77" t="s">
        <v>2027</v>
      </c>
      <c r="N476" s="68" t="s">
        <v>2025</v>
      </c>
      <c r="O476" s="68" t="s">
        <v>2028</v>
      </c>
      <c r="P476" s="68"/>
      <c r="Q476" s="68" t="s">
        <v>285</v>
      </c>
      <c r="R476" s="68" t="s">
        <v>285</v>
      </c>
      <c r="S476" s="68"/>
      <c r="T476" s="68"/>
      <c r="U476" s="68" t="s">
        <v>285</v>
      </c>
      <c r="V476" s="68"/>
      <c r="W476" s="68"/>
      <c r="X476" s="68"/>
      <c r="Y476" s="68"/>
      <c r="Z476" s="68"/>
      <c r="AA476" s="92" t="s">
        <v>286</v>
      </c>
    </row>
    <row r="477" ht="14.25" customHeight="1" spans="1:27">
      <c r="A477" s="94"/>
      <c r="B477" s="71" t="s">
        <v>2029</v>
      </c>
      <c r="C477" s="71">
        <v>8</v>
      </c>
      <c r="D477" s="71" t="s">
        <v>329</v>
      </c>
      <c r="E477" s="71" t="s">
        <v>205</v>
      </c>
      <c r="F477" s="71" t="s">
        <v>279</v>
      </c>
      <c r="G477" s="71" t="s">
        <v>1122</v>
      </c>
      <c r="H477" s="71" t="s">
        <v>225</v>
      </c>
      <c r="I477" s="71" t="s">
        <v>226</v>
      </c>
      <c r="J477" s="71" t="s">
        <v>227</v>
      </c>
      <c r="K477" s="71" t="s">
        <v>2030</v>
      </c>
      <c r="L477" s="71" t="s">
        <v>282</v>
      </c>
      <c r="M477" s="89" t="s">
        <v>2031</v>
      </c>
      <c r="N477" s="71" t="s">
        <v>2029</v>
      </c>
      <c r="O477" s="71" t="s">
        <v>2032</v>
      </c>
      <c r="P477" s="71" t="s">
        <v>285</v>
      </c>
      <c r="Q477" s="71"/>
      <c r="R477" s="71" t="s">
        <v>285</v>
      </c>
      <c r="S477" s="71"/>
      <c r="T477" s="71"/>
      <c r="U477" s="71"/>
      <c r="V477" s="71" t="s">
        <v>285</v>
      </c>
      <c r="W477" s="71" t="s">
        <v>285</v>
      </c>
      <c r="X477" s="71"/>
      <c r="Y477" s="71"/>
      <c r="Z477" s="71"/>
      <c r="AA477" s="92" t="s">
        <v>286</v>
      </c>
    </row>
    <row r="478" ht="14.25" customHeight="1" spans="1:27">
      <c r="A478" s="94"/>
      <c r="B478" s="70" t="s">
        <v>2033</v>
      </c>
      <c r="C478" s="70">
        <v>8</v>
      </c>
      <c r="D478" s="70" t="s">
        <v>306</v>
      </c>
      <c r="E478" s="70" t="s">
        <v>205</v>
      </c>
      <c r="F478" s="70" t="s">
        <v>279</v>
      </c>
      <c r="G478" s="70" t="s">
        <v>289</v>
      </c>
      <c r="H478" s="70" t="s">
        <v>225</v>
      </c>
      <c r="I478" s="70" t="s">
        <v>281</v>
      </c>
      <c r="J478" s="70" t="s">
        <v>281</v>
      </c>
      <c r="K478" s="70" t="s">
        <v>281</v>
      </c>
      <c r="L478" s="70" t="s">
        <v>353</v>
      </c>
      <c r="M478" s="79" t="s">
        <v>2034</v>
      </c>
      <c r="N478" s="70" t="s">
        <v>2033</v>
      </c>
      <c r="O478" s="70" t="s">
        <v>2035</v>
      </c>
      <c r="P478" s="70" t="s">
        <v>285</v>
      </c>
      <c r="Q478" s="70"/>
      <c r="R478" s="70"/>
      <c r="S478" s="70"/>
      <c r="T478" s="70"/>
      <c r="U478" s="70"/>
      <c r="V478" s="70" t="s">
        <v>285</v>
      </c>
      <c r="W478" s="70"/>
      <c r="X478" s="70"/>
      <c r="Y478" s="70"/>
      <c r="Z478" s="70"/>
      <c r="AA478" s="92" t="s">
        <v>286</v>
      </c>
    </row>
    <row r="479" ht="14.25" hidden="1" customHeight="1" spans="2:27">
      <c r="B479" s="67" t="s">
        <v>2036</v>
      </c>
      <c r="C479" s="67">
        <v>8</v>
      </c>
      <c r="D479" s="67" t="s">
        <v>288</v>
      </c>
      <c r="E479" s="67" t="s">
        <v>205</v>
      </c>
      <c r="F479" s="67" t="s">
        <v>279</v>
      </c>
      <c r="G479" s="67" t="s">
        <v>289</v>
      </c>
      <c r="H479" s="67" t="s">
        <v>225</v>
      </c>
      <c r="I479" s="67" t="s">
        <v>226</v>
      </c>
      <c r="J479" s="67" t="s">
        <v>227</v>
      </c>
      <c r="K479" s="67" t="s">
        <v>2037</v>
      </c>
      <c r="L479" s="67" t="s">
        <v>312</v>
      </c>
      <c r="M479" s="76" t="s">
        <v>2038</v>
      </c>
      <c r="N479" s="67" t="s">
        <v>2036</v>
      </c>
      <c r="O479" s="67" t="s">
        <v>2039</v>
      </c>
      <c r="P479" s="67"/>
      <c r="Q479" s="67" t="s">
        <v>285</v>
      </c>
      <c r="R479" s="67"/>
      <c r="S479" s="67"/>
      <c r="T479" s="67"/>
      <c r="U479" s="67"/>
      <c r="V479" s="67"/>
      <c r="W479" s="67"/>
      <c r="X479" s="67"/>
      <c r="Y479" s="67"/>
      <c r="Z479" s="67"/>
      <c r="AA479" s="92" t="s">
        <v>286</v>
      </c>
    </row>
    <row r="480" ht="14.25" hidden="1" customHeight="1" spans="1:27">
      <c r="A480" s="94"/>
      <c r="B480" s="73" t="s">
        <v>2040</v>
      </c>
      <c r="C480" s="73">
        <v>8</v>
      </c>
      <c r="D480" s="73" t="s">
        <v>378</v>
      </c>
      <c r="E480" s="73" t="s">
        <v>205</v>
      </c>
      <c r="F480" s="73" t="s">
        <v>279</v>
      </c>
      <c r="G480" s="73" t="s">
        <v>302</v>
      </c>
      <c r="H480" s="73" t="s">
        <v>281</v>
      </c>
      <c r="I480" s="73" t="s">
        <v>226</v>
      </c>
      <c r="J480" s="73" t="s">
        <v>281</v>
      </c>
      <c r="K480" s="73" t="s">
        <v>281</v>
      </c>
      <c r="L480" s="73" t="s">
        <v>312</v>
      </c>
      <c r="M480" s="91" t="s">
        <v>2041</v>
      </c>
      <c r="N480" s="73" t="s">
        <v>2040</v>
      </c>
      <c r="O480" s="73" t="s">
        <v>2042</v>
      </c>
      <c r="P480" s="73"/>
      <c r="Q480" s="73"/>
      <c r="R480" s="73"/>
      <c r="S480" s="73"/>
      <c r="T480" s="73"/>
      <c r="U480" s="73"/>
      <c r="V480" s="73"/>
      <c r="W480" s="73" t="s">
        <v>285</v>
      </c>
      <c r="X480" s="73"/>
      <c r="Y480" s="73"/>
      <c r="Z480" s="73"/>
      <c r="AA480" s="92" t="s">
        <v>310</v>
      </c>
    </row>
    <row r="481" ht="14.25" hidden="1" customHeight="1" spans="1:27">
      <c r="A481" s="94"/>
      <c r="B481" s="66" t="s">
        <v>2043</v>
      </c>
      <c r="C481" s="66">
        <v>8</v>
      </c>
      <c r="D481" s="66" t="s">
        <v>278</v>
      </c>
      <c r="E481" s="66" t="s">
        <v>205</v>
      </c>
      <c r="F481" s="66" t="s">
        <v>279</v>
      </c>
      <c r="G481" s="66" t="s">
        <v>1122</v>
      </c>
      <c r="H481" s="66" t="s">
        <v>225</v>
      </c>
      <c r="I481" s="66" t="s">
        <v>226</v>
      </c>
      <c r="J481" s="66" t="s">
        <v>281</v>
      </c>
      <c r="K481" s="66" t="s">
        <v>281</v>
      </c>
      <c r="L481" s="66" t="s">
        <v>312</v>
      </c>
      <c r="M481" s="75" t="s">
        <v>2044</v>
      </c>
      <c r="N481" s="66" t="s">
        <v>2043</v>
      </c>
      <c r="O481" s="66" t="s">
        <v>2045</v>
      </c>
      <c r="P481" s="66"/>
      <c r="Q481" s="66"/>
      <c r="R481" s="66"/>
      <c r="S481" s="66"/>
      <c r="T481" s="66"/>
      <c r="U481" s="66" t="s">
        <v>285</v>
      </c>
      <c r="V481" s="66"/>
      <c r="W481" s="66" t="s">
        <v>285</v>
      </c>
      <c r="X481" s="66"/>
      <c r="Y481" s="66"/>
      <c r="Z481" s="66"/>
      <c r="AA481" s="92" t="s">
        <v>286</v>
      </c>
    </row>
    <row r="482" ht="14.25" hidden="1" customHeight="1" spans="2:27">
      <c r="B482" s="68" t="s">
        <v>2046</v>
      </c>
      <c r="C482" s="68">
        <v>8</v>
      </c>
      <c r="D482" s="68" t="s">
        <v>294</v>
      </c>
      <c r="E482" s="68" t="s">
        <v>205</v>
      </c>
      <c r="F482" s="68" t="s">
        <v>279</v>
      </c>
      <c r="G482" s="68" t="s">
        <v>1122</v>
      </c>
      <c r="H482" s="68" t="s">
        <v>225</v>
      </c>
      <c r="I482" s="68" t="s">
        <v>281</v>
      </c>
      <c r="J482" s="68" t="s">
        <v>227</v>
      </c>
      <c r="K482" s="68" t="s">
        <v>2047</v>
      </c>
      <c r="L482" s="68" t="s">
        <v>484</v>
      </c>
      <c r="M482" s="77" t="s">
        <v>2048</v>
      </c>
      <c r="N482" s="68" t="s">
        <v>2046</v>
      </c>
      <c r="O482" s="68" t="s">
        <v>2049</v>
      </c>
      <c r="P482" s="68"/>
      <c r="Q482" s="68"/>
      <c r="R482" s="68"/>
      <c r="S482" s="68"/>
      <c r="T482" s="68"/>
      <c r="U482" s="68"/>
      <c r="V482" s="68" t="s">
        <v>285</v>
      </c>
      <c r="W482" s="68" t="s">
        <v>285</v>
      </c>
      <c r="X482" s="68"/>
      <c r="Y482" s="68"/>
      <c r="Z482" s="68"/>
      <c r="AA482" s="92" t="s">
        <v>310</v>
      </c>
    </row>
    <row r="483" ht="14.25" hidden="1" customHeight="1" spans="1:27">
      <c r="A483" s="94"/>
      <c r="B483" s="66" t="s">
        <v>2050</v>
      </c>
      <c r="C483" s="66">
        <v>8</v>
      </c>
      <c r="D483" s="66" t="s">
        <v>278</v>
      </c>
      <c r="E483" s="66" t="s">
        <v>205</v>
      </c>
      <c r="F483" s="66" t="s">
        <v>279</v>
      </c>
      <c r="G483" s="66" t="s">
        <v>280</v>
      </c>
      <c r="H483" s="66" t="s">
        <v>225</v>
      </c>
      <c r="I483" s="66" t="s">
        <v>226</v>
      </c>
      <c r="J483" s="66" t="s">
        <v>281</v>
      </c>
      <c r="K483" s="66" t="s">
        <v>281</v>
      </c>
      <c r="L483" s="66" t="s">
        <v>484</v>
      </c>
      <c r="M483" s="80" t="s">
        <v>2051</v>
      </c>
      <c r="N483" s="66" t="s">
        <v>2050</v>
      </c>
      <c r="O483" s="66" t="s">
        <v>2052</v>
      </c>
      <c r="P483" s="66"/>
      <c r="Q483" s="66"/>
      <c r="R483" s="66"/>
      <c r="S483" s="66"/>
      <c r="T483" s="66"/>
      <c r="U483" s="66"/>
      <c r="V483" s="66"/>
      <c r="W483" s="66" t="s">
        <v>285</v>
      </c>
      <c r="X483" s="66"/>
      <c r="Y483" s="66"/>
      <c r="Z483" s="66"/>
      <c r="AA483" s="92" t="s">
        <v>286</v>
      </c>
    </row>
    <row r="484" ht="14.25" hidden="1" customHeight="1" spans="1:27">
      <c r="A484" s="94"/>
      <c r="B484" s="66" t="s">
        <v>2053</v>
      </c>
      <c r="C484" s="66">
        <v>8</v>
      </c>
      <c r="D484" s="66" t="s">
        <v>278</v>
      </c>
      <c r="E484" s="66" t="s">
        <v>205</v>
      </c>
      <c r="F484" s="66" t="s">
        <v>360</v>
      </c>
      <c r="G484" s="66" t="s">
        <v>1075</v>
      </c>
      <c r="H484" s="66" t="s">
        <v>225</v>
      </c>
      <c r="I484" s="66" t="s">
        <v>226</v>
      </c>
      <c r="J484" s="66" t="s">
        <v>227</v>
      </c>
      <c r="K484" s="66" t="s">
        <v>2054</v>
      </c>
      <c r="L484" s="66" t="s">
        <v>282</v>
      </c>
      <c r="M484" s="80" t="s">
        <v>2055</v>
      </c>
      <c r="N484" s="66" t="s">
        <v>2053</v>
      </c>
      <c r="O484" s="66" t="s">
        <v>2056</v>
      </c>
      <c r="P484" s="66"/>
      <c r="Q484" s="66"/>
      <c r="R484" s="66"/>
      <c r="S484" s="66"/>
      <c r="T484" s="66"/>
      <c r="U484" s="66"/>
      <c r="V484" s="66"/>
      <c r="W484" s="66" t="s">
        <v>285</v>
      </c>
      <c r="X484" s="66"/>
      <c r="Y484" s="66"/>
      <c r="Z484" s="66"/>
      <c r="AA484" s="92" t="s">
        <v>310</v>
      </c>
    </row>
    <row r="485" ht="14.25" hidden="1" customHeight="1" spans="2:27">
      <c r="B485" s="67" t="s">
        <v>2057</v>
      </c>
      <c r="C485" s="67">
        <v>8</v>
      </c>
      <c r="D485" s="67" t="s">
        <v>288</v>
      </c>
      <c r="E485" s="67" t="s">
        <v>205</v>
      </c>
      <c r="F485" s="67" t="s">
        <v>279</v>
      </c>
      <c r="G485" s="67" t="s">
        <v>341</v>
      </c>
      <c r="H485" s="67" t="s">
        <v>225</v>
      </c>
      <c r="I485" s="67" t="s">
        <v>226</v>
      </c>
      <c r="J485" s="67" t="s">
        <v>281</v>
      </c>
      <c r="K485" s="67" t="s">
        <v>281</v>
      </c>
      <c r="L485" s="67" t="s">
        <v>467</v>
      </c>
      <c r="M485" s="76" t="s">
        <v>2058</v>
      </c>
      <c r="N485" s="67" t="s">
        <v>2057</v>
      </c>
      <c r="O485" s="67" t="s">
        <v>2059</v>
      </c>
      <c r="P485" s="67" t="s">
        <v>285</v>
      </c>
      <c r="Q485" s="67"/>
      <c r="R485" s="67"/>
      <c r="S485" s="67"/>
      <c r="T485" s="67"/>
      <c r="U485" s="67"/>
      <c r="V485" s="67"/>
      <c r="W485" s="67" t="s">
        <v>285</v>
      </c>
      <c r="X485" s="67"/>
      <c r="Y485" s="67"/>
      <c r="Z485" s="67"/>
      <c r="AA485" s="92" t="s">
        <v>286</v>
      </c>
    </row>
    <row r="486" ht="14.25" customHeight="1" spans="1:27">
      <c r="A486" s="94"/>
      <c r="B486" s="71" t="s">
        <v>2060</v>
      </c>
      <c r="C486" s="71">
        <v>8</v>
      </c>
      <c r="D486" s="71" t="s">
        <v>329</v>
      </c>
      <c r="E486" s="71" t="s">
        <v>205</v>
      </c>
      <c r="F486" s="71" t="s">
        <v>279</v>
      </c>
      <c r="G486" s="71" t="s">
        <v>280</v>
      </c>
      <c r="H486" s="71" t="s">
        <v>225</v>
      </c>
      <c r="I486" s="71" t="s">
        <v>281</v>
      </c>
      <c r="J486" s="71" t="s">
        <v>281</v>
      </c>
      <c r="K486" s="71" t="s">
        <v>281</v>
      </c>
      <c r="L486" s="71" t="s">
        <v>282</v>
      </c>
      <c r="M486" s="89" t="s">
        <v>2061</v>
      </c>
      <c r="N486" s="71" t="s">
        <v>2060</v>
      </c>
      <c r="O486" s="71" t="s">
        <v>2062</v>
      </c>
      <c r="P486" s="71" t="s">
        <v>285</v>
      </c>
      <c r="Q486" s="71"/>
      <c r="R486" s="71"/>
      <c r="S486" s="71"/>
      <c r="T486" s="71"/>
      <c r="U486" s="71" t="s">
        <v>285</v>
      </c>
      <c r="V486" s="71" t="s">
        <v>285</v>
      </c>
      <c r="W486" s="71" t="s">
        <v>285</v>
      </c>
      <c r="X486" s="71"/>
      <c r="Y486" s="71"/>
      <c r="Z486" s="71"/>
      <c r="AA486" s="92" t="s">
        <v>286</v>
      </c>
    </row>
    <row r="487" ht="14.25" hidden="1" customHeight="1" spans="2:27">
      <c r="B487" s="66" t="s">
        <v>2063</v>
      </c>
      <c r="C487" s="66">
        <v>8</v>
      </c>
      <c r="D487" s="66" t="s">
        <v>278</v>
      </c>
      <c r="E487" s="66" t="s">
        <v>205</v>
      </c>
      <c r="F487" s="66" t="s">
        <v>279</v>
      </c>
      <c r="G487" s="66" t="s">
        <v>280</v>
      </c>
      <c r="H487" s="66" t="s">
        <v>225</v>
      </c>
      <c r="I487" s="66" t="s">
        <v>226</v>
      </c>
      <c r="J487" s="66" t="s">
        <v>227</v>
      </c>
      <c r="K487" s="66" t="s">
        <v>2064</v>
      </c>
      <c r="L487" s="66" t="s">
        <v>312</v>
      </c>
      <c r="M487" s="107" t="s">
        <v>2065</v>
      </c>
      <c r="N487" s="66" t="s">
        <v>2063</v>
      </c>
      <c r="O487" s="66" t="s">
        <v>2066</v>
      </c>
      <c r="P487" s="66"/>
      <c r="Q487" s="66"/>
      <c r="R487" s="66"/>
      <c r="S487" s="66"/>
      <c r="T487" s="66"/>
      <c r="U487" s="66"/>
      <c r="V487" s="66"/>
      <c r="W487" s="66"/>
      <c r="X487" s="66"/>
      <c r="Y487" s="66" t="s">
        <v>285</v>
      </c>
      <c r="Z487" s="66"/>
      <c r="AA487" s="92" t="s">
        <v>413</v>
      </c>
    </row>
    <row r="488" ht="14.25" hidden="1" customHeight="1" spans="1:27">
      <c r="A488" s="94"/>
      <c r="B488" s="68" t="s">
        <v>2067</v>
      </c>
      <c r="C488" s="68">
        <v>8</v>
      </c>
      <c r="D488" s="68" t="s">
        <v>294</v>
      </c>
      <c r="E488" s="68" t="s">
        <v>205</v>
      </c>
      <c r="F488" s="68" t="s">
        <v>279</v>
      </c>
      <c r="G488" s="68" t="s">
        <v>1122</v>
      </c>
      <c r="H488" s="68" t="s">
        <v>225</v>
      </c>
      <c r="I488" s="68" t="s">
        <v>226</v>
      </c>
      <c r="J488" s="68" t="s">
        <v>227</v>
      </c>
      <c r="K488" s="68" t="s">
        <v>2068</v>
      </c>
      <c r="L488" s="68" t="s">
        <v>282</v>
      </c>
      <c r="M488" s="77" t="s">
        <v>2069</v>
      </c>
      <c r="N488" s="68" t="s">
        <v>2067</v>
      </c>
      <c r="O488" s="68" t="s">
        <v>2070</v>
      </c>
      <c r="P488" s="68"/>
      <c r="Q488" s="68"/>
      <c r="R488" s="68" t="s">
        <v>285</v>
      </c>
      <c r="S488" s="68"/>
      <c r="T488" s="68"/>
      <c r="U488" s="68" t="s">
        <v>285</v>
      </c>
      <c r="V488" s="68"/>
      <c r="W488" s="68" t="s">
        <v>285</v>
      </c>
      <c r="X488" s="68"/>
      <c r="Y488" s="68"/>
      <c r="Z488" s="68"/>
      <c r="AA488" s="92" t="s">
        <v>286</v>
      </c>
    </row>
    <row r="489" ht="14.25" hidden="1" customHeight="1" spans="1:27">
      <c r="A489" s="94"/>
      <c r="B489" s="68" t="s">
        <v>2071</v>
      </c>
      <c r="C489" s="68">
        <v>8</v>
      </c>
      <c r="D489" s="68" t="s">
        <v>294</v>
      </c>
      <c r="E489" s="68" t="s">
        <v>205</v>
      </c>
      <c r="F489" s="68" t="s">
        <v>279</v>
      </c>
      <c r="G489" s="68" t="s">
        <v>1215</v>
      </c>
      <c r="H489" s="68" t="s">
        <v>225</v>
      </c>
      <c r="I489" s="68" t="s">
        <v>226</v>
      </c>
      <c r="J489" s="68" t="s">
        <v>227</v>
      </c>
      <c r="K489" s="68" t="s">
        <v>2072</v>
      </c>
      <c r="L489" s="68" t="s">
        <v>467</v>
      </c>
      <c r="M489" s="77" t="s">
        <v>2073</v>
      </c>
      <c r="N489" s="68" t="s">
        <v>2071</v>
      </c>
      <c r="O489" s="68" t="s">
        <v>2074</v>
      </c>
      <c r="P489" s="68"/>
      <c r="Q489" s="68"/>
      <c r="R489" s="68"/>
      <c r="S489" s="68"/>
      <c r="T489" s="68"/>
      <c r="U489" s="68"/>
      <c r="V489" s="68"/>
      <c r="W489" s="68" t="s">
        <v>285</v>
      </c>
      <c r="X489" s="68"/>
      <c r="Y489" s="68"/>
      <c r="Z489" s="68"/>
      <c r="AA489" s="92" t="s">
        <v>286</v>
      </c>
    </row>
    <row r="490" ht="14.25" hidden="1" customHeight="1" spans="1:27">
      <c r="A490" s="94"/>
      <c r="B490" s="66" t="s">
        <v>2075</v>
      </c>
      <c r="C490" s="66">
        <v>8</v>
      </c>
      <c r="D490" s="66" t="s">
        <v>278</v>
      </c>
      <c r="E490" s="66" t="s">
        <v>205</v>
      </c>
      <c r="F490" s="66" t="s">
        <v>360</v>
      </c>
      <c r="G490" s="66" t="s">
        <v>969</v>
      </c>
      <c r="H490" s="66" t="s">
        <v>225</v>
      </c>
      <c r="I490" s="66" t="s">
        <v>226</v>
      </c>
      <c r="J490" s="66" t="s">
        <v>281</v>
      </c>
      <c r="K490" s="66" t="s">
        <v>281</v>
      </c>
      <c r="L490" s="66" t="s">
        <v>2076</v>
      </c>
      <c r="M490" s="75" t="s">
        <v>2077</v>
      </c>
      <c r="N490" s="66" t="s">
        <v>2075</v>
      </c>
      <c r="O490" s="66" t="s">
        <v>2078</v>
      </c>
      <c r="P490" s="66"/>
      <c r="Q490" s="66"/>
      <c r="R490" s="66" t="s">
        <v>285</v>
      </c>
      <c r="S490" s="66"/>
      <c r="T490" s="66"/>
      <c r="U490" s="66"/>
      <c r="V490" s="66"/>
      <c r="W490" s="66"/>
      <c r="X490" s="66"/>
      <c r="Y490" s="66"/>
      <c r="Z490" s="66"/>
      <c r="AA490" s="92" t="s">
        <v>286</v>
      </c>
    </row>
    <row r="491" ht="14.25" customHeight="1" spans="2:27">
      <c r="B491" s="69" t="s">
        <v>2079</v>
      </c>
      <c r="C491" s="69">
        <v>9</v>
      </c>
      <c r="D491" s="69" t="s">
        <v>301</v>
      </c>
      <c r="E491" s="69" t="s">
        <v>205</v>
      </c>
      <c r="F491" s="69" t="s">
        <v>353</v>
      </c>
      <c r="G491" s="69" t="s">
        <v>386</v>
      </c>
      <c r="H491" s="69" t="s">
        <v>225</v>
      </c>
      <c r="I491" s="69" t="s">
        <v>226</v>
      </c>
      <c r="J491" s="69" t="s">
        <v>227</v>
      </c>
      <c r="K491" s="69" t="s">
        <v>2080</v>
      </c>
      <c r="L491" s="69" t="s">
        <v>1540</v>
      </c>
      <c r="M491" s="78" t="s">
        <v>2081</v>
      </c>
      <c r="N491" s="69" t="s">
        <v>2079</v>
      </c>
      <c r="O491" s="69" t="s">
        <v>2082</v>
      </c>
      <c r="P491" s="69"/>
      <c r="Q491" s="69" t="s">
        <v>285</v>
      </c>
      <c r="R491" s="69"/>
      <c r="S491" s="69"/>
      <c r="T491" s="69"/>
      <c r="U491" s="69"/>
      <c r="V491" s="69" t="s">
        <v>285</v>
      </c>
      <c r="W491" s="69" t="s">
        <v>285</v>
      </c>
      <c r="X491" s="69"/>
      <c r="Y491" s="69"/>
      <c r="Z491" s="69"/>
      <c r="AA491" s="92" t="s">
        <v>286</v>
      </c>
    </row>
    <row r="492" ht="14.25" hidden="1" customHeight="1" spans="1:27">
      <c r="A492" s="94"/>
      <c r="B492" s="66" t="s">
        <v>2083</v>
      </c>
      <c r="C492" s="66">
        <v>9</v>
      </c>
      <c r="D492" s="66" t="s">
        <v>278</v>
      </c>
      <c r="E492" s="66" t="s">
        <v>205</v>
      </c>
      <c r="F492" s="66" t="s">
        <v>364</v>
      </c>
      <c r="G492" s="66" t="s">
        <v>280</v>
      </c>
      <c r="H492" s="66" t="s">
        <v>225</v>
      </c>
      <c r="I492" s="66" t="s">
        <v>226</v>
      </c>
      <c r="J492" s="66" t="s">
        <v>281</v>
      </c>
      <c r="K492" s="66" t="s">
        <v>281</v>
      </c>
      <c r="L492" s="66" t="s">
        <v>312</v>
      </c>
      <c r="M492" s="107" t="s">
        <v>2084</v>
      </c>
      <c r="N492" s="66" t="s">
        <v>2083</v>
      </c>
      <c r="O492" s="66" t="s">
        <v>2085</v>
      </c>
      <c r="P492" s="66"/>
      <c r="Q492" s="66"/>
      <c r="R492" s="66"/>
      <c r="S492" s="66"/>
      <c r="T492" s="66"/>
      <c r="U492" s="66" t="s">
        <v>285</v>
      </c>
      <c r="V492" s="66" t="s">
        <v>285</v>
      </c>
      <c r="W492" s="66" t="s">
        <v>285</v>
      </c>
      <c r="X492" s="66"/>
      <c r="Y492" s="114"/>
      <c r="Z492" s="114"/>
      <c r="AA492" s="92" t="s">
        <v>377</v>
      </c>
    </row>
    <row r="493" ht="14.25" customHeight="1" spans="1:27">
      <c r="A493" s="94"/>
      <c r="B493" s="72" t="s">
        <v>2086</v>
      </c>
      <c r="C493" s="72">
        <v>9</v>
      </c>
      <c r="D493" s="72" t="s">
        <v>340</v>
      </c>
      <c r="E493" s="72" t="s">
        <v>205</v>
      </c>
      <c r="F493" s="72" t="s">
        <v>360</v>
      </c>
      <c r="G493" s="72" t="s">
        <v>341</v>
      </c>
      <c r="H493" s="72" t="s">
        <v>225</v>
      </c>
      <c r="I493" s="72" t="s">
        <v>226</v>
      </c>
      <c r="J493" s="72" t="s">
        <v>227</v>
      </c>
      <c r="K493" s="72" t="s">
        <v>2087</v>
      </c>
      <c r="L493" s="72" t="s">
        <v>462</v>
      </c>
      <c r="M493" s="83" t="s">
        <v>2088</v>
      </c>
      <c r="N493" s="72" t="s">
        <v>2086</v>
      </c>
      <c r="O493" s="72" t="s">
        <v>2089</v>
      </c>
      <c r="P493" s="72" t="s">
        <v>285</v>
      </c>
      <c r="Q493" s="72"/>
      <c r="R493" s="72" t="s">
        <v>285</v>
      </c>
      <c r="S493" s="72"/>
      <c r="T493" s="72"/>
      <c r="U493" s="72"/>
      <c r="V493" s="72" t="s">
        <v>285</v>
      </c>
      <c r="W493" s="72" t="s">
        <v>285</v>
      </c>
      <c r="X493" s="72"/>
      <c r="Y493" s="72"/>
      <c r="Z493" s="72"/>
      <c r="AA493" s="92" t="s">
        <v>286</v>
      </c>
    </row>
    <row r="494" ht="14.25" hidden="1" customHeight="1" spans="1:27">
      <c r="A494" s="94"/>
      <c r="B494" s="66" t="s">
        <v>2090</v>
      </c>
      <c r="C494" s="66">
        <v>9</v>
      </c>
      <c r="D494" s="66" t="s">
        <v>278</v>
      </c>
      <c r="E494" s="66" t="s">
        <v>205</v>
      </c>
      <c r="F494" s="66" t="s">
        <v>279</v>
      </c>
      <c r="G494" s="66" t="s">
        <v>280</v>
      </c>
      <c r="H494" s="66" t="s">
        <v>225</v>
      </c>
      <c r="I494" s="66" t="s">
        <v>226</v>
      </c>
      <c r="J494" s="66" t="s">
        <v>227</v>
      </c>
      <c r="K494" s="66" t="s">
        <v>2091</v>
      </c>
      <c r="L494" s="66" t="s">
        <v>312</v>
      </c>
      <c r="M494" s="80" t="s">
        <v>2092</v>
      </c>
      <c r="N494" s="66" t="s">
        <v>2090</v>
      </c>
      <c r="O494" s="66" t="s">
        <v>2093</v>
      </c>
      <c r="P494" s="66"/>
      <c r="Q494" s="66" t="s">
        <v>285</v>
      </c>
      <c r="R494" s="66"/>
      <c r="S494" s="66"/>
      <c r="T494" s="66"/>
      <c r="U494" s="66" t="s">
        <v>285</v>
      </c>
      <c r="V494" s="66"/>
      <c r="W494" s="66" t="s">
        <v>285</v>
      </c>
      <c r="X494" s="66"/>
      <c r="Y494" s="66"/>
      <c r="Z494" s="66"/>
      <c r="AA494" s="92" t="s">
        <v>286</v>
      </c>
    </row>
    <row r="495" ht="14.25" customHeight="1" spans="1:27">
      <c r="A495" s="94"/>
      <c r="B495" s="67" t="s">
        <v>2094</v>
      </c>
      <c r="C495" s="67">
        <v>9</v>
      </c>
      <c r="D495" s="67" t="s">
        <v>288</v>
      </c>
      <c r="E495" s="67" t="s">
        <v>205</v>
      </c>
      <c r="F495" s="67" t="s">
        <v>360</v>
      </c>
      <c r="G495" s="67" t="s">
        <v>320</v>
      </c>
      <c r="H495" s="67" t="s">
        <v>225</v>
      </c>
      <c r="I495" s="67" t="s">
        <v>226</v>
      </c>
      <c r="J495" s="67" t="s">
        <v>227</v>
      </c>
      <c r="K495" s="67" t="s">
        <v>2095</v>
      </c>
      <c r="L495" s="67" t="s">
        <v>758</v>
      </c>
      <c r="M495" s="76" t="s">
        <v>2096</v>
      </c>
      <c r="N495" s="67" t="s">
        <v>2094</v>
      </c>
      <c r="O495" s="67" t="s">
        <v>2097</v>
      </c>
      <c r="P495" s="67"/>
      <c r="Q495" s="67"/>
      <c r="R495" s="67"/>
      <c r="S495" s="67"/>
      <c r="T495" s="67"/>
      <c r="U495" s="67"/>
      <c r="V495" s="67" t="s">
        <v>285</v>
      </c>
      <c r="W495" s="67" t="s">
        <v>285</v>
      </c>
      <c r="X495" s="67"/>
      <c r="Y495" s="67"/>
      <c r="Z495" s="67"/>
      <c r="AA495" s="92" t="s">
        <v>286</v>
      </c>
    </row>
    <row r="496" ht="14.25" hidden="1" customHeight="1" spans="1:27">
      <c r="A496" s="94"/>
      <c r="B496" s="67" t="s">
        <v>2098</v>
      </c>
      <c r="C496" s="67">
        <v>9</v>
      </c>
      <c r="D496" s="67" t="s">
        <v>288</v>
      </c>
      <c r="E496" s="67" t="s">
        <v>205</v>
      </c>
      <c r="F496" s="67" t="s">
        <v>279</v>
      </c>
      <c r="G496" s="67" t="s">
        <v>289</v>
      </c>
      <c r="H496" s="67" t="s">
        <v>225</v>
      </c>
      <c r="I496" s="67" t="s">
        <v>226</v>
      </c>
      <c r="J496" s="67" t="s">
        <v>227</v>
      </c>
      <c r="K496" s="67" t="s">
        <v>2099</v>
      </c>
      <c r="L496" s="67" t="s">
        <v>484</v>
      </c>
      <c r="M496" s="76" t="s">
        <v>2100</v>
      </c>
      <c r="N496" s="67" t="s">
        <v>2098</v>
      </c>
      <c r="O496" s="67" t="s">
        <v>2101</v>
      </c>
      <c r="P496" s="67"/>
      <c r="Q496" s="67"/>
      <c r="R496" s="67"/>
      <c r="S496" s="67"/>
      <c r="T496" s="67"/>
      <c r="U496" s="67"/>
      <c r="V496" s="67"/>
      <c r="W496" s="67" t="s">
        <v>285</v>
      </c>
      <c r="X496" s="67"/>
      <c r="Y496" s="67"/>
      <c r="Z496" s="67"/>
      <c r="AA496" s="92" t="s">
        <v>310</v>
      </c>
    </row>
    <row r="497" ht="14.25" hidden="1" customHeight="1" spans="2:27">
      <c r="B497" s="68" t="s">
        <v>2102</v>
      </c>
      <c r="C497" s="68">
        <v>9</v>
      </c>
      <c r="D497" s="68" t="s">
        <v>294</v>
      </c>
      <c r="E497" s="68" t="s">
        <v>205</v>
      </c>
      <c r="F497" s="68" t="s">
        <v>279</v>
      </c>
      <c r="G497" s="68" t="s">
        <v>280</v>
      </c>
      <c r="H497" s="68" t="s">
        <v>225</v>
      </c>
      <c r="I497" s="68" t="s">
        <v>226</v>
      </c>
      <c r="J497" s="68" t="s">
        <v>281</v>
      </c>
      <c r="K497" s="68" t="s">
        <v>281</v>
      </c>
      <c r="L497" s="68" t="s">
        <v>282</v>
      </c>
      <c r="M497" s="77" t="s">
        <v>2103</v>
      </c>
      <c r="N497" s="68" t="s">
        <v>2102</v>
      </c>
      <c r="O497" s="68" t="s">
        <v>2104</v>
      </c>
      <c r="P497" s="68"/>
      <c r="Q497" s="68" t="s">
        <v>285</v>
      </c>
      <c r="R497" s="68"/>
      <c r="S497" s="68"/>
      <c r="T497" s="68"/>
      <c r="U497" s="68"/>
      <c r="V497" s="68"/>
      <c r="W497" s="68"/>
      <c r="X497" s="68"/>
      <c r="Y497" s="68"/>
      <c r="Z497" s="68"/>
      <c r="AA497" s="92" t="s">
        <v>286</v>
      </c>
    </row>
    <row r="498" ht="14.25" hidden="1" customHeight="1" spans="2:27">
      <c r="B498" s="70" t="s">
        <v>2105</v>
      </c>
      <c r="C498" s="70">
        <v>9</v>
      </c>
      <c r="D498" s="70" t="s">
        <v>306</v>
      </c>
      <c r="E498" s="70" t="s">
        <v>205</v>
      </c>
      <c r="F498" s="70" t="s">
        <v>279</v>
      </c>
      <c r="G498" s="70" t="s">
        <v>302</v>
      </c>
      <c r="H498" s="70" t="s">
        <v>225</v>
      </c>
      <c r="I498" s="70" t="s">
        <v>226</v>
      </c>
      <c r="J498" s="70" t="s">
        <v>227</v>
      </c>
      <c r="K498" s="70" t="s">
        <v>2106</v>
      </c>
      <c r="L498" s="70" t="s">
        <v>585</v>
      </c>
      <c r="M498" s="79" t="s">
        <v>2107</v>
      </c>
      <c r="N498" s="70" t="s">
        <v>2105</v>
      </c>
      <c r="O498" s="70" t="s">
        <v>2108</v>
      </c>
      <c r="P498" s="70" t="s">
        <v>285</v>
      </c>
      <c r="Q498" s="70"/>
      <c r="R498" s="70"/>
      <c r="S498" s="70"/>
      <c r="T498" s="70"/>
      <c r="U498" s="70" t="s">
        <v>285</v>
      </c>
      <c r="V498" s="70"/>
      <c r="W498" s="70" t="s">
        <v>285</v>
      </c>
      <c r="X498" s="70"/>
      <c r="Y498" s="70"/>
      <c r="Z498" s="70"/>
      <c r="AA498" s="92" t="s">
        <v>310</v>
      </c>
    </row>
    <row r="499" ht="14.25" hidden="1" customHeight="1" spans="2:27">
      <c r="B499" s="68" t="s">
        <v>2109</v>
      </c>
      <c r="C499" s="68">
        <v>9</v>
      </c>
      <c r="D499" s="68" t="s">
        <v>294</v>
      </c>
      <c r="E499" s="68" t="s">
        <v>205</v>
      </c>
      <c r="F499" s="68" t="s">
        <v>279</v>
      </c>
      <c r="G499" s="68" t="s">
        <v>1075</v>
      </c>
      <c r="H499" s="68" t="s">
        <v>225</v>
      </c>
      <c r="I499" s="68" t="s">
        <v>226</v>
      </c>
      <c r="J499" s="68" t="s">
        <v>281</v>
      </c>
      <c r="K499" s="68" t="s">
        <v>281</v>
      </c>
      <c r="L499" s="68" t="s">
        <v>282</v>
      </c>
      <c r="M499" s="77" t="s">
        <v>2110</v>
      </c>
      <c r="N499" s="68" t="s">
        <v>2109</v>
      </c>
      <c r="O499" s="68" t="s">
        <v>2111</v>
      </c>
      <c r="P499" s="68"/>
      <c r="Q499" s="68"/>
      <c r="R499" s="68"/>
      <c r="S499" s="68"/>
      <c r="T499" s="68"/>
      <c r="U499" s="68" t="s">
        <v>285</v>
      </c>
      <c r="V499" s="68"/>
      <c r="W499" s="68" t="s">
        <v>285</v>
      </c>
      <c r="X499" s="68"/>
      <c r="Y499" s="68"/>
      <c r="Z499" s="68"/>
      <c r="AA499" s="92" t="s">
        <v>286</v>
      </c>
    </row>
    <row r="500" ht="14.25" hidden="1" customHeight="1" spans="2:27">
      <c r="B500" s="68" t="s">
        <v>2112</v>
      </c>
      <c r="C500" s="68">
        <v>9</v>
      </c>
      <c r="D500" s="68" t="s">
        <v>294</v>
      </c>
      <c r="E500" s="68" t="s">
        <v>205</v>
      </c>
      <c r="F500" s="68" t="s">
        <v>279</v>
      </c>
      <c r="G500" s="68" t="s">
        <v>341</v>
      </c>
      <c r="H500" s="68" t="s">
        <v>225</v>
      </c>
      <c r="I500" s="68" t="s">
        <v>226</v>
      </c>
      <c r="J500" s="68" t="s">
        <v>281</v>
      </c>
      <c r="K500" s="68" t="s">
        <v>281</v>
      </c>
      <c r="L500" s="68" t="s">
        <v>282</v>
      </c>
      <c r="M500" s="77" t="s">
        <v>2113</v>
      </c>
      <c r="N500" s="68" t="s">
        <v>2112</v>
      </c>
      <c r="O500" s="68" t="s">
        <v>2114</v>
      </c>
      <c r="P500" s="68" t="s">
        <v>285</v>
      </c>
      <c r="Q500" s="68"/>
      <c r="R500" s="68"/>
      <c r="S500" s="68"/>
      <c r="T500" s="68"/>
      <c r="U500" s="68"/>
      <c r="V500" s="68"/>
      <c r="W500" s="68"/>
      <c r="X500" s="68"/>
      <c r="Y500" s="68"/>
      <c r="Z500" s="68"/>
      <c r="AA500" s="92" t="s">
        <v>286</v>
      </c>
    </row>
    <row r="501" ht="14.25" customHeight="1" spans="2:27">
      <c r="B501" s="71" t="s">
        <v>2115</v>
      </c>
      <c r="C501" s="71">
        <v>9</v>
      </c>
      <c r="D501" s="71" t="s">
        <v>329</v>
      </c>
      <c r="E501" s="71" t="s">
        <v>205</v>
      </c>
      <c r="F501" s="71" t="s">
        <v>279</v>
      </c>
      <c r="G501" s="71" t="s">
        <v>280</v>
      </c>
      <c r="H501" s="71" t="s">
        <v>225</v>
      </c>
      <c r="I501" s="71" t="s">
        <v>281</v>
      </c>
      <c r="J501" s="71" t="s">
        <v>281</v>
      </c>
      <c r="K501" s="71" t="s">
        <v>281</v>
      </c>
      <c r="L501" s="71" t="s">
        <v>282</v>
      </c>
      <c r="M501" s="81" t="s">
        <v>2116</v>
      </c>
      <c r="N501" s="71" t="s">
        <v>2115</v>
      </c>
      <c r="O501" s="71" t="s">
        <v>2117</v>
      </c>
      <c r="P501" s="71" t="s">
        <v>285</v>
      </c>
      <c r="Q501" s="71"/>
      <c r="R501" s="71"/>
      <c r="S501" s="71"/>
      <c r="T501" s="71"/>
      <c r="U501" s="71" t="s">
        <v>285</v>
      </c>
      <c r="V501" s="71" t="s">
        <v>285</v>
      </c>
      <c r="W501" s="71" t="s">
        <v>285</v>
      </c>
      <c r="X501" s="71"/>
      <c r="Y501" s="71"/>
      <c r="Z501" s="71"/>
      <c r="AA501" s="92" t="s">
        <v>286</v>
      </c>
    </row>
    <row r="502" ht="14.25" hidden="1" customHeight="1" spans="2:27">
      <c r="B502" s="67" t="s">
        <v>2118</v>
      </c>
      <c r="C502" s="67">
        <v>9</v>
      </c>
      <c r="D502" s="67" t="s">
        <v>288</v>
      </c>
      <c r="E502" s="67" t="s">
        <v>205</v>
      </c>
      <c r="F502" s="67" t="s">
        <v>279</v>
      </c>
      <c r="G502" s="67" t="s">
        <v>280</v>
      </c>
      <c r="H502" s="67" t="s">
        <v>225</v>
      </c>
      <c r="I502" s="67" t="s">
        <v>226</v>
      </c>
      <c r="J502" s="67" t="s">
        <v>281</v>
      </c>
      <c r="K502" s="67" t="s">
        <v>281</v>
      </c>
      <c r="L502" s="67" t="s">
        <v>397</v>
      </c>
      <c r="M502" s="90" t="s">
        <v>2119</v>
      </c>
      <c r="N502" s="67" t="s">
        <v>2118</v>
      </c>
      <c r="O502" s="67" t="s">
        <v>2120</v>
      </c>
      <c r="P502" s="67"/>
      <c r="Q502" s="67"/>
      <c r="R502" s="67"/>
      <c r="S502" s="67"/>
      <c r="T502" s="67"/>
      <c r="U502" s="67"/>
      <c r="V502" s="67"/>
      <c r="W502" s="67" t="s">
        <v>285</v>
      </c>
      <c r="X502" s="67"/>
      <c r="Y502" s="67"/>
      <c r="Z502" s="67"/>
      <c r="AA502" s="92" t="s">
        <v>286</v>
      </c>
    </row>
    <row r="503" ht="14.25" hidden="1" customHeight="1" spans="2:27">
      <c r="B503" s="71" t="s">
        <v>2121</v>
      </c>
      <c r="C503" s="71">
        <v>9</v>
      </c>
      <c r="D503" s="71" t="s">
        <v>329</v>
      </c>
      <c r="E503" s="71" t="s">
        <v>205</v>
      </c>
      <c r="F503" s="71" t="s">
        <v>279</v>
      </c>
      <c r="G503" s="71" t="s">
        <v>512</v>
      </c>
      <c r="H503" s="71" t="s">
        <v>281</v>
      </c>
      <c r="I503" s="71" t="s">
        <v>226</v>
      </c>
      <c r="J503" s="71" t="s">
        <v>281</v>
      </c>
      <c r="K503" s="71" t="s">
        <v>281</v>
      </c>
      <c r="L503" s="71" t="s">
        <v>282</v>
      </c>
      <c r="M503" s="89" t="s">
        <v>2122</v>
      </c>
      <c r="N503" s="71" t="s">
        <v>2121</v>
      </c>
      <c r="O503" s="71" t="s">
        <v>2123</v>
      </c>
      <c r="P503" s="71" t="s">
        <v>285</v>
      </c>
      <c r="Q503" s="71"/>
      <c r="R503" s="71"/>
      <c r="S503" s="71"/>
      <c r="T503" s="71"/>
      <c r="U503" s="71" t="s">
        <v>285</v>
      </c>
      <c r="V503" s="71" t="s">
        <v>285</v>
      </c>
      <c r="W503" s="71" t="s">
        <v>285</v>
      </c>
      <c r="X503" s="71"/>
      <c r="Y503" s="71"/>
      <c r="Z503" s="71"/>
      <c r="AA503" s="92" t="s">
        <v>310</v>
      </c>
    </row>
    <row r="504" ht="14.25" hidden="1" customHeight="1" spans="2:27">
      <c r="B504" s="68" t="s">
        <v>2124</v>
      </c>
      <c r="C504" s="68">
        <v>9</v>
      </c>
      <c r="D504" s="68" t="s">
        <v>294</v>
      </c>
      <c r="E504" s="68" t="s">
        <v>205</v>
      </c>
      <c r="F504" s="68" t="s">
        <v>279</v>
      </c>
      <c r="G504" s="68" t="s">
        <v>2125</v>
      </c>
      <c r="H504" s="68" t="s">
        <v>225</v>
      </c>
      <c r="I504" s="68" t="s">
        <v>226</v>
      </c>
      <c r="J504" s="68" t="s">
        <v>227</v>
      </c>
      <c r="K504" s="68" t="s">
        <v>2126</v>
      </c>
      <c r="L504" s="68" t="s">
        <v>312</v>
      </c>
      <c r="M504" s="98" t="s">
        <v>2127</v>
      </c>
      <c r="N504" s="68" t="s">
        <v>2124</v>
      </c>
      <c r="O504" s="68" t="s">
        <v>2128</v>
      </c>
      <c r="P504" s="68"/>
      <c r="Q504" s="68"/>
      <c r="R504" s="68"/>
      <c r="S504" s="68"/>
      <c r="T504" s="68"/>
      <c r="U504" s="68"/>
      <c r="V504" s="68"/>
      <c r="W504" s="68"/>
      <c r="X504" s="68"/>
      <c r="Y504" s="68"/>
      <c r="Z504" s="68" t="s">
        <v>285</v>
      </c>
      <c r="AA504" s="92" t="s">
        <v>413</v>
      </c>
    </row>
    <row r="505" ht="14.25" hidden="1" customHeight="1" spans="2:27">
      <c r="B505" s="70" t="s">
        <v>2129</v>
      </c>
      <c r="C505" s="70">
        <v>9</v>
      </c>
      <c r="D505" s="70" t="s">
        <v>306</v>
      </c>
      <c r="E505" s="70" t="s">
        <v>205</v>
      </c>
      <c r="F505" s="70" t="s">
        <v>279</v>
      </c>
      <c r="G505" s="70" t="s">
        <v>289</v>
      </c>
      <c r="H505" s="70" t="s">
        <v>225</v>
      </c>
      <c r="I505" s="70" t="s">
        <v>226</v>
      </c>
      <c r="J505" s="70" t="s">
        <v>227</v>
      </c>
      <c r="K505" s="70" t="s">
        <v>2130</v>
      </c>
      <c r="L505" s="70" t="s">
        <v>585</v>
      </c>
      <c r="M505" s="84" t="s">
        <v>2131</v>
      </c>
      <c r="N505" s="70" t="s">
        <v>2129</v>
      </c>
      <c r="O505" s="70" t="s">
        <v>2132</v>
      </c>
      <c r="P505" s="70"/>
      <c r="Q505" s="70"/>
      <c r="R505" s="70" t="s">
        <v>285</v>
      </c>
      <c r="S505" s="70"/>
      <c r="T505" s="70"/>
      <c r="U505" s="70"/>
      <c r="V505" s="70"/>
      <c r="W505" s="70" t="s">
        <v>285</v>
      </c>
      <c r="X505" s="70"/>
      <c r="Y505" s="70"/>
      <c r="Z505" s="70"/>
      <c r="AA505" s="92" t="s">
        <v>286</v>
      </c>
    </row>
    <row r="506" ht="14.25" hidden="1" customHeight="1" spans="2:27">
      <c r="B506" s="66" t="s">
        <v>2133</v>
      </c>
      <c r="C506" s="66">
        <v>9</v>
      </c>
      <c r="D506" s="66" t="s">
        <v>278</v>
      </c>
      <c r="E506" s="66" t="s">
        <v>205</v>
      </c>
      <c r="F506" s="66" t="s">
        <v>279</v>
      </c>
      <c r="G506" s="66" t="s">
        <v>969</v>
      </c>
      <c r="H506" s="66" t="s">
        <v>225</v>
      </c>
      <c r="I506" s="66" t="s">
        <v>226</v>
      </c>
      <c r="J506" s="66" t="s">
        <v>281</v>
      </c>
      <c r="K506" s="66" t="s">
        <v>281</v>
      </c>
      <c r="L506" s="66" t="s">
        <v>312</v>
      </c>
      <c r="M506" s="80" t="s">
        <v>2134</v>
      </c>
      <c r="N506" s="66" t="s">
        <v>2133</v>
      </c>
      <c r="O506" s="66" t="s">
        <v>2135</v>
      </c>
      <c r="P506" s="66"/>
      <c r="Q506" s="66"/>
      <c r="R506" s="66" t="s">
        <v>285</v>
      </c>
      <c r="S506" s="66"/>
      <c r="T506" s="66"/>
      <c r="U506" s="66"/>
      <c r="V506" s="66"/>
      <c r="W506" s="66"/>
      <c r="X506" s="66"/>
      <c r="Y506" s="66"/>
      <c r="Z506" s="66"/>
      <c r="AA506" s="92" t="s">
        <v>286</v>
      </c>
    </row>
    <row r="507" ht="14.25" hidden="1" customHeight="1" spans="2:27">
      <c r="B507" s="69" t="s">
        <v>2136</v>
      </c>
      <c r="C507" s="69">
        <v>9</v>
      </c>
      <c r="D507" s="69" t="s">
        <v>301</v>
      </c>
      <c r="E507" s="69" t="s">
        <v>205</v>
      </c>
      <c r="F507" s="69" t="s">
        <v>279</v>
      </c>
      <c r="G507" s="69" t="s">
        <v>512</v>
      </c>
      <c r="H507" s="69" t="s">
        <v>225</v>
      </c>
      <c r="I507" s="69" t="s">
        <v>226</v>
      </c>
      <c r="J507" s="69" t="s">
        <v>227</v>
      </c>
      <c r="K507" s="69" t="s">
        <v>2137</v>
      </c>
      <c r="L507" s="69" t="s">
        <v>282</v>
      </c>
      <c r="M507" s="123" t="s">
        <v>2138</v>
      </c>
      <c r="N507" s="69" t="s">
        <v>2136</v>
      </c>
      <c r="O507" s="69" t="s">
        <v>2139</v>
      </c>
      <c r="P507" s="69"/>
      <c r="Q507" s="69"/>
      <c r="R507" s="69"/>
      <c r="S507" s="69"/>
      <c r="T507" s="69"/>
      <c r="U507" s="69"/>
      <c r="V507" s="69"/>
      <c r="W507" s="69"/>
      <c r="X507" s="69"/>
      <c r="Y507" s="69" t="s">
        <v>285</v>
      </c>
      <c r="Z507" s="69"/>
      <c r="AA507" s="92" t="s">
        <v>413</v>
      </c>
    </row>
    <row r="508" ht="14.25" hidden="1" customHeight="1" spans="2:27">
      <c r="B508" s="70" t="s">
        <v>2140</v>
      </c>
      <c r="C508" s="70">
        <v>9</v>
      </c>
      <c r="D508" s="70" t="s">
        <v>306</v>
      </c>
      <c r="E508" s="70" t="s">
        <v>205</v>
      </c>
      <c r="F508" s="70" t="s">
        <v>279</v>
      </c>
      <c r="G508" s="70" t="s">
        <v>289</v>
      </c>
      <c r="H508" s="70" t="s">
        <v>225</v>
      </c>
      <c r="I508" s="70" t="s">
        <v>281</v>
      </c>
      <c r="J508" s="70" t="s">
        <v>281</v>
      </c>
      <c r="K508" s="70" t="s">
        <v>281</v>
      </c>
      <c r="L508" s="70" t="s">
        <v>282</v>
      </c>
      <c r="M508" s="79" t="s">
        <v>2141</v>
      </c>
      <c r="N508" s="70" t="s">
        <v>2140</v>
      </c>
      <c r="O508" s="70" t="s">
        <v>2142</v>
      </c>
      <c r="P508" s="70"/>
      <c r="Q508" s="70"/>
      <c r="R508" s="70"/>
      <c r="S508" s="70"/>
      <c r="T508" s="70"/>
      <c r="U508" s="70" t="s">
        <v>285</v>
      </c>
      <c r="V508" s="70"/>
      <c r="W508" s="70" t="s">
        <v>285</v>
      </c>
      <c r="X508" s="70"/>
      <c r="Y508" s="70"/>
      <c r="Z508" s="70"/>
      <c r="AA508" s="92" t="s">
        <v>286</v>
      </c>
    </row>
    <row r="509" ht="14.25" customHeight="1" spans="2:27">
      <c r="B509" s="70" t="s">
        <v>2143</v>
      </c>
      <c r="C509" s="70">
        <v>9</v>
      </c>
      <c r="D509" s="70" t="s">
        <v>306</v>
      </c>
      <c r="E509" s="70" t="s">
        <v>205</v>
      </c>
      <c r="F509" s="70" t="s">
        <v>279</v>
      </c>
      <c r="G509" s="70" t="s">
        <v>320</v>
      </c>
      <c r="H509" s="70" t="s">
        <v>225</v>
      </c>
      <c r="I509" s="70" t="s">
        <v>226</v>
      </c>
      <c r="J509" s="70" t="s">
        <v>227</v>
      </c>
      <c r="K509" s="70" t="s">
        <v>2144</v>
      </c>
      <c r="L509" s="70" t="s">
        <v>585</v>
      </c>
      <c r="M509" s="79" t="s">
        <v>2145</v>
      </c>
      <c r="N509" s="70" t="s">
        <v>2143</v>
      </c>
      <c r="O509" s="70" t="s">
        <v>2146</v>
      </c>
      <c r="P509" s="70" t="s">
        <v>285</v>
      </c>
      <c r="Q509" s="70"/>
      <c r="R509" s="70"/>
      <c r="S509" s="70"/>
      <c r="T509" s="70"/>
      <c r="U509" s="70"/>
      <c r="V509" s="70" t="s">
        <v>285</v>
      </c>
      <c r="W509" s="70" t="s">
        <v>285</v>
      </c>
      <c r="X509" s="70"/>
      <c r="Y509" s="70"/>
      <c r="Z509" s="70"/>
      <c r="AA509" s="92" t="s">
        <v>286</v>
      </c>
    </row>
    <row r="510" ht="14.25" hidden="1" customHeight="1" spans="2:27">
      <c r="B510" s="69" t="s">
        <v>2147</v>
      </c>
      <c r="C510" s="69">
        <v>9</v>
      </c>
      <c r="D510" s="69" t="s">
        <v>301</v>
      </c>
      <c r="E510" s="69" t="s">
        <v>205</v>
      </c>
      <c r="F510" s="69" t="s">
        <v>353</v>
      </c>
      <c r="G510" s="69" t="s">
        <v>341</v>
      </c>
      <c r="H510" s="69" t="s">
        <v>225</v>
      </c>
      <c r="I510" s="69" t="s">
        <v>226</v>
      </c>
      <c r="J510" s="69" t="s">
        <v>227</v>
      </c>
      <c r="K510" s="69" t="s">
        <v>2148</v>
      </c>
      <c r="L510" s="69" t="s">
        <v>282</v>
      </c>
      <c r="M510" s="88" t="s">
        <v>2149</v>
      </c>
      <c r="N510" s="69" t="s">
        <v>2147</v>
      </c>
      <c r="O510" s="69" t="s">
        <v>2150</v>
      </c>
      <c r="P510" s="69"/>
      <c r="Q510" s="69" t="s">
        <v>285</v>
      </c>
      <c r="R510" s="69" t="s">
        <v>285</v>
      </c>
      <c r="S510" s="69"/>
      <c r="T510" s="69"/>
      <c r="U510" s="69"/>
      <c r="V510" s="69"/>
      <c r="W510" s="69"/>
      <c r="X510" s="69"/>
      <c r="Y510" s="69"/>
      <c r="Z510" s="69"/>
      <c r="AA510" s="92" t="s">
        <v>286</v>
      </c>
    </row>
    <row r="511" ht="14.25" hidden="1" customHeight="1" spans="2:27">
      <c r="B511" s="73" t="s">
        <v>2151</v>
      </c>
      <c r="C511" s="73">
        <v>9</v>
      </c>
      <c r="D511" s="73" t="s">
        <v>378</v>
      </c>
      <c r="E511" s="73" t="s">
        <v>205</v>
      </c>
      <c r="F511" s="73" t="s">
        <v>279</v>
      </c>
      <c r="G511" s="73" t="s">
        <v>302</v>
      </c>
      <c r="H511" s="73" t="s">
        <v>225</v>
      </c>
      <c r="I511" s="73" t="s">
        <v>226</v>
      </c>
      <c r="J511" s="73" t="s">
        <v>281</v>
      </c>
      <c r="K511" s="73" t="s">
        <v>281</v>
      </c>
      <c r="L511" s="73" t="s">
        <v>312</v>
      </c>
      <c r="M511" s="86" t="s">
        <v>2152</v>
      </c>
      <c r="N511" s="73" t="s">
        <v>2151</v>
      </c>
      <c r="O511" s="73" t="s">
        <v>2153</v>
      </c>
      <c r="P511" s="73"/>
      <c r="Q511" s="73"/>
      <c r="R511" s="73"/>
      <c r="S511" s="73"/>
      <c r="T511" s="73"/>
      <c r="U511" s="73"/>
      <c r="V511" s="73"/>
      <c r="W511" s="73" t="s">
        <v>285</v>
      </c>
      <c r="X511" s="73"/>
      <c r="Y511" s="73"/>
      <c r="Z511" s="73"/>
      <c r="AA511" s="92" t="s">
        <v>286</v>
      </c>
    </row>
    <row r="512" ht="14.25" hidden="1" customHeight="1" spans="2:27">
      <c r="B512" s="66" t="s">
        <v>2154</v>
      </c>
      <c r="C512" s="66">
        <v>9</v>
      </c>
      <c r="D512" s="66" t="s">
        <v>278</v>
      </c>
      <c r="E512" s="66" t="s">
        <v>205</v>
      </c>
      <c r="F512" s="66" t="s">
        <v>279</v>
      </c>
      <c r="G512" s="66" t="s">
        <v>289</v>
      </c>
      <c r="H512" s="66" t="s">
        <v>225</v>
      </c>
      <c r="I512" s="66" t="s">
        <v>281</v>
      </c>
      <c r="J512" s="66" t="s">
        <v>281</v>
      </c>
      <c r="K512" s="66" t="s">
        <v>281</v>
      </c>
      <c r="L512" s="66" t="s">
        <v>282</v>
      </c>
      <c r="M512" s="80" t="s">
        <v>2155</v>
      </c>
      <c r="N512" s="66" t="s">
        <v>2154</v>
      </c>
      <c r="O512" s="66" t="s">
        <v>2156</v>
      </c>
      <c r="P512" s="66"/>
      <c r="Q512" s="66"/>
      <c r="R512" s="66"/>
      <c r="S512" s="66"/>
      <c r="T512" s="66"/>
      <c r="U512" s="66" t="s">
        <v>285</v>
      </c>
      <c r="V512" s="66"/>
      <c r="W512" s="66" t="s">
        <v>285</v>
      </c>
      <c r="X512" s="66"/>
      <c r="Y512" s="66"/>
      <c r="Z512" s="66"/>
      <c r="AA512" s="92" t="s">
        <v>286</v>
      </c>
    </row>
    <row r="513" ht="14.25" customHeight="1" spans="27:27">
      <c r="AA513" s="131"/>
    </row>
    <row r="514" ht="14.25" customHeight="1" spans="27:27">
      <c r="AA514" s="131"/>
    </row>
    <row r="515" ht="14.25" customHeight="1" spans="27:27">
      <c r="AA515" s="131"/>
    </row>
    <row r="516" ht="14.25" customHeight="1" spans="27:27">
      <c r="AA516" s="131"/>
    </row>
    <row r="517" ht="14.25" customHeight="1" spans="27:27">
      <c r="AA517" s="131"/>
    </row>
    <row r="518" ht="14.25" customHeight="1" spans="27:27">
      <c r="AA518" s="131"/>
    </row>
    <row r="519" ht="14.25" customHeight="1" spans="27:27">
      <c r="AA519" s="131"/>
    </row>
    <row r="520" ht="14.25" customHeight="1" spans="27:27">
      <c r="AA520" s="131"/>
    </row>
    <row r="521" ht="14.25" customHeight="1" spans="27:27">
      <c r="AA521" s="131"/>
    </row>
    <row r="522" ht="14.25" customHeight="1" spans="27:27">
      <c r="AA522" s="131"/>
    </row>
    <row r="523" ht="14.25" customHeight="1" spans="27:27">
      <c r="AA523" s="131"/>
    </row>
    <row r="524" ht="14.25" customHeight="1" spans="27:27">
      <c r="AA524" s="131"/>
    </row>
    <row r="525" ht="14.25" customHeight="1" spans="27:27">
      <c r="AA525" s="131"/>
    </row>
    <row r="526" ht="14.25" customHeight="1" spans="27:27">
      <c r="AA526" s="131"/>
    </row>
    <row r="527" ht="14.25" customHeight="1" spans="27:27">
      <c r="AA527" s="131"/>
    </row>
    <row r="528" ht="14.25" customHeight="1" spans="27:27">
      <c r="AA528" s="131"/>
    </row>
    <row r="529" ht="14.25" customHeight="1" spans="27:27">
      <c r="AA529" s="131"/>
    </row>
    <row r="530" ht="14.25" customHeight="1" spans="27:27">
      <c r="AA530" s="131"/>
    </row>
    <row r="531" ht="14.25" customHeight="1" spans="27:27">
      <c r="AA531" s="131"/>
    </row>
    <row r="532" ht="14.25" customHeight="1" spans="27:27">
      <c r="AA532" s="131"/>
    </row>
    <row r="533" ht="14.25" customHeight="1" spans="27:27">
      <c r="AA533" s="131"/>
    </row>
    <row r="534" ht="14.25" customHeight="1" spans="27:27">
      <c r="AA534" s="131"/>
    </row>
    <row r="535" ht="14.25" customHeight="1" spans="27:27">
      <c r="AA535" s="131"/>
    </row>
    <row r="536" ht="14.25" customHeight="1" spans="27:27">
      <c r="AA536" s="131"/>
    </row>
    <row r="537" ht="14.25" customHeight="1" spans="27:27">
      <c r="AA537" s="131"/>
    </row>
    <row r="538" ht="14.25" customHeight="1" spans="27:27">
      <c r="AA538" s="131"/>
    </row>
    <row r="539" ht="14.25" customHeight="1" spans="27:27">
      <c r="AA539" s="131"/>
    </row>
    <row r="540" ht="14.25" customHeight="1" spans="27:27">
      <c r="AA540" s="131"/>
    </row>
    <row r="541" ht="14.25" customHeight="1" spans="14:15">
      <c r="N541" s="129"/>
      <c r="O541" s="129"/>
    </row>
    <row r="542" ht="14.25" customHeight="1" spans="14:15">
      <c r="N542" s="129"/>
      <c r="O542" s="129"/>
    </row>
    <row r="543" ht="14.25" customHeight="1" spans="14:15">
      <c r="N543" s="129"/>
      <c r="O543" s="129"/>
    </row>
    <row r="544" ht="14.25" customHeight="1" spans="14:15">
      <c r="N544" s="129"/>
      <c r="O544" s="129"/>
    </row>
    <row r="545" ht="14.25" customHeight="1" spans="14:15">
      <c r="N545" s="129"/>
      <c r="O545" s="129"/>
    </row>
    <row r="546" ht="14.25" customHeight="1" spans="14:15">
      <c r="N546" s="129"/>
      <c r="O546" s="129"/>
    </row>
    <row r="547" ht="14.25" customHeight="1" spans="14:15">
      <c r="N547" s="129"/>
      <c r="O547" s="129"/>
    </row>
    <row r="548" ht="14.25" customHeight="1" spans="14:15">
      <c r="N548" s="129"/>
      <c r="O548" s="129"/>
    </row>
    <row r="549" ht="14.25" customHeight="1" spans="14:15">
      <c r="N549" s="129"/>
      <c r="O549" s="129"/>
    </row>
    <row r="550" ht="14.25" customHeight="1" spans="14:15">
      <c r="N550" s="129"/>
      <c r="O550" s="129"/>
    </row>
    <row r="560" ht="14.25" customHeight="1" spans="1:13">
      <c r="A560" s="124" t="str">
        <f>施法!J3</f>
        <v>法术名</v>
      </c>
      <c r="B560" s="125">
        <v>0</v>
      </c>
      <c r="C560" s="63" t="s">
        <v>132</v>
      </c>
      <c r="D560" s="63" t="s">
        <v>132</v>
      </c>
      <c r="E560" s="63" t="s">
        <v>132</v>
      </c>
      <c r="F560" s="63" t="s">
        <v>132</v>
      </c>
      <c r="G560" s="63" t="s">
        <v>132</v>
      </c>
      <c r="H560" s="63" t="s">
        <v>132</v>
      </c>
      <c r="I560" s="63" t="s">
        <v>132</v>
      </c>
      <c r="J560" s="63" t="s">
        <v>132</v>
      </c>
      <c r="K560" s="63" t="s">
        <v>132</v>
      </c>
      <c r="L560" s="63" t="s">
        <v>132</v>
      </c>
      <c r="M560" s="63" t="s">
        <v>132</v>
      </c>
    </row>
    <row r="561" ht="14.25" customHeight="1" spans="1:12">
      <c r="A561" s="124" t="str">
        <f>施法!J4</f>
        <v>魔能爆</v>
      </c>
      <c r="B561" s="125"/>
      <c r="C561" s="62">
        <f>VLOOKUP(A2,B1:M560,2,0)</f>
        <v>0</v>
      </c>
      <c r="D561" s="62" t="str">
        <f>VLOOKUP(A2,B1:M560,3,0)</f>
        <v>塑能</v>
      </c>
      <c r="E561" s="62" t="str">
        <f>VLOOKUP(A2,B1:M560,4,0)</f>
        <v>x</v>
      </c>
      <c r="F561" s="63" t="str">
        <f>VLOOKUP(A2,B1:M560,5,0)</f>
        <v>1动作</v>
      </c>
      <c r="G561" s="62" t="str">
        <f>VLOOKUP(A2,B1:M560,6,0)</f>
        <v>120尺</v>
      </c>
      <c r="H561" s="62" t="str">
        <f>VLOOKUP(A2,B1:M560,7,0)</f>
        <v>V</v>
      </c>
      <c r="I561" s="62" t="str">
        <f>VLOOKUP(A2,B1:M560,8,0)</f>
        <v>S</v>
      </c>
      <c r="J561" s="62" t="str">
        <f>VLOOKUP(A2,B1:M560,9,0)</f>
        <v>×</v>
      </c>
      <c r="K561" s="63" t="str">
        <f>VLOOKUP(A2,B1:M560,10,0)</f>
        <v>×</v>
      </c>
      <c r="L561" s="62" t="str">
        <f>VLOOKUP(A2,B1:M560,11,0)</f>
        <v>立即</v>
      </c>
    </row>
    <row r="562" ht="14.25" customHeight="1" spans="1:12">
      <c r="A562" s="124" t="str">
        <f>施法!J5</f>
        <v>次级幻影</v>
      </c>
      <c r="B562" s="125"/>
      <c r="C562" s="62">
        <f>VLOOKUP(A3,B1:M560,2,0)</f>
        <v>0</v>
      </c>
      <c r="D562" s="62" t="str">
        <f>VLOOKUP(A3,B1:M560,3,0)</f>
        <v>幻术</v>
      </c>
      <c r="E562" s="62" t="str">
        <f>VLOOKUP(A3,B1:M560,4,0)</f>
        <v>x</v>
      </c>
      <c r="F562" s="63" t="str">
        <f>VLOOKUP(A3,B1:M560,5,0)</f>
        <v>1动作</v>
      </c>
      <c r="G562" s="62" t="str">
        <f>VLOOKUP(A3,B1:M560,6,0)</f>
        <v>30尺</v>
      </c>
      <c r="H562" s="62" t="str">
        <f>VLOOKUP(A3,B1:M560,7,0)</f>
        <v>×</v>
      </c>
      <c r="I562" s="62" t="str">
        <f>VLOOKUP(A3,B1:M560,8,0)</f>
        <v>S</v>
      </c>
      <c r="J562" s="62" t="str">
        <f>VLOOKUP(A3,B1:M560,9,0)</f>
        <v>M</v>
      </c>
      <c r="K562" s="63" t="str">
        <f>VLOOKUP(A3,B1:M560,10,0)</f>
        <v>一小块羊毛</v>
      </c>
      <c r="L562" s="62" t="str">
        <f>VLOOKUP(A3,B1:M560,11,0)</f>
        <v>1分钟</v>
      </c>
    </row>
    <row r="563" ht="14.25" customHeight="1" spans="1:12">
      <c r="A563" s="124" t="str">
        <f>施法!J6</f>
        <v>法师之手</v>
      </c>
      <c r="B563" s="125"/>
      <c r="C563" s="62">
        <f>VLOOKUP(A4,B1:M560,2,0)</f>
        <v>0</v>
      </c>
      <c r="D563" s="62" t="str">
        <f>VLOOKUP(A4,B1:M560,3,0)</f>
        <v>咒法</v>
      </c>
      <c r="E563" s="62" t="str">
        <f>VLOOKUP(A4,B1:M560,4,0)</f>
        <v>x</v>
      </c>
      <c r="F563" s="63" t="str">
        <f>VLOOKUP(A4,B1:M560,5,0)</f>
        <v>1动作</v>
      </c>
      <c r="G563" s="62" t="str">
        <f>VLOOKUP(A4,B1:M560,6,0)</f>
        <v>30尺</v>
      </c>
      <c r="H563" s="62" t="str">
        <f>VLOOKUP(A4,B1:M560,7,0)</f>
        <v>V</v>
      </c>
      <c r="I563" s="62" t="str">
        <f>VLOOKUP(A4,B1:M560,8,0)</f>
        <v>S</v>
      </c>
      <c r="J563" s="62" t="str">
        <f>VLOOKUP(A4,B1:M560,9,0)</f>
        <v>×</v>
      </c>
      <c r="K563" s="63" t="str">
        <f>VLOOKUP(A4,B1:M560,10,0)</f>
        <v>×</v>
      </c>
      <c r="L563" s="62" t="str">
        <f>VLOOKUP(A4,B1:M560,11,0)</f>
        <v>1分钟</v>
      </c>
    </row>
    <row r="564" ht="14.25" customHeight="1" spans="1:12">
      <c r="A564" s="124" t="str">
        <f>施法!J7</f>
        <v>迷踪步</v>
      </c>
      <c r="B564" s="125"/>
      <c r="C564" s="62">
        <f>VLOOKUP(A5,B1:M560,2,0)</f>
        <v>2</v>
      </c>
      <c r="D564" s="62" t="str">
        <f>VLOOKUP(A5,B1:M560,3,0)</f>
        <v>咒法</v>
      </c>
      <c r="E564" s="62" t="str">
        <f>VLOOKUP(A5,B1:M560,4,0)</f>
        <v>x</v>
      </c>
      <c r="F564" s="63" t="str">
        <f>VLOOKUP(A5,B1:M560,5,0)</f>
        <v>1附赠动作</v>
      </c>
      <c r="G564" s="62" t="str">
        <f>VLOOKUP(A5,B1:M560,6,0)</f>
        <v>自身</v>
      </c>
      <c r="H564" s="62" t="str">
        <f>VLOOKUP(A5,B1:M560,7,0)</f>
        <v>V</v>
      </c>
      <c r="I564" s="62" t="str">
        <f>VLOOKUP(A5,B1:M560,8,0)</f>
        <v>×</v>
      </c>
      <c r="J564" s="62" t="str">
        <f>VLOOKUP(A5,B1:M560,9,0)</f>
        <v>×</v>
      </c>
      <c r="K564" s="63" t="str">
        <f>VLOOKUP(A5,B1:M560,10,0)</f>
        <v>×</v>
      </c>
      <c r="L564" s="62" t="str">
        <f>VLOOKUP(A5,B1:M560,11,0)</f>
        <v>立即</v>
      </c>
    </row>
    <row r="565" ht="14.25" customHeight="1" spans="1:12">
      <c r="A565" s="124" t="str">
        <f>施法!J8</f>
        <v>暗示术</v>
      </c>
      <c r="B565" s="125"/>
      <c r="C565" s="62">
        <f>VLOOKUP(A6,B1:M560,2,0)</f>
        <v>2</v>
      </c>
      <c r="D565" s="62" t="str">
        <f>VLOOKUP(A6,B1:M560,3,0)</f>
        <v>惑控</v>
      </c>
      <c r="E565" s="62" t="str">
        <f>VLOOKUP(A6,B1:M560,4,0)</f>
        <v>x</v>
      </c>
      <c r="F565" s="63" t="str">
        <f>VLOOKUP(A6,B1:M560,5,0)</f>
        <v>1动作</v>
      </c>
      <c r="G565" s="62" t="str">
        <f>VLOOKUP(A6,B1:M560,6,0)</f>
        <v>30尺</v>
      </c>
      <c r="H565" s="62" t="str">
        <f>VLOOKUP(A6,B1:M560,7,0)</f>
        <v>V</v>
      </c>
      <c r="I565" s="62" t="str">
        <f>VLOOKUP(A6,B1:M560,8,0)</f>
        <v>×</v>
      </c>
      <c r="J565" s="62" t="str">
        <f>VLOOKUP(A6,B1:M560,9,0)</f>
        <v>M</v>
      </c>
      <c r="K565" s="63" t="str">
        <f>VLOOKUP(A6,B1:M560,10,0)</f>
        <v>一条蛇舌，加上一小块蜂巢或一滴甜油</v>
      </c>
      <c r="L565" s="62" t="str">
        <f>VLOOKUP(A6,B1:M560,11,0)</f>
        <v>专注,至多8小时</v>
      </c>
    </row>
    <row r="566" ht="14.25" customHeight="1" spans="1:12">
      <c r="A566" s="124" t="str">
        <f>施法!J9</f>
        <v>隐形术</v>
      </c>
      <c r="B566" s="125"/>
      <c r="C566" s="62">
        <f>VLOOKUP(A7,B1:M560,2,0)</f>
        <v>2</v>
      </c>
      <c r="D566" s="62" t="str">
        <f>VLOOKUP(A7,B1:M560,3,0)</f>
        <v>幻术</v>
      </c>
      <c r="E566" s="62" t="str">
        <f>VLOOKUP(A7,B1:M560,4,0)</f>
        <v>x</v>
      </c>
      <c r="F566" s="63" t="str">
        <f>VLOOKUP(A7,B1:M560,5,0)</f>
        <v>1动作</v>
      </c>
      <c r="G566" s="62" t="str">
        <f>VLOOKUP(A7,B1:M560,6,0)</f>
        <v>触及</v>
      </c>
      <c r="H566" s="62" t="str">
        <f>VLOOKUP(A7,B1:M560,7,0)</f>
        <v>V</v>
      </c>
      <c r="I566" s="62" t="str">
        <f>VLOOKUP(A7,B1:M560,8,0)</f>
        <v>S</v>
      </c>
      <c r="J566" s="62" t="str">
        <f>VLOOKUP(A7,B1:M560,9,0)</f>
        <v>M</v>
      </c>
      <c r="K566" s="63" t="str">
        <f>VLOOKUP(A7,B1:M560,10,0)</f>
        <v>一根包裹在阿拉伯胶中的睫毛</v>
      </c>
      <c r="L566" s="62" t="str">
        <f>VLOOKUP(A7,B1:M560,11,0)</f>
        <v>专注,至多1小时</v>
      </c>
    </row>
    <row r="567" ht="14.25" customHeight="1" spans="1:12">
      <c r="A567" s="124" t="str">
        <f>施法!J10</f>
        <v>人类定身术</v>
      </c>
      <c r="B567" s="125"/>
      <c r="C567" s="62">
        <f>VLOOKUP(A8,B1:M560,2,0)</f>
        <v>2</v>
      </c>
      <c r="D567" s="62" t="str">
        <f>VLOOKUP(A8,B1:M560,3,0)</f>
        <v>惑控</v>
      </c>
      <c r="E567" s="62" t="str">
        <f>VLOOKUP(A8,B1:M560,4,0)</f>
        <v>x</v>
      </c>
      <c r="F567" s="63" t="str">
        <f>VLOOKUP(A8,B1:M560,5,0)</f>
        <v>1动作</v>
      </c>
      <c r="G567" s="62" t="str">
        <f>VLOOKUP(A8,B1:M560,6,0)</f>
        <v>60尺</v>
      </c>
      <c r="H567" s="62" t="str">
        <f>VLOOKUP(A8,B1:M560,7,0)</f>
        <v>V</v>
      </c>
      <c r="I567" s="62" t="str">
        <f>VLOOKUP(A8,B1:M560,8,0)</f>
        <v>S</v>
      </c>
      <c r="J567" s="62" t="str">
        <f>VLOOKUP(A8,B1:M560,9,0)</f>
        <v>M</v>
      </c>
      <c r="K567" s="63" t="str">
        <f>VLOOKUP(A8,B1:M560,10,0)</f>
        <v>一片直的小铁片</v>
      </c>
      <c r="L567" s="62" t="str">
        <f>VLOOKUP(A8,B1:M560,11,0)</f>
        <v>专注,至多1分钟</v>
      </c>
    </row>
    <row r="568" ht="14.25" customHeight="1" spans="1:12">
      <c r="A568" s="124" t="str">
        <f>施法!J11</f>
        <v>隐形仆役</v>
      </c>
      <c r="B568" s="125"/>
      <c r="C568" s="62">
        <f>VLOOKUP(A9,B1:M560,2,0)</f>
        <v>1</v>
      </c>
      <c r="D568" s="62" t="str">
        <f>VLOOKUP(A9,B1:M560,3,0)</f>
        <v>咒法</v>
      </c>
      <c r="E568" s="62" t="str">
        <f>VLOOKUP(A9,B1:M560,4,0)</f>
        <v>√</v>
      </c>
      <c r="F568" s="63" t="str">
        <f>VLOOKUP(A9,B1:M560,5,0)</f>
        <v>1动作</v>
      </c>
      <c r="G568" s="62" t="str">
        <f>VLOOKUP(A9,B1:M560,6,0)</f>
        <v>60尺</v>
      </c>
      <c r="H568" s="62" t="str">
        <f>VLOOKUP(A9,B1:M560,7,0)</f>
        <v>V</v>
      </c>
      <c r="I568" s="62" t="str">
        <f>VLOOKUP(A9,B1:M560,8,0)</f>
        <v>S</v>
      </c>
      <c r="J568" s="62" t="str">
        <f>VLOOKUP(A9,B1:M560,9,0)</f>
        <v>M</v>
      </c>
      <c r="K568" s="63" t="str">
        <f>VLOOKUP(A9,B1:M560,10,0)</f>
        <v>一根线和一块木头</v>
      </c>
      <c r="L568" s="62" t="str">
        <f>VLOOKUP(A9,B1:M560,11,0)</f>
        <v>1小时</v>
      </c>
    </row>
    <row r="569" ht="14.25" customHeight="1" spans="1:12">
      <c r="A569" s="124" t="str">
        <f>施法!J12</f>
        <v>修复术</v>
      </c>
      <c r="B569" s="125"/>
      <c r="C569" s="62">
        <f>VLOOKUP(A10,B1:M560,2,0)</f>
        <v>0</v>
      </c>
      <c r="D569" s="62" t="str">
        <f>VLOOKUP(A10,B1:M560,3,0)</f>
        <v>变化</v>
      </c>
      <c r="E569" s="62" t="str">
        <f>VLOOKUP(A10,B1:M560,4,0)</f>
        <v>x</v>
      </c>
      <c r="F569" s="63" t="str">
        <f>VLOOKUP(A10,B1:M560,5,0)</f>
        <v>1分钟</v>
      </c>
      <c r="G569" s="62" t="str">
        <f>VLOOKUP(A10,B1:M560,6,0)</f>
        <v>触及</v>
      </c>
      <c r="H569" s="62" t="str">
        <f>VLOOKUP(A10,B1:M560,7,0)</f>
        <v>V</v>
      </c>
      <c r="I569" s="62" t="str">
        <f>VLOOKUP(A10,B1:M560,8,0)</f>
        <v>S</v>
      </c>
      <c r="J569" s="62" t="str">
        <f>VLOOKUP(A10,B1:M560,9,0)</f>
        <v>M</v>
      </c>
      <c r="K569" s="63" t="str">
        <f>VLOOKUP(A10,B1:M560,10,0)</f>
        <v>两块天然磁石</v>
      </c>
      <c r="L569" s="62" t="str">
        <f>VLOOKUP(A10,B1:M560,11,0)</f>
        <v>立即</v>
      </c>
    </row>
    <row r="570" ht="14.25" customHeight="1" spans="1:12">
      <c r="A570" s="124" t="str">
        <f>施法!J13</f>
        <v>亡灵召唤术</v>
      </c>
      <c r="B570" s="125"/>
      <c r="C570" s="62" t="e">
        <f>VLOOKUP(A11,B1:M560,2,0)</f>
        <v>#N/A</v>
      </c>
      <c r="D570" s="62" t="e">
        <f>VLOOKUP(A11,B1:M560,3,0)</f>
        <v>#N/A</v>
      </c>
      <c r="E570" s="62" t="e">
        <f>VLOOKUP(A11,B1:M560,4,0)</f>
        <v>#N/A</v>
      </c>
      <c r="F570" s="63" t="e">
        <f>VLOOKUP(A11,B1:M560,5,0)</f>
        <v>#N/A</v>
      </c>
      <c r="G570" s="62" t="e">
        <f>VLOOKUP(A11,B1:M560,6,0)</f>
        <v>#N/A</v>
      </c>
      <c r="H570" s="62" t="e">
        <f>VLOOKUP(A11,B1:M560,7,0)</f>
        <v>#N/A</v>
      </c>
      <c r="I570" s="62" t="e">
        <f>VLOOKUP(A11,B1:M560,8,0)</f>
        <v>#N/A</v>
      </c>
      <c r="J570" s="62" t="e">
        <f>VLOOKUP(A11,B1:M560,9,0)</f>
        <v>#N/A</v>
      </c>
      <c r="K570" s="63" t="e">
        <f>VLOOKUP(A11,B1:M560,10,0)</f>
        <v>#N/A</v>
      </c>
      <c r="L570" s="62" t="e">
        <f>VLOOKUP(A11,B1:M560,11,0)</f>
        <v>#N/A</v>
      </c>
    </row>
    <row r="571" ht="14.25" customHeight="1" spans="1:13">
      <c r="A571" s="124" t="str">
        <f>施法!J14</f>
        <v>法术名</v>
      </c>
      <c r="B571" s="126"/>
      <c r="C571" s="127"/>
      <c r="D571" s="127"/>
      <c r="E571" s="127"/>
      <c r="F571" s="128"/>
      <c r="G571" s="127"/>
      <c r="H571" s="127"/>
      <c r="I571" s="127"/>
      <c r="J571" s="127"/>
      <c r="K571" s="128"/>
      <c r="L571" s="127"/>
      <c r="M571" s="130"/>
    </row>
    <row r="572" ht="14.25" customHeight="1" spans="1:12">
      <c r="A572" s="124">
        <f>施法!J15</f>
        <v>0</v>
      </c>
      <c r="B572" s="125"/>
      <c r="C572" s="62" t="str">
        <f>VLOOKUP(A13,B1:M560,2,0)</f>
        <v>-</v>
      </c>
      <c r="D572" s="62" t="str">
        <f>VLOOKUP(A13,B1:M560,3,0)</f>
        <v>-</v>
      </c>
      <c r="E572" s="62" t="str">
        <f>VLOOKUP(A13,B1:M560,4,0)</f>
        <v>-</v>
      </c>
      <c r="F572" s="63" t="str">
        <f>VLOOKUP(A13,B1:M560,5,0)</f>
        <v>-</v>
      </c>
      <c r="G572" s="62" t="str">
        <f>VLOOKUP(A13,B1:M560,6,0)</f>
        <v>-</v>
      </c>
      <c r="H572" s="62" t="str">
        <f>VLOOKUP(A13,B1:M560,7,0)</f>
        <v>-</v>
      </c>
      <c r="I572" s="62" t="str">
        <f>VLOOKUP(A13,B1:M560,8,0)</f>
        <v>-</v>
      </c>
      <c r="J572" s="62" t="str">
        <f>VLOOKUP(A13,B1:M560,9,0)</f>
        <v>-</v>
      </c>
      <c r="K572" s="63" t="str">
        <f>VLOOKUP(A13,B1:M560,10,0)</f>
        <v>-</v>
      </c>
      <c r="L572" s="62" t="str">
        <f>VLOOKUP(A13,B1:M560,11,0)</f>
        <v>-</v>
      </c>
    </row>
    <row r="573" ht="14.25" customHeight="1" spans="1:12">
      <c r="A573" s="124">
        <f>施法!J16</f>
        <v>0</v>
      </c>
      <c r="B573" s="125"/>
      <c r="C573" s="62" t="str">
        <f>VLOOKUP(A14,B1:M560,2,0)</f>
        <v>-</v>
      </c>
      <c r="D573" s="62" t="str">
        <f>VLOOKUP(A14,B1:M560,3,0)</f>
        <v>-</v>
      </c>
      <c r="E573" s="62" t="str">
        <f>VLOOKUP(A14,B1:M560,4,0)</f>
        <v>-</v>
      </c>
      <c r="F573" s="63" t="str">
        <f>VLOOKUP(A14,B1:M560,5,0)</f>
        <v>-</v>
      </c>
      <c r="G573" s="62" t="str">
        <f>VLOOKUP(A14,B1:M560,6,0)</f>
        <v>-</v>
      </c>
      <c r="H573" s="62" t="str">
        <f>VLOOKUP(A14,B1:M560,7,0)</f>
        <v>-</v>
      </c>
      <c r="I573" s="62" t="str">
        <f>VLOOKUP(A14,B1:M560,8,0)</f>
        <v>-</v>
      </c>
      <c r="J573" s="62" t="str">
        <f>VLOOKUP(A14,B1:M560,9,0)</f>
        <v>-</v>
      </c>
      <c r="K573" s="63" t="str">
        <f>VLOOKUP(A14,B1:M560,10,0)</f>
        <v>-</v>
      </c>
      <c r="L573" s="62" t="str">
        <f>VLOOKUP(A14,B1:M560,11,0)</f>
        <v>-</v>
      </c>
    </row>
    <row r="574" ht="14.25" customHeight="1" spans="1:12">
      <c r="A574" s="124">
        <f>施法!J17</f>
        <v>0</v>
      </c>
      <c r="B574" s="125"/>
      <c r="C574" s="62" t="str">
        <f>VLOOKUP(A15,B1:M560,2,0)</f>
        <v>-</v>
      </c>
      <c r="D574" s="62" t="str">
        <f>VLOOKUP(A15,B1:M560,3,0)</f>
        <v>-</v>
      </c>
      <c r="E574" s="62" t="str">
        <f>VLOOKUP(A15,B1:M560,4,0)</f>
        <v>-</v>
      </c>
      <c r="F574" s="63" t="str">
        <f>VLOOKUP(A15,B1:M560,5,0)</f>
        <v>-</v>
      </c>
      <c r="G574" s="62" t="str">
        <f>VLOOKUP(A15,B1:M560,6,0)</f>
        <v>-</v>
      </c>
      <c r="H574" s="62" t="str">
        <f>VLOOKUP(A15,B1:M560,7,0)</f>
        <v>-</v>
      </c>
      <c r="I574" s="62" t="str">
        <f>VLOOKUP(A15,B1:M560,8,0)</f>
        <v>-</v>
      </c>
      <c r="J574" s="62" t="str">
        <f>VLOOKUP(A15,B1:M560,9,0)</f>
        <v>-</v>
      </c>
      <c r="K574" s="63" t="str">
        <f>VLOOKUP(A15,B1:M560,10,0)</f>
        <v>-</v>
      </c>
      <c r="L574" s="62" t="str">
        <f>VLOOKUP(A15,B1:M560,11,0)</f>
        <v>-</v>
      </c>
    </row>
    <row r="575" ht="14.25" customHeight="1" spans="1:12">
      <c r="A575" s="124">
        <f>施法!J18</f>
        <v>0</v>
      </c>
      <c r="B575" s="125"/>
      <c r="C575" s="62" t="str">
        <f>VLOOKUP(A16,B1:M560,2,0)</f>
        <v>-</v>
      </c>
      <c r="D575" s="62" t="str">
        <f>VLOOKUP(A16,B1:M560,3,0)</f>
        <v>-</v>
      </c>
      <c r="E575" s="62" t="str">
        <f>VLOOKUP(A16,B1:M560,4,0)</f>
        <v>-</v>
      </c>
      <c r="F575" s="63" t="str">
        <f>VLOOKUP(A16,B1:M560,5,0)</f>
        <v>-</v>
      </c>
      <c r="G575" s="62" t="str">
        <f>VLOOKUP(A16,B1:M560,6,0)</f>
        <v>-</v>
      </c>
      <c r="H575" s="62" t="str">
        <f>VLOOKUP(A16,B1:M560,7,0)</f>
        <v>-</v>
      </c>
      <c r="I575" s="62" t="str">
        <f>VLOOKUP(A16,B1:M560,8,0)</f>
        <v>-</v>
      </c>
      <c r="J575" s="62" t="str">
        <f>VLOOKUP(A16,B1:M560,9,0)</f>
        <v>-</v>
      </c>
      <c r="K575" s="63" t="str">
        <f>VLOOKUP(A16,B1:M560,10,0)</f>
        <v>-</v>
      </c>
      <c r="L575" s="62" t="str">
        <f>VLOOKUP(A16,B1:M560,11,0)</f>
        <v>-</v>
      </c>
    </row>
    <row r="576" ht="14.25" customHeight="1" spans="1:12">
      <c r="A576" s="124">
        <f>施法!J19</f>
        <v>0</v>
      </c>
      <c r="B576" s="125"/>
      <c r="C576" s="62" t="str">
        <f>VLOOKUP(A17,B1:M560,2,0)</f>
        <v>-</v>
      </c>
      <c r="D576" s="62" t="str">
        <f>VLOOKUP(A17,B1:M560,3,0)</f>
        <v>-</v>
      </c>
      <c r="E576" s="62" t="str">
        <f>VLOOKUP(A17,B1:M560,4,0)</f>
        <v>-</v>
      </c>
      <c r="F576" s="63" t="str">
        <f>VLOOKUP(A17,B1:M560,5,0)</f>
        <v>-</v>
      </c>
      <c r="G576" s="62" t="str">
        <f>VLOOKUP(A17,B1:M560,6,0)</f>
        <v>-</v>
      </c>
      <c r="H576" s="62" t="str">
        <f>VLOOKUP(A17,B1:M560,7,0)</f>
        <v>-</v>
      </c>
      <c r="I576" s="62" t="str">
        <f>VLOOKUP(A17,B1:M560,8,0)</f>
        <v>-</v>
      </c>
      <c r="J576" s="62" t="str">
        <f>VLOOKUP(A17,B1:M560,9,0)</f>
        <v>-</v>
      </c>
      <c r="K576" s="63" t="str">
        <f>VLOOKUP(A17,B1:M560,10,0)</f>
        <v>-</v>
      </c>
      <c r="L576" s="62" t="str">
        <f>VLOOKUP(A17,B1:M560,11,0)</f>
        <v>-</v>
      </c>
    </row>
    <row r="577" ht="14.25" customHeight="1" spans="1:12">
      <c r="A577" s="124">
        <f>施法!J20</f>
        <v>0</v>
      </c>
      <c r="B577" s="125"/>
      <c r="C577" s="62" t="str">
        <f>VLOOKUP(A18,B1:M560,2,0)</f>
        <v>-</v>
      </c>
      <c r="D577" s="62" t="str">
        <f>VLOOKUP(A18,B1:M560,3,0)</f>
        <v>-</v>
      </c>
      <c r="E577" s="62" t="str">
        <f>VLOOKUP(A18,B1:M560,4,0)</f>
        <v>-</v>
      </c>
      <c r="F577" s="63" t="str">
        <f>VLOOKUP(A18,B1:M560,5,0)</f>
        <v>-</v>
      </c>
      <c r="G577" s="62" t="str">
        <f>VLOOKUP(A18,B1:M560,6,0)</f>
        <v>-</v>
      </c>
      <c r="H577" s="62" t="str">
        <f>VLOOKUP(A18,B1:M560,7,0)</f>
        <v>-</v>
      </c>
      <c r="I577" s="62" t="str">
        <f>VLOOKUP(A18,B1:M560,8,0)</f>
        <v>-</v>
      </c>
      <c r="J577" s="62" t="str">
        <f>VLOOKUP(A18,B1:M560,9,0)</f>
        <v>-</v>
      </c>
      <c r="K577" s="63" t="str">
        <f>VLOOKUP(A18,B1:M560,10,0)</f>
        <v>-</v>
      </c>
      <c r="L577" s="62" t="str">
        <f>VLOOKUP(A18,B1:M560,11,0)</f>
        <v>-</v>
      </c>
    </row>
    <row r="578" ht="14.25" customHeight="1" spans="1:12">
      <c r="A578" s="124">
        <f>施法!J21</f>
        <v>0</v>
      </c>
      <c r="B578" s="125"/>
      <c r="C578" s="62" t="str">
        <f>VLOOKUP(A19,B1:M560,2,0)</f>
        <v>-</v>
      </c>
      <c r="D578" s="62" t="str">
        <f>VLOOKUP(A19,B1:M560,3,0)</f>
        <v>-</v>
      </c>
      <c r="E578" s="62" t="str">
        <f>VLOOKUP(A19,B1:M560,4,0)</f>
        <v>-</v>
      </c>
      <c r="F578" s="63" t="str">
        <f>VLOOKUP(A19,B1:M560,5,0)</f>
        <v>-</v>
      </c>
      <c r="G578" s="62" t="str">
        <f>VLOOKUP(A19,B1:M560,6,0)</f>
        <v>-</v>
      </c>
      <c r="H578" s="62" t="str">
        <f>VLOOKUP(A19,B1:M560,7,0)</f>
        <v>-</v>
      </c>
      <c r="I578" s="62" t="str">
        <f>VLOOKUP(A19,B1:M560,8,0)</f>
        <v>-</v>
      </c>
      <c r="J578" s="62" t="str">
        <f>VLOOKUP(A19,B1:M560,9,0)</f>
        <v>-</v>
      </c>
      <c r="K578" s="63" t="str">
        <f>VLOOKUP(A19,B1:M560,10,0)</f>
        <v>-</v>
      </c>
      <c r="L578" s="62" t="str">
        <f>VLOOKUP(A19,B1:M560,11,0)</f>
        <v>-</v>
      </c>
    </row>
    <row r="579" ht="14.25" customHeight="1" spans="1:12">
      <c r="A579" s="124">
        <f>施法!J22</f>
        <v>0</v>
      </c>
      <c r="B579" s="125"/>
      <c r="C579" s="62" t="str">
        <f>VLOOKUP(A20,B1:M560,2,0)</f>
        <v>-</v>
      </c>
      <c r="D579" s="62" t="str">
        <f>VLOOKUP(A20,B1:M560,3,0)</f>
        <v>-</v>
      </c>
      <c r="E579" s="62" t="str">
        <f>VLOOKUP(A20,B1:M560,4,0)</f>
        <v>-</v>
      </c>
      <c r="F579" s="63" t="str">
        <f>VLOOKUP(A20,B1:M560,5,0)</f>
        <v>-</v>
      </c>
      <c r="G579" s="62" t="str">
        <f>VLOOKUP(A20,B1:M560,6,0)</f>
        <v>-</v>
      </c>
      <c r="H579" s="62" t="str">
        <f>VLOOKUP(A20,B1:M560,7,0)</f>
        <v>-</v>
      </c>
      <c r="I579" s="62" t="str">
        <f>VLOOKUP(A20,B1:M560,8,0)</f>
        <v>-</v>
      </c>
      <c r="J579" s="62" t="str">
        <f>VLOOKUP(A20,B1:M560,9,0)</f>
        <v>-</v>
      </c>
      <c r="K579" s="63" t="str">
        <f>VLOOKUP(A20,B1:M560,10,0)</f>
        <v>-</v>
      </c>
      <c r="L579" s="62" t="str">
        <f>VLOOKUP(A20,B1:M560,11,0)</f>
        <v>-</v>
      </c>
    </row>
    <row r="580" ht="14.25" customHeight="1" spans="1:12">
      <c r="A580" s="124">
        <f>施法!J23</f>
        <v>0</v>
      </c>
      <c r="B580" s="125"/>
      <c r="C580" s="62" t="str">
        <f>VLOOKUP(A21,B1:M560,2,0)</f>
        <v>-</v>
      </c>
      <c r="D580" s="62" t="str">
        <f>VLOOKUP(A21,B1:M560,3,0)</f>
        <v>-</v>
      </c>
      <c r="E580" s="62" t="str">
        <f>VLOOKUP(A21,B1:M560,4,0)</f>
        <v>-</v>
      </c>
      <c r="F580" s="63" t="str">
        <f>VLOOKUP(A21,B1:M560,5,0)</f>
        <v>-</v>
      </c>
      <c r="G580" s="62" t="str">
        <f>VLOOKUP(A21,B1:M560,6,0)</f>
        <v>-</v>
      </c>
      <c r="H580" s="62" t="str">
        <f>VLOOKUP(A21,B1:M560,7,0)</f>
        <v>-</v>
      </c>
      <c r="I580" s="62" t="str">
        <f>VLOOKUP(A21,B1:M560,8,0)</f>
        <v>-</v>
      </c>
      <c r="J580" s="62" t="str">
        <f>VLOOKUP(A21,B1:M560,9,0)</f>
        <v>-</v>
      </c>
      <c r="K580" s="63" t="str">
        <f>VLOOKUP(A21,B1:M560,10,0)</f>
        <v>-</v>
      </c>
      <c r="L580" s="62" t="str">
        <f>VLOOKUP(A21,B1:M560,11,0)</f>
        <v>-</v>
      </c>
    </row>
    <row r="581" ht="14.25" customHeight="1" spans="1:12">
      <c r="A581" s="124">
        <f>施法!J24</f>
        <v>0</v>
      </c>
      <c r="B581" s="125"/>
      <c r="C581" s="62" t="str">
        <f>VLOOKUP(A22,B1:M560,2,0)</f>
        <v>-</v>
      </c>
      <c r="D581" s="62" t="str">
        <f>VLOOKUP(A22,B1:M560,3,0)</f>
        <v>-</v>
      </c>
      <c r="E581" s="62" t="str">
        <f>VLOOKUP(A22,B1:M560,4,0)</f>
        <v>-</v>
      </c>
      <c r="F581" s="63" t="str">
        <f>VLOOKUP(A22,B1:M560,5,0)</f>
        <v>-</v>
      </c>
      <c r="G581" s="62" t="str">
        <f>VLOOKUP(A22,B1:M560,6,0)</f>
        <v>-</v>
      </c>
      <c r="H581" s="62" t="str">
        <f>VLOOKUP(A22,B1:M560,7,0)</f>
        <v>-</v>
      </c>
      <c r="I581" s="62" t="str">
        <f>VLOOKUP(A22,B1:M560,8,0)</f>
        <v>-</v>
      </c>
      <c r="J581" s="62" t="str">
        <f>VLOOKUP(A22,B1:M560,9,0)</f>
        <v>-</v>
      </c>
      <c r="K581" s="63" t="str">
        <f>VLOOKUP(A22,B1:M560,10,0)</f>
        <v>-</v>
      </c>
      <c r="L581" s="62" t="str">
        <f>VLOOKUP(A22,B1:M560,11,0)</f>
        <v>-</v>
      </c>
    </row>
    <row r="582" ht="14.25" customHeight="1" spans="1:13">
      <c r="A582" s="124" t="str">
        <f>施法!J25</f>
        <v>法术名</v>
      </c>
      <c r="B582" s="126"/>
      <c r="C582" s="127"/>
      <c r="D582" s="127"/>
      <c r="E582" s="127"/>
      <c r="F582" s="128"/>
      <c r="G582" s="127"/>
      <c r="H582" s="127"/>
      <c r="I582" s="127"/>
      <c r="J582" s="127"/>
      <c r="K582" s="128"/>
      <c r="L582" s="127"/>
      <c r="M582" s="130"/>
    </row>
    <row r="583" ht="14.25" customHeight="1" spans="1:12">
      <c r="A583" s="124">
        <f>施法!J26</f>
        <v>0</v>
      </c>
      <c r="B583" s="125"/>
      <c r="C583" s="62" t="str">
        <f>VLOOKUP(A24,B1:M560,2,0)</f>
        <v>-</v>
      </c>
      <c r="D583" s="62" t="str">
        <f>VLOOKUP(A24,B1:M560,3,0)</f>
        <v>-</v>
      </c>
      <c r="E583" s="62" t="str">
        <f>VLOOKUP(A24,B1:M560,4,0)</f>
        <v>-</v>
      </c>
      <c r="F583" s="63" t="str">
        <f>VLOOKUP(A24,B1:M560,5,0)</f>
        <v>-</v>
      </c>
      <c r="G583" s="62" t="str">
        <f>VLOOKUP(A24,B1:M560,6,0)</f>
        <v>-</v>
      </c>
      <c r="H583" s="62" t="str">
        <f>VLOOKUP(A24,B1:M560,7,0)</f>
        <v>-</v>
      </c>
      <c r="I583" s="62" t="str">
        <f>VLOOKUP(A24,B1:M560,8,0)</f>
        <v>-</v>
      </c>
      <c r="J583" s="62" t="str">
        <f>VLOOKUP(A24,B1:M560,9,0)</f>
        <v>-</v>
      </c>
      <c r="K583" s="63" t="str">
        <f>VLOOKUP(A24,B1:M560,10,0)</f>
        <v>-</v>
      </c>
      <c r="L583" s="62" t="str">
        <f>VLOOKUP(A24,B1:M560,11,0)</f>
        <v>-</v>
      </c>
    </row>
    <row r="584" ht="14.25" customHeight="1" spans="1:12">
      <c r="A584" s="124">
        <f>施法!J27</f>
        <v>0</v>
      </c>
      <c r="B584" s="125"/>
      <c r="C584" s="62" t="str">
        <f>VLOOKUP(A25,B1:M560,2,0)</f>
        <v>-</v>
      </c>
      <c r="D584" s="62" t="str">
        <f>VLOOKUP(A25,B1:M560,3,0)</f>
        <v>-</v>
      </c>
      <c r="E584" s="62" t="str">
        <f>VLOOKUP(A25,B1:M560,4,0)</f>
        <v>-</v>
      </c>
      <c r="F584" s="63" t="str">
        <f>VLOOKUP(A25,B1:M560,5,0)</f>
        <v>-</v>
      </c>
      <c r="G584" s="62" t="str">
        <f>VLOOKUP(A25,B1:M560,6,0)</f>
        <v>-</v>
      </c>
      <c r="H584" s="62" t="str">
        <f>VLOOKUP(A25,B1:M560,7,0)</f>
        <v>-</v>
      </c>
      <c r="I584" s="62" t="str">
        <f>VLOOKUP(A25,B1:M560,8,0)</f>
        <v>-</v>
      </c>
      <c r="J584" s="62" t="str">
        <f>VLOOKUP(A25,B1:M560,9,0)</f>
        <v>-</v>
      </c>
      <c r="K584" s="63" t="str">
        <f>VLOOKUP(A25,B1:M560,10,0)</f>
        <v>-</v>
      </c>
      <c r="L584" s="62" t="str">
        <f>VLOOKUP(A25,B1:M560,11,0)</f>
        <v>-</v>
      </c>
    </row>
    <row r="585" ht="14.25" customHeight="1" spans="1:12">
      <c r="A585" s="124">
        <f>施法!J28</f>
        <v>0</v>
      </c>
      <c r="B585" s="125"/>
      <c r="C585" s="62" t="str">
        <f>VLOOKUP(A26,B1:M560,2,0)</f>
        <v>-</v>
      </c>
      <c r="D585" s="62" t="str">
        <f>VLOOKUP(A26,B1:M560,3,0)</f>
        <v>-</v>
      </c>
      <c r="E585" s="62" t="str">
        <f>VLOOKUP(A26,B1:M560,4,0)</f>
        <v>-</v>
      </c>
      <c r="F585" s="63" t="str">
        <f>VLOOKUP(A26,B1:M560,5,0)</f>
        <v>-</v>
      </c>
      <c r="G585" s="62" t="str">
        <f>VLOOKUP(A26,B1:M560,6,0)</f>
        <v>-</v>
      </c>
      <c r="H585" s="62" t="str">
        <f>VLOOKUP(A26,B1:M560,7,0)</f>
        <v>-</v>
      </c>
      <c r="I585" s="62" t="str">
        <f>VLOOKUP(A26,B1:M560,8,0)</f>
        <v>-</v>
      </c>
      <c r="J585" s="62" t="str">
        <f>VLOOKUP(A26,B1:M560,9,0)</f>
        <v>-</v>
      </c>
      <c r="K585" s="63" t="str">
        <f>VLOOKUP(A26,B1:M560,10,0)</f>
        <v>-</v>
      </c>
      <c r="L585" s="62" t="str">
        <f>VLOOKUP(A26,B1:M560,11,0)</f>
        <v>-</v>
      </c>
    </row>
    <row r="586" ht="14.25" customHeight="1" spans="1:12">
      <c r="A586" s="124">
        <f>施法!J29</f>
        <v>0</v>
      </c>
      <c r="B586" s="125"/>
      <c r="C586" s="62" t="str">
        <f>VLOOKUP(A27,B1:M560,2,0)</f>
        <v>-</v>
      </c>
      <c r="D586" s="62" t="str">
        <f>VLOOKUP(A27,B1:M560,3,0)</f>
        <v>-</v>
      </c>
      <c r="E586" s="62" t="str">
        <f>VLOOKUP(A27,B1:M560,4,0)</f>
        <v>-</v>
      </c>
      <c r="F586" s="63" t="str">
        <f>VLOOKUP(A27,B1:M560,5,0)</f>
        <v>-</v>
      </c>
      <c r="G586" s="62" t="str">
        <f>VLOOKUP(A27,B1:M560,6,0)</f>
        <v>-</v>
      </c>
      <c r="H586" s="62" t="str">
        <f>VLOOKUP(A27,B1:M560,7,0)</f>
        <v>-</v>
      </c>
      <c r="I586" s="62" t="str">
        <f>VLOOKUP(A27,B1:M560,8,0)</f>
        <v>-</v>
      </c>
      <c r="J586" s="62" t="str">
        <f>VLOOKUP(A27,B1:M560,9,0)</f>
        <v>-</v>
      </c>
      <c r="K586" s="63" t="str">
        <f>VLOOKUP(A27,B1:M560,10,0)</f>
        <v>-</v>
      </c>
      <c r="L586" s="62" t="str">
        <f>VLOOKUP(A27,B1:M560,11,0)</f>
        <v>-</v>
      </c>
    </row>
    <row r="587" ht="14.25" customHeight="1" spans="1:12">
      <c r="A587" s="124">
        <f>施法!J30</f>
        <v>0</v>
      </c>
      <c r="B587" s="125"/>
      <c r="C587" s="62" t="str">
        <f>VLOOKUP(A28,B1:M560,2,0)</f>
        <v>-</v>
      </c>
      <c r="D587" s="62" t="str">
        <f>VLOOKUP(A28,B1:M560,3,0)</f>
        <v>-</v>
      </c>
      <c r="E587" s="62" t="str">
        <f>VLOOKUP(A28,B1:M560,4,0)</f>
        <v>-</v>
      </c>
      <c r="F587" s="63" t="str">
        <f>VLOOKUP(A28,B1:M560,5,0)</f>
        <v>-</v>
      </c>
      <c r="G587" s="62" t="str">
        <f>VLOOKUP(A28,B1:M560,6,0)</f>
        <v>-</v>
      </c>
      <c r="H587" s="62" t="str">
        <f>VLOOKUP(A28,B1:M560,7,0)</f>
        <v>-</v>
      </c>
      <c r="I587" s="62" t="str">
        <f>VLOOKUP(A28,B1:M560,8,0)</f>
        <v>-</v>
      </c>
      <c r="J587" s="62" t="str">
        <f>VLOOKUP(A28,B1:M560,9,0)</f>
        <v>-</v>
      </c>
      <c r="K587" s="63" t="str">
        <f>VLOOKUP(A28,B1:M560,10,0)</f>
        <v>-</v>
      </c>
      <c r="L587" s="62" t="str">
        <f>VLOOKUP(A28,B1:M560,11,0)</f>
        <v>-</v>
      </c>
    </row>
    <row r="588" ht="14.25" customHeight="1" spans="1:12">
      <c r="A588" s="124">
        <f>施法!J31</f>
        <v>0</v>
      </c>
      <c r="B588" s="125"/>
      <c r="C588" s="62" t="str">
        <f>VLOOKUP(A29,B1:M560,2,0)</f>
        <v>-</v>
      </c>
      <c r="D588" s="62" t="str">
        <f>VLOOKUP(A29,B1:M560,3,0)</f>
        <v>-</v>
      </c>
      <c r="E588" s="62" t="str">
        <f>VLOOKUP(A29,B1:M560,4,0)</f>
        <v>-</v>
      </c>
      <c r="F588" s="63" t="str">
        <f>VLOOKUP(A29,B1:M560,5,0)</f>
        <v>-</v>
      </c>
      <c r="G588" s="62" t="str">
        <f>VLOOKUP(A29,B1:M560,6,0)</f>
        <v>-</v>
      </c>
      <c r="H588" s="62" t="str">
        <f>VLOOKUP(A29,B1:M560,7,0)</f>
        <v>-</v>
      </c>
      <c r="I588" s="62" t="str">
        <f>VLOOKUP(A29,B1:M560,8,0)</f>
        <v>-</v>
      </c>
      <c r="J588" s="62" t="str">
        <f>VLOOKUP(A29,B1:M560,9,0)</f>
        <v>-</v>
      </c>
      <c r="K588" s="63" t="str">
        <f>VLOOKUP(A29,B1:M560,10,0)</f>
        <v>-</v>
      </c>
      <c r="L588" s="62" t="str">
        <f>VLOOKUP(A29,B1:M560,11,0)</f>
        <v>-</v>
      </c>
    </row>
    <row r="589" ht="14.25" customHeight="1" spans="1:12">
      <c r="A589" s="124">
        <f>施法!J32</f>
        <v>0</v>
      </c>
      <c r="B589" s="125"/>
      <c r="C589" s="62" t="str">
        <f>VLOOKUP(A30,B1:M560,2,0)</f>
        <v>-</v>
      </c>
      <c r="D589" s="62" t="str">
        <f>VLOOKUP(A30,B1:M560,3,0)</f>
        <v>-</v>
      </c>
      <c r="E589" s="62" t="str">
        <f>VLOOKUP(A30,B1:M560,4,0)</f>
        <v>-</v>
      </c>
      <c r="F589" s="63" t="str">
        <f>VLOOKUP(A30,B1:M560,5,0)</f>
        <v>-</v>
      </c>
      <c r="G589" s="62" t="str">
        <f>VLOOKUP(A30,B1:M560,6,0)</f>
        <v>-</v>
      </c>
      <c r="H589" s="62" t="str">
        <f>VLOOKUP(A30,B1:M560,7,0)</f>
        <v>-</v>
      </c>
      <c r="I589" s="62" t="str">
        <f>VLOOKUP(A30,B1:M560,8,0)</f>
        <v>-</v>
      </c>
      <c r="J589" s="62" t="str">
        <f>VLOOKUP(A30,B1:M560,9,0)</f>
        <v>-</v>
      </c>
      <c r="K589" s="63" t="str">
        <f>VLOOKUP(A30,B1:M560,10,0)</f>
        <v>-</v>
      </c>
      <c r="L589" s="62" t="str">
        <f>VLOOKUP(A30,B1:M560,11,0)</f>
        <v>-</v>
      </c>
    </row>
    <row r="590" ht="14.25" customHeight="1" spans="1:12">
      <c r="A590" s="124">
        <f>施法!J33</f>
        <v>0</v>
      </c>
      <c r="B590" s="125"/>
      <c r="C590" s="62" t="str">
        <f>VLOOKUP(A31,B1:M560,2,0)</f>
        <v>-</v>
      </c>
      <c r="D590" s="62" t="str">
        <f>VLOOKUP(A31,B1:M560,3,0)</f>
        <v>-</v>
      </c>
      <c r="E590" s="62" t="str">
        <f>VLOOKUP(A31,B1:M560,4,0)</f>
        <v>-</v>
      </c>
      <c r="F590" s="63" t="str">
        <f>VLOOKUP(A31,B1:M560,5,0)</f>
        <v>-</v>
      </c>
      <c r="G590" s="62" t="str">
        <f>VLOOKUP(A31,B1:M560,6,0)</f>
        <v>-</v>
      </c>
      <c r="H590" s="62" t="str">
        <f>VLOOKUP(A31,B1:M560,7,0)</f>
        <v>-</v>
      </c>
      <c r="I590" s="62" t="str">
        <f>VLOOKUP(A31,B1:M560,8,0)</f>
        <v>-</v>
      </c>
      <c r="J590" s="62" t="str">
        <f>VLOOKUP(A31,B1:M560,9,0)</f>
        <v>-</v>
      </c>
      <c r="K590" s="63" t="str">
        <f>VLOOKUP(A31,B1:M560,10,0)</f>
        <v>-</v>
      </c>
      <c r="L590" s="62" t="str">
        <f>VLOOKUP(A31,B1:M560,11,0)</f>
        <v>-</v>
      </c>
    </row>
    <row r="591" ht="14.25" customHeight="1" spans="1:12">
      <c r="A591" s="124">
        <f>施法!J34</f>
        <v>0</v>
      </c>
      <c r="B591" s="125"/>
      <c r="C591" s="62" t="str">
        <f>VLOOKUP(A32,B1:M560,2,0)</f>
        <v>-</v>
      </c>
      <c r="D591" s="62" t="str">
        <f>VLOOKUP(A32,B1:M560,3,0)</f>
        <v>-</v>
      </c>
      <c r="E591" s="62" t="str">
        <f>VLOOKUP(A32,B1:M560,4,0)</f>
        <v>-</v>
      </c>
      <c r="F591" s="63" t="str">
        <f>VLOOKUP(A32,B1:M560,5,0)</f>
        <v>-</v>
      </c>
      <c r="G591" s="62" t="str">
        <f>VLOOKUP(A32,B1:M560,6,0)</f>
        <v>-</v>
      </c>
      <c r="H591" s="62" t="str">
        <f>VLOOKUP(A32,B1:M560,7,0)</f>
        <v>-</v>
      </c>
      <c r="I591" s="62" t="str">
        <f>VLOOKUP(A32,B1:M560,8,0)</f>
        <v>-</v>
      </c>
      <c r="J591" s="62" t="str">
        <f>VLOOKUP(A32,B1:M560,9,0)</f>
        <v>-</v>
      </c>
      <c r="K591" s="63" t="str">
        <f>VLOOKUP(A32,B1:M560,10,0)</f>
        <v>-</v>
      </c>
      <c r="L591" s="62" t="str">
        <f>VLOOKUP(A32,B1:M560,11,0)</f>
        <v>-</v>
      </c>
    </row>
    <row r="592" ht="14.25" customHeight="1" spans="1:12">
      <c r="A592" s="124">
        <f>施法!J35</f>
        <v>0</v>
      </c>
      <c r="B592" s="125"/>
      <c r="C592" s="62" t="str">
        <f>VLOOKUP(A33,B1:M560,2,0)</f>
        <v>-</v>
      </c>
      <c r="D592" s="62" t="str">
        <f>VLOOKUP(A33,B1:M560,3,0)</f>
        <v>-</v>
      </c>
      <c r="E592" s="62" t="str">
        <f>VLOOKUP(A33,B1:M560,4,0)</f>
        <v>-</v>
      </c>
      <c r="F592" s="63" t="str">
        <f>VLOOKUP(A33,B1:M560,5,0)</f>
        <v>-</v>
      </c>
      <c r="G592" s="62" t="str">
        <f>VLOOKUP(A33,B1:M560,6,0)</f>
        <v>-</v>
      </c>
      <c r="H592" s="62" t="str">
        <f>VLOOKUP(A33,B1:M560,7,0)</f>
        <v>-</v>
      </c>
      <c r="I592" s="62" t="str">
        <f>VLOOKUP(A33,B1:M560,8,0)</f>
        <v>-</v>
      </c>
      <c r="J592" s="62" t="str">
        <f>VLOOKUP(A33,B1:M560,9,0)</f>
        <v>-</v>
      </c>
      <c r="K592" s="63" t="str">
        <f>VLOOKUP(A33,B1:M560,10,0)</f>
        <v>-</v>
      </c>
      <c r="L592" s="62" t="str">
        <f>VLOOKUP(A33,B1:M560,11,0)</f>
        <v>-</v>
      </c>
    </row>
    <row r="593" ht="14.25" customHeight="1" spans="1:13">
      <c r="A593" s="124" t="str">
        <f>施法!J36</f>
        <v>法术名</v>
      </c>
      <c r="B593" s="126"/>
      <c r="C593" s="127"/>
      <c r="D593" s="127"/>
      <c r="E593" s="127"/>
      <c r="F593" s="128"/>
      <c r="G593" s="127"/>
      <c r="H593" s="127"/>
      <c r="I593" s="127"/>
      <c r="J593" s="127"/>
      <c r="K593" s="128"/>
      <c r="L593" s="127"/>
      <c r="M593" s="130"/>
    </row>
    <row r="594" ht="14.25" customHeight="1" spans="1:12">
      <c r="A594" s="124">
        <f>施法!J37</f>
        <v>0</v>
      </c>
      <c r="B594" s="125"/>
      <c r="C594" s="62" t="str">
        <f>VLOOKUP(A35,B1:M560,2,0)</f>
        <v>-</v>
      </c>
      <c r="D594" s="62" t="str">
        <f>VLOOKUP(A35,B1:M560,3,0)</f>
        <v>-</v>
      </c>
      <c r="E594" s="62" t="str">
        <f>VLOOKUP(A35,B1:M560,4,0)</f>
        <v>-</v>
      </c>
      <c r="F594" s="63" t="str">
        <f>VLOOKUP(A35,B1:M560,5,0)</f>
        <v>-</v>
      </c>
      <c r="G594" s="62" t="str">
        <f>VLOOKUP(A35,B1:M560,6,0)</f>
        <v>-</v>
      </c>
      <c r="H594" s="62" t="str">
        <f>VLOOKUP(A35,B1:M560,7,0)</f>
        <v>-</v>
      </c>
      <c r="I594" s="62" t="str">
        <f>VLOOKUP(A35,B1:M560,8,0)</f>
        <v>-</v>
      </c>
      <c r="J594" s="62" t="str">
        <f>VLOOKUP(A35,B1:M560,9,0)</f>
        <v>-</v>
      </c>
      <c r="K594" s="63" t="str">
        <f>VLOOKUP(A35,B1:M560,10,0)</f>
        <v>-</v>
      </c>
      <c r="L594" s="62" t="str">
        <f>VLOOKUP(A35,B1:M560,11,0)</f>
        <v>-</v>
      </c>
    </row>
    <row r="595" ht="14.25" customHeight="1" spans="1:12">
      <c r="A595" s="124">
        <f>施法!J38</f>
        <v>0</v>
      </c>
      <c r="B595" s="125"/>
      <c r="C595" s="62" t="str">
        <f>VLOOKUP(A36,B1:M560,2,0)</f>
        <v>-</v>
      </c>
      <c r="D595" s="62" t="str">
        <f>VLOOKUP(A36,B1:M560,3,0)</f>
        <v>-</v>
      </c>
      <c r="E595" s="62" t="str">
        <f>VLOOKUP(A36,B1:M560,4,0)</f>
        <v>-</v>
      </c>
      <c r="F595" s="63" t="str">
        <f>VLOOKUP(A36,B1:M560,5,0)</f>
        <v>-</v>
      </c>
      <c r="G595" s="62" t="str">
        <f>VLOOKUP(A36,B1:M560,6,0)</f>
        <v>-</v>
      </c>
      <c r="H595" s="62" t="str">
        <f>VLOOKUP(A36,B1:M560,7,0)</f>
        <v>-</v>
      </c>
      <c r="I595" s="62" t="str">
        <f>VLOOKUP(A36,B1:M560,8,0)</f>
        <v>-</v>
      </c>
      <c r="J595" s="62" t="str">
        <f>VLOOKUP(A36,B1:M560,9,0)</f>
        <v>-</v>
      </c>
      <c r="K595" s="63" t="str">
        <f>VLOOKUP(A36,B1:M560,10,0)</f>
        <v>-</v>
      </c>
      <c r="L595" s="62" t="str">
        <f>VLOOKUP(A36,B1:M560,11,0)</f>
        <v>-</v>
      </c>
    </row>
    <row r="596" ht="14.25" customHeight="1" spans="1:12">
      <c r="A596" s="124">
        <f>施法!J39</f>
        <v>0</v>
      </c>
      <c r="B596" s="125"/>
      <c r="C596" s="62" t="str">
        <f>VLOOKUP(A37,B1:M560,2,0)</f>
        <v>-</v>
      </c>
      <c r="D596" s="62" t="str">
        <f>VLOOKUP(A37,B1:M560,3,0)</f>
        <v>-</v>
      </c>
      <c r="E596" s="62" t="str">
        <f>VLOOKUP(A37,B1:M560,4,0)</f>
        <v>-</v>
      </c>
      <c r="F596" s="63" t="str">
        <f>VLOOKUP(A37,B1:M560,5,0)</f>
        <v>-</v>
      </c>
      <c r="G596" s="62" t="str">
        <f>VLOOKUP(A37,B1:M560,6,0)</f>
        <v>-</v>
      </c>
      <c r="H596" s="62" t="str">
        <f>VLOOKUP(A37,B1:M560,7,0)</f>
        <v>-</v>
      </c>
      <c r="I596" s="62" t="str">
        <f>VLOOKUP(A37,B1:M560,8,0)</f>
        <v>-</v>
      </c>
      <c r="J596" s="62" t="str">
        <f>VLOOKUP(A37,B1:M560,9,0)</f>
        <v>-</v>
      </c>
      <c r="K596" s="63" t="str">
        <f>VLOOKUP(A37,B1:M560,10,0)</f>
        <v>-</v>
      </c>
      <c r="L596" s="62" t="str">
        <f>VLOOKUP(A37,B1:M560,11,0)</f>
        <v>-</v>
      </c>
    </row>
    <row r="597" ht="14.25" customHeight="1" spans="1:12">
      <c r="A597" s="124">
        <f>施法!J40</f>
        <v>0</v>
      </c>
      <c r="B597" s="125"/>
      <c r="C597" s="62" t="str">
        <f>VLOOKUP(A38,B1:M560,2,0)</f>
        <v>-</v>
      </c>
      <c r="D597" s="62" t="str">
        <f>VLOOKUP(A38,B1:M560,3,0)</f>
        <v>-</v>
      </c>
      <c r="E597" s="62" t="str">
        <f>VLOOKUP(A38,B1:M560,4,0)</f>
        <v>-</v>
      </c>
      <c r="F597" s="63" t="str">
        <f>VLOOKUP(A38,B1:M560,5,0)</f>
        <v>-</v>
      </c>
      <c r="G597" s="62" t="str">
        <f>VLOOKUP(A38,B1:M560,6,0)</f>
        <v>-</v>
      </c>
      <c r="H597" s="62" t="str">
        <f>VLOOKUP(A38,B1:M560,7,0)</f>
        <v>-</v>
      </c>
      <c r="I597" s="62" t="str">
        <f>VLOOKUP(A38,B1:M560,8,0)</f>
        <v>-</v>
      </c>
      <c r="J597" s="62" t="str">
        <f>VLOOKUP(A38,B1:M560,9,0)</f>
        <v>-</v>
      </c>
      <c r="K597" s="63" t="str">
        <f>VLOOKUP(A38,B1:M560,10,0)</f>
        <v>-</v>
      </c>
      <c r="L597" s="62" t="str">
        <f>VLOOKUP(A38,B1:M560,11,0)</f>
        <v>-</v>
      </c>
    </row>
    <row r="598" ht="14.25" customHeight="1" spans="1:12">
      <c r="A598" s="124">
        <f>施法!J41</f>
        <v>0</v>
      </c>
      <c r="B598" s="125"/>
      <c r="C598" s="62" t="str">
        <f>VLOOKUP(A39,B1:M560,2,0)</f>
        <v>-</v>
      </c>
      <c r="D598" s="62" t="str">
        <f>VLOOKUP(A39,B1:M560,3,0)</f>
        <v>-</v>
      </c>
      <c r="E598" s="62" t="str">
        <f>VLOOKUP(A39,B1:M560,4,0)</f>
        <v>-</v>
      </c>
      <c r="F598" s="63" t="str">
        <f>VLOOKUP(A39,B1:M560,5,0)</f>
        <v>-</v>
      </c>
      <c r="G598" s="62" t="str">
        <f>VLOOKUP(A39,B1:M560,6,0)</f>
        <v>-</v>
      </c>
      <c r="H598" s="62" t="str">
        <f>VLOOKUP(A39,B1:M560,7,0)</f>
        <v>-</v>
      </c>
      <c r="I598" s="62" t="str">
        <f>VLOOKUP(A39,B1:M560,8,0)</f>
        <v>-</v>
      </c>
      <c r="J598" s="62" t="str">
        <f>VLOOKUP(A39,B1:M560,9,0)</f>
        <v>-</v>
      </c>
      <c r="K598" s="63" t="str">
        <f>VLOOKUP(A39,B1:M560,10,0)</f>
        <v>-</v>
      </c>
      <c r="L598" s="62" t="str">
        <f>VLOOKUP(A39,B1:M560,11,0)</f>
        <v>-</v>
      </c>
    </row>
    <row r="599" ht="14.25" customHeight="1" spans="1:12">
      <c r="A599" s="124">
        <f>施法!J42</f>
        <v>0</v>
      </c>
      <c r="B599" s="125"/>
      <c r="C599" s="62" t="str">
        <f>VLOOKUP(A40,B1:M560,2,0)</f>
        <v>-</v>
      </c>
      <c r="D599" s="62" t="str">
        <f>VLOOKUP(A40,B1:M560,3,0)</f>
        <v>-</v>
      </c>
      <c r="E599" s="62" t="str">
        <f>VLOOKUP(A40,B1:M560,4,0)</f>
        <v>-</v>
      </c>
      <c r="F599" s="63" t="str">
        <f>VLOOKUP(A40,B1:M560,5,0)</f>
        <v>-</v>
      </c>
      <c r="G599" s="62" t="str">
        <f>VLOOKUP(A40,B1:M560,6,0)</f>
        <v>-</v>
      </c>
      <c r="H599" s="62" t="str">
        <f>VLOOKUP(A40,B1:M560,7,0)</f>
        <v>-</v>
      </c>
      <c r="I599" s="62" t="str">
        <f>VLOOKUP(A40,B1:M560,8,0)</f>
        <v>-</v>
      </c>
      <c r="J599" s="62" t="str">
        <f>VLOOKUP(A40,B1:M560,9,0)</f>
        <v>-</v>
      </c>
      <c r="K599" s="63" t="str">
        <f>VLOOKUP(A40,B1:M560,10,0)</f>
        <v>-</v>
      </c>
      <c r="L599" s="62" t="str">
        <f>VLOOKUP(A40,B1:M560,11,0)</f>
        <v>-</v>
      </c>
    </row>
    <row r="600" ht="14.25" customHeight="1" spans="1:12">
      <c r="A600" s="124">
        <f>施法!J43</f>
        <v>0</v>
      </c>
      <c r="B600" s="125"/>
      <c r="C600" s="62" t="str">
        <f>VLOOKUP(A41,B1:M560,2,0)</f>
        <v>-</v>
      </c>
      <c r="D600" s="62" t="str">
        <f>VLOOKUP(A41,B1:M560,3,0)</f>
        <v>-</v>
      </c>
      <c r="E600" s="62" t="str">
        <f>VLOOKUP(A41,B1:M560,4,0)</f>
        <v>-</v>
      </c>
      <c r="F600" s="63" t="str">
        <f>VLOOKUP(A41,B1:M560,5,0)</f>
        <v>-</v>
      </c>
      <c r="G600" s="62" t="str">
        <f>VLOOKUP(A41,B1:M560,6,0)</f>
        <v>-</v>
      </c>
      <c r="H600" s="62" t="str">
        <f>VLOOKUP(A41,B1:M560,7,0)</f>
        <v>-</v>
      </c>
      <c r="I600" s="62" t="str">
        <f>VLOOKUP(A41,B1:M560,8,0)</f>
        <v>-</v>
      </c>
      <c r="J600" s="62" t="str">
        <f>VLOOKUP(A41,B1:M560,9,0)</f>
        <v>-</v>
      </c>
      <c r="K600" s="63" t="str">
        <f>VLOOKUP(A41,B1:M560,10,0)</f>
        <v>-</v>
      </c>
      <c r="L600" s="62" t="str">
        <f>VLOOKUP(A41,B1:M560,11,0)</f>
        <v>-</v>
      </c>
    </row>
    <row r="601" ht="14.25" customHeight="1" spans="1:12">
      <c r="A601" s="124">
        <f>施法!J44</f>
        <v>0</v>
      </c>
      <c r="B601" s="125"/>
      <c r="C601" s="62" t="str">
        <f>VLOOKUP(A42,B1:M560,2,0)</f>
        <v>-</v>
      </c>
      <c r="D601" s="62" t="str">
        <f>VLOOKUP(A42,B1:M560,3,0)</f>
        <v>-</v>
      </c>
      <c r="E601" s="62" t="str">
        <f>VLOOKUP(A42,B1:M560,4,0)</f>
        <v>-</v>
      </c>
      <c r="F601" s="63" t="str">
        <f>VLOOKUP(A42,B1:M560,5,0)</f>
        <v>-</v>
      </c>
      <c r="G601" s="62" t="str">
        <f>VLOOKUP(A42,B1:M560,6,0)</f>
        <v>-</v>
      </c>
      <c r="H601" s="62" t="str">
        <f>VLOOKUP(A42,B1:M560,7,0)</f>
        <v>-</v>
      </c>
      <c r="I601" s="62" t="str">
        <f>VLOOKUP(A42,B1:M560,8,0)</f>
        <v>-</v>
      </c>
      <c r="J601" s="62" t="str">
        <f>VLOOKUP(A42,B1:M560,9,0)</f>
        <v>-</v>
      </c>
      <c r="K601" s="63" t="str">
        <f>VLOOKUP(A42,B1:M560,10,0)</f>
        <v>-</v>
      </c>
      <c r="L601" s="62" t="str">
        <f>VLOOKUP(A42,B1:M560,11,0)</f>
        <v>-</v>
      </c>
    </row>
    <row r="602" ht="14.25" customHeight="1" spans="1:12">
      <c r="A602" s="124">
        <f>施法!J45</f>
        <v>0</v>
      </c>
      <c r="B602" s="125"/>
      <c r="C602" s="62" t="str">
        <f>VLOOKUP(A43,B1:M560,2,0)</f>
        <v>-</v>
      </c>
      <c r="D602" s="62" t="str">
        <f>VLOOKUP(A43,B1:M560,3,0)</f>
        <v>-</v>
      </c>
      <c r="E602" s="62" t="str">
        <f>VLOOKUP(A43,B1:M560,4,0)</f>
        <v>-</v>
      </c>
      <c r="F602" s="63" t="str">
        <f>VLOOKUP(A43,B1:M560,5,0)</f>
        <v>-</v>
      </c>
      <c r="G602" s="62" t="str">
        <f>VLOOKUP(A43,B1:M560,6,0)</f>
        <v>-</v>
      </c>
      <c r="H602" s="62" t="str">
        <f>VLOOKUP(A43,B1:M560,7,0)</f>
        <v>-</v>
      </c>
      <c r="I602" s="62" t="str">
        <f>VLOOKUP(A43,B1:M560,8,0)</f>
        <v>-</v>
      </c>
      <c r="J602" s="62" t="str">
        <f>VLOOKUP(A43,B1:M560,9,0)</f>
        <v>-</v>
      </c>
      <c r="K602" s="63" t="str">
        <f>VLOOKUP(A43,B1:M560,10,0)</f>
        <v>-</v>
      </c>
      <c r="L602" s="62" t="str">
        <f>VLOOKUP(A43,B1:M560,11,0)</f>
        <v>-</v>
      </c>
    </row>
    <row r="603" ht="14.25" customHeight="1" spans="1:12">
      <c r="A603" s="124">
        <f>施法!J46</f>
        <v>0</v>
      </c>
      <c r="B603" s="125"/>
      <c r="C603" s="62" t="str">
        <f>VLOOKUP(A44,B1:M560,2,0)</f>
        <v>-</v>
      </c>
      <c r="D603" s="62" t="str">
        <f>VLOOKUP(A44,B1:M560,3,0)</f>
        <v>-</v>
      </c>
      <c r="E603" s="62" t="str">
        <f>VLOOKUP(A44,B1:M560,4,0)</f>
        <v>-</v>
      </c>
      <c r="F603" s="63" t="str">
        <f>VLOOKUP(A44,B1:M560,5,0)</f>
        <v>-</v>
      </c>
      <c r="G603" s="62" t="str">
        <f>VLOOKUP(A44,B1:M560,6,0)</f>
        <v>-</v>
      </c>
      <c r="H603" s="62" t="str">
        <f>VLOOKUP(A44,B1:M560,7,0)</f>
        <v>-</v>
      </c>
      <c r="I603" s="62" t="str">
        <f>VLOOKUP(A44,B1:M560,8,0)</f>
        <v>-</v>
      </c>
      <c r="J603" s="62" t="str">
        <f>VLOOKUP(A44,B1:M560,9,0)</f>
        <v>-</v>
      </c>
      <c r="K603" s="63" t="str">
        <f>VLOOKUP(A44,B1:M560,10,0)</f>
        <v>-</v>
      </c>
      <c r="L603" s="62" t="str">
        <f>VLOOKUP(A44,B1:M560,11,0)</f>
        <v>-</v>
      </c>
    </row>
    <row r="604" ht="14.25" customHeight="1" spans="1:13">
      <c r="A604" s="124" t="str">
        <f>施法!J47</f>
        <v>法术名</v>
      </c>
      <c r="B604" s="126"/>
      <c r="C604" s="127"/>
      <c r="D604" s="127"/>
      <c r="E604" s="127"/>
      <c r="F604" s="128"/>
      <c r="G604" s="127"/>
      <c r="H604" s="127"/>
      <c r="I604" s="127"/>
      <c r="J604" s="127"/>
      <c r="K604" s="128"/>
      <c r="L604" s="127"/>
      <c r="M604" s="130"/>
    </row>
    <row r="605" ht="14.25" customHeight="1" spans="1:12">
      <c r="A605" s="124">
        <f>施法!J48</f>
        <v>0</v>
      </c>
      <c r="B605" s="125"/>
      <c r="C605" s="62" t="str">
        <f>VLOOKUP(A46,B1:M560,2,0)</f>
        <v>-</v>
      </c>
      <c r="D605" s="62" t="str">
        <f>VLOOKUP(A46,B1:M560,3,0)</f>
        <v>-</v>
      </c>
      <c r="E605" s="62" t="str">
        <f>VLOOKUP(A46,B1:M560,4,0)</f>
        <v>-</v>
      </c>
      <c r="F605" s="63" t="str">
        <f>VLOOKUP(A46,B1:M560,5,0)</f>
        <v>-</v>
      </c>
      <c r="G605" s="62" t="str">
        <f>VLOOKUP(A46,B1:M560,6,0)</f>
        <v>-</v>
      </c>
      <c r="H605" s="62" t="str">
        <f>VLOOKUP(A46,B1:M560,7,0)</f>
        <v>-</v>
      </c>
      <c r="I605" s="62" t="str">
        <f>VLOOKUP(A46,B1:M560,8,0)</f>
        <v>-</v>
      </c>
      <c r="J605" s="62" t="str">
        <f>VLOOKUP(A46,B1:M560,9,0)</f>
        <v>-</v>
      </c>
      <c r="K605" s="63" t="str">
        <f>VLOOKUP(A46,B1:M560,10,0)</f>
        <v>-</v>
      </c>
      <c r="L605" s="62" t="str">
        <f>VLOOKUP(A46,B1:M560,11,0)</f>
        <v>-</v>
      </c>
    </row>
    <row r="606" ht="14.25" customHeight="1" spans="1:12">
      <c r="A606" s="124">
        <f>施法!J49</f>
        <v>0</v>
      </c>
      <c r="B606" s="125"/>
      <c r="C606" s="62" t="str">
        <f>VLOOKUP(A47,B1:M560,2,0)</f>
        <v>-</v>
      </c>
      <c r="D606" s="62" t="str">
        <f>VLOOKUP(A47,B1:M560,3,0)</f>
        <v>-</v>
      </c>
      <c r="E606" s="62" t="str">
        <f>VLOOKUP(A47,B1:M560,4,0)</f>
        <v>-</v>
      </c>
      <c r="F606" s="63" t="str">
        <f>VLOOKUP(A47,B1:M560,5,0)</f>
        <v>-</v>
      </c>
      <c r="G606" s="62" t="str">
        <f>VLOOKUP(A47,B1:M560,6,0)</f>
        <v>-</v>
      </c>
      <c r="H606" s="62" t="str">
        <f>VLOOKUP(A47,B1:M560,7,0)</f>
        <v>-</v>
      </c>
      <c r="I606" s="62" t="str">
        <f>VLOOKUP(A47,B1:M560,8,0)</f>
        <v>-</v>
      </c>
      <c r="J606" s="62" t="str">
        <f>VLOOKUP(A47,B1:M560,9,0)</f>
        <v>-</v>
      </c>
      <c r="K606" s="63" t="str">
        <f>VLOOKUP(A47,B1:M560,10,0)</f>
        <v>-</v>
      </c>
      <c r="L606" s="62" t="str">
        <f>VLOOKUP(A47,B1:M560,11,0)</f>
        <v>-</v>
      </c>
    </row>
    <row r="607" ht="14.25" customHeight="1" spans="1:12">
      <c r="A607" s="124">
        <f>施法!J50</f>
        <v>0</v>
      </c>
      <c r="B607" s="125"/>
      <c r="C607" s="62" t="str">
        <f>VLOOKUP(A48,B1:M560,2,0)</f>
        <v>-</v>
      </c>
      <c r="D607" s="62" t="str">
        <f>VLOOKUP(A48,B1:M560,3,0)</f>
        <v>-</v>
      </c>
      <c r="E607" s="62" t="str">
        <f>VLOOKUP(A48,B1:M560,4,0)</f>
        <v>-</v>
      </c>
      <c r="F607" s="63" t="str">
        <f>VLOOKUP(A48,B1:M560,5,0)</f>
        <v>-</v>
      </c>
      <c r="G607" s="62" t="str">
        <f>VLOOKUP(A48,B1:M560,6,0)</f>
        <v>-</v>
      </c>
      <c r="H607" s="62" t="str">
        <f>VLOOKUP(A48,B1:M560,7,0)</f>
        <v>-</v>
      </c>
      <c r="I607" s="62" t="str">
        <f>VLOOKUP(A48,B1:M560,8,0)</f>
        <v>-</v>
      </c>
      <c r="J607" s="62" t="str">
        <f>VLOOKUP(A48,B1:M560,9,0)</f>
        <v>-</v>
      </c>
      <c r="K607" s="63" t="str">
        <f>VLOOKUP(A48,B1:M560,10,0)</f>
        <v>-</v>
      </c>
      <c r="L607" s="62" t="str">
        <f>VLOOKUP(A48,B1:M560,11,0)</f>
        <v>-</v>
      </c>
    </row>
    <row r="608" ht="14.25" customHeight="1" spans="1:12">
      <c r="A608" s="124">
        <f>施法!J51</f>
        <v>0</v>
      </c>
      <c r="B608" s="125"/>
      <c r="C608" s="62" t="str">
        <f>VLOOKUP(A49,B1:M560,2,0)</f>
        <v>-</v>
      </c>
      <c r="D608" s="62" t="str">
        <f>VLOOKUP(A49,B1:M560,3,0)</f>
        <v>-</v>
      </c>
      <c r="E608" s="62" t="str">
        <f>VLOOKUP(A49,B1:M560,4,0)</f>
        <v>-</v>
      </c>
      <c r="F608" s="63" t="str">
        <f>VLOOKUP(A49,B1:M560,5,0)</f>
        <v>-</v>
      </c>
      <c r="G608" s="62" t="str">
        <f>VLOOKUP(A49,B1:M560,6,0)</f>
        <v>-</v>
      </c>
      <c r="H608" s="62" t="str">
        <f>VLOOKUP(A49,B1:M560,7,0)</f>
        <v>-</v>
      </c>
      <c r="I608" s="62" t="str">
        <f>VLOOKUP(A49,B1:M560,8,0)</f>
        <v>-</v>
      </c>
      <c r="J608" s="62" t="str">
        <f>VLOOKUP(A49,B1:M560,9,0)</f>
        <v>-</v>
      </c>
      <c r="K608" s="63" t="str">
        <f>VLOOKUP(A49,B1:M560,10,0)</f>
        <v>-</v>
      </c>
      <c r="L608" s="62" t="str">
        <f>VLOOKUP(A49,B1:M560,11,0)</f>
        <v>-</v>
      </c>
    </row>
    <row r="609" ht="14.25" customHeight="1" spans="1:12">
      <c r="A609" s="124">
        <f>施法!J52</f>
        <v>0</v>
      </c>
      <c r="B609" s="125"/>
      <c r="C609" s="62" t="str">
        <f>VLOOKUP(A50,B1:M560,2,0)</f>
        <v>-</v>
      </c>
      <c r="D609" s="62" t="str">
        <f>VLOOKUP(A50,B1:M560,3,0)</f>
        <v>-</v>
      </c>
      <c r="E609" s="62" t="str">
        <f>VLOOKUP(A50,B1:M560,4,0)</f>
        <v>-</v>
      </c>
      <c r="F609" s="63" t="str">
        <f>VLOOKUP(A50,B1:M560,5,0)</f>
        <v>-</v>
      </c>
      <c r="G609" s="62" t="str">
        <f>VLOOKUP(A50,B1:M560,6,0)</f>
        <v>-</v>
      </c>
      <c r="H609" s="62" t="str">
        <f>VLOOKUP(A50,B1:M560,7,0)</f>
        <v>-</v>
      </c>
      <c r="I609" s="62" t="str">
        <f>VLOOKUP(A50,B1:M560,8,0)</f>
        <v>-</v>
      </c>
      <c r="J609" s="62" t="str">
        <f>VLOOKUP(A50,B1:M560,9,0)</f>
        <v>-</v>
      </c>
      <c r="K609" s="63" t="str">
        <f>VLOOKUP(A50,B1:M560,10,0)</f>
        <v>-</v>
      </c>
      <c r="L609" s="62" t="str">
        <f>VLOOKUP(A50,B1:M560,11,0)</f>
        <v>-</v>
      </c>
    </row>
    <row r="610" ht="14.25" customHeight="1" spans="1:12">
      <c r="A610" s="124">
        <f>施法!J53</f>
        <v>0</v>
      </c>
      <c r="B610" s="125"/>
      <c r="C610" s="62" t="str">
        <f>VLOOKUP(A51,B1:M560,2,0)</f>
        <v>-</v>
      </c>
      <c r="D610" s="62" t="str">
        <f>VLOOKUP(A51,B1:M560,3,0)</f>
        <v>-</v>
      </c>
      <c r="E610" s="62" t="str">
        <f>VLOOKUP(A51,B1:M560,4,0)</f>
        <v>-</v>
      </c>
      <c r="F610" s="63" t="str">
        <f>VLOOKUP(A51,B1:M560,5,0)</f>
        <v>-</v>
      </c>
      <c r="G610" s="62" t="str">
        <f>VLOOKUP(A51,B1:M560,6,0)</f>
        <v>-</v>
      </c>
      <c r="H610" s="62" t="str">
        <f>VLOOKUP(A51,B1:M560,7,0)</f>
        <v>-</v>
      </c>
      <c r="I610" s="62" t="str">
        <f>VLOOKUP(A51,B1:M560,8,0)</f>
        <v>-</v>
      </c>
      <c r="J610" s="62" t="str">
        <f>VLOOKUP(A51,B1:M560,9,0)</f>
        <v>-</v>
      </c>
      <c r="K610" s="63" t="str">
        <f>VLOOKUP(A51,B1:M560,10,0)</f>
        <v>-</v>
      </c>
      <c r="L610" s="62" t="str">
        <f>VLOOKUP(A51,B1:M560,11,0)</f>
        <v>-</v>
      </c>
    </row>
    <row r="611" ht="14.25" customHeight="1" spans="1:12">
      <c r="A611" s="124">
        <f>施法!J54</f>
        <v>0</v>
      </c>
      <c r="B611" s="125"/>
      <c r="C611" s="62" t="str">
        <f>VLOOKUP(A52,B1:M560,2,0)</f>
        <v>-</v>
      </c>
      <c r="D611" s="62" t="str">
        <f>VLOOKUP(A52,B1:M560,3,0)</f>
        <v>-</v>
      </c>
      <c r="E611" s="62" t="str">
        <f>VLOOKUP(A52,B1:M560,4,0)</f>
        <v>-</v>
      </c>
      <c r="F611" s="63" t="str">
        <f>VLOOKUP(A52,B1:M560,5,0)</f>
        <v>-</v>
      </c>
      <c r="G611" s="62" t="str">
        <f>VLOOKUP(A52,B1:M560,6,0)</f>
        <v>-</v>
      </c>
      <c r="H611" s="62" t="str">
        <f>VLOOKUP(A52,B1:M560,7,0)</f>
        <v>-</v>
      </c>
      <c r="I611" s="62" t="str">
        <f>VLOOKUP(A52,B1:M560,8,0)</f>
        <v>-</v>
      </c>
      <c r="J611" s="62" t="str">
        <f>VLOOKUP(A52,B1:M560,9,0)</f>
        <v>-</v>
      </c>
      <c r="K611" s="63" t="str">
        <f>VLOOKUP(A52,B1:M560,10,0)</f>
        <v>-</v>
      </c>
      <c r="L611" s="62" t="str">
        <f>VLOOKUP(A52,B1:M560,11,0)</f>
        <v>-</v>
      </c>
    </row>
    <row r="612" ht="14.25" customHeight="1" spans="1:12">
      <c r="A612" s="124">
        <f>施法!J55</f>
        <v>0</v>
      </c>
      <c r="B612" s="125"/>
      <c r="C612" s="62" t="str">
        <f>VLOOKUP(A53,B1:M560,2,0)</f>
        <v>-</v>
      </c>
      <c r="D612" s="62" t="str">
        <f>VLOOKUP(A53,B1:M560,3,0)</f>
        <v>-</v>
      </c>
      <c r="E612" s="62" t="str">
        <f>VLOOKUP(A53,B1:M560,4,0)</f>
        <v>-</v>
      </c>
      <c r="F612" s="63" t="str">
        <f>VLOOKUP(A53,B1:M560,5,0)</f>
        <v>-</v>
      </c>
      <c r="G612" s="62" t="str">
        <f>VLOOKUP(A53,B1:M560,6,0)</f>
        <v>-</v>
      </c>
      <c r="H612" s="62" t="str">
        <f>VLOOKUP(A53,B1:M560,7,0)</f>
        <v>-</v>
      </c>
      <c r="I612" s="62" t="str">
        <f>VLOOKUP(A53,B1:M560,8,0)</f>
        <v>-</v>
      </c>
      <c r="J612" s="62" t="str">
        <f>VLOOKUP(A53,B1:M560,9,0)</f>
        <v>-</v>
      </c>
      <c r="K612" s="63" t="str">
        <f>VLOOKUP(A53,B1:M560,10,0)</f>
        <v>-</v>
      </c>
      <c r="L612" s="62" t="str">
        <f>VLOOKUP(A53,B1:M560,11,0)</f>
        <v>-</v>
      </c>
    </row>
    <row r="613" ht="14.25" customHeight="1" spans="1:12">
      <c r="A613" s="124">
        <f>施法!J56</f>
        <v>0</v>
      </c>
      <c r="B613" s="125"/>
      <c r="C613" s="62" t="str">
        <f>VLOOKUP(A54,B1:M560,2,0)</f>
        <v>-</v>
      </c>
      <c r="D613" s="62" t="str">
        <f>VLOOKUP(A54,B1:M560,3,0)</f>
        <v>-</v>
      </c>
      <c r="E613" s="62" t="str">
        <f>VLOOKUP(A54,B1:M560,4,0)</f>
        <v>-</v>
      </c>
      <c r="F613" s="63" t="str">
        <f>VLOOKUP(A54,B1:M560,5,0)</f>
        <v>-</v>
      </c>
      <c r="G613" s="62" t="str">
        <f>VLOOKUP(A54,B1:M560,6,0)</f>
        <v>-</v>
      </c>
      <c r="H613" s="62" t="str">
        <f>VLOOKUP(A54,B1:M560,7,0)</f>
        <v>-</v>
      </c>
      <c r="I613" s="62" t="str">
        <f>VLOOKUP(A54,B1:M560,8,0)</f>
        <v>-</v>
      </c>
      <c r="J613" s="62" t="str">
        <f>VLOOKUP(A54,B1:M560,9,0)</f>
        <v>-</v>
      </c>
      <c r="K613" s="63" t="str">
        <f>VLOOKUP(A54,B1:M560,10,0)</f>
        <v>-</v>
      </c>
      <c r="L613" s="62" t="str">
        <f>VLOOKUP(A54,B1:M560,11,0)</f>
        <v>-</v>
      </c>
    </row>
    <row r="614" ht="14.25" customHeight="1" spans="1:12">
      <c r="A614" s="124">
        <f>施法!J57</f>
        <v>0</v>
      </c>
      <c r="B614" s="125"/>
      <c r="C614" s="62" t="str">
        <f>VLOOKUP(A55,B1:M560,2,0)</f>
        <v>-</v>
      </c>
      <c r="D614" s="62" t="str">
        <f>VLOOKUP(A55,B1:M560,3,0)</f>
        <v>-</v>
      </c>
      <c r="E614" s="62" t="str">
        <f>VLOOKUP(A55,B1:M560,4,0)</f>
        <v>-</v>
      </c>
      <c r="F614" s="63" t="str">
        <f>VLOOKUP(A55,B1:M560,5,0)</f>
        <v>-</v>
      </c>
      <c r="G614" s="62" t="str">
        <f>VLOOKUP(A55,B1:M560,6,0)</f>
        <v>-</v>
      </c>
      <c r="H614" s="62" t="str">
        <f>VLOOKUP(A55,B1:M560,7,0)</f>
        <v>-</v>
      </c>
      <c r="I614" s="62" t="str">
        <f>VLOOKUP(A55,B1:M560,8,0)</f>
        <v>-</v>
      </c>
      <c r="J614" s="62" t="str">
        <f>VLOOKUP(A55,B1:M560,9,0)</f>
        <v>-</v>
      </c>
      <c r="K614" s="63" t="str">
        <f>VLOOKUP(A55,B1:M560,10,0)</f>
        <v>-</v>
      </c>
      <c r="L614" s="62" t="str">
        <f>VLOOKUP(A55,B1:M560,11,0)</f>
        <v>-</v>
      </c>
    </row>
    <row r="615" ht="14.25" customHeight="1" spans="1:13">
      <c r="A615" s="124" t="str">
        <f>施法!J58</f>
        <v>法术名</v>
      </c>
      <c r="B615" s="126"/>
      <c r="C615" s="127"/>
      <c r="D615" s="127"/>
      <c r="E615" s="127"/>
      <c r="F615" s="128"/>
      <c r="G615" s="127"/>
      <c r="H615" s="127"/>
      <c r="I615" s="127"/>
      <c r="J615" s="127"/>
      <c r="K615" s="128"/>
      <c r="L615" s="127"/>
      <c r="M615" s="130"/>
    </row>
    <row r="616" ht="14.25" customHeight="1" spans="1:12">
      <c r="A616" s="124">
        <f>施法!J59</f>
        <v>0</v>
      </c>
      <c r="B616" s="125"/>
      <c r="C616" s="62" t="str">
        <f>VLOOKUP(A57,B1:M560,2,0)</f>
        <v>-</v>
      </c>
      <c r="D616" s="62" t="str">
        <f>VLOOKUP(A57,B1:M560,3,0)</f>
        <v>-</v>
      </c>
      <c r="E616" s="62" t="str">
        <f>VLOOKUP(A57,B1:M560,4,0)</f>
        <v>-</v>
      </c>
      <c r="F616" s="63" t="str">
        <f>VLOOKUP(A57,B1:M560,5,0)</f>
        <v>-</v>
      </c>
      <c r="G616" s="62" t="str">
        <f>VLOOKUP(A57,B1:M560,6,0)</f>
        <v>-</v>
      </c>
      <c r="H616" s="62" t="str">
        <f>VLOOKUP(A57,B1:M560,7,0)</f>
        <v>-</v>
      </c>
      <c r="I616" s="62" t="str">
        <f>VLOOKUP(A57,B1:M560,8,0)</f>
        <v>-</v>
      </c>
      <c r="J616" s="62" t="str">
        <f>VLOOKUP(A57,B1:M560,9,0)</f>
        <v>-</v>
      </c>
      <c r="K616" s="63" t="str">
        <f>VLOOKUP(A57,B1:M560,10,0)</f>
        <v>-</v>
      </c>
      <c r="L616" s="62" t="str">
        <f>VLOOKUP(A57,B1:M560,11,0)</f>
        <v>-</v>
      </c>
    </row>
    <row r="617" ht="14.25" customHeight="1" spans="1:12">
      <c r="A617" s="124">
        <f>施法!J60</f>
        <v>0</v>
      </c>
      <c r="B617" s="125"/>
      <c r="C617" s="62" t="str">
        <f>VLOOKUP(A58,B1:M560,2,0)</f>
        <v>-</v>
      </c>
      <c r="D617" s="62" t="str">
        <f>VLOOKUP(A58,B1:M560,3,0)</f>
        <v>-</v>
      </c>
      <c r="E617" s="62" t="str">
        <f>VLOOKUP(A58,B1:M560,4,0)</f>
        <v>-</v>
      </c>
      <c r="F617" s="63" t="str">
        <f>VLOOKUP(A58,B1:M560,5,0)</f>
        <v>-</v>
      </c>
      <c r="G617" s="62" t="str">
        <f>VLOOKUP(A58,B1:M560,6,0)</f>
        <v>-</v>
      </c>
      <c r="H617" s="62" t="str">
        <f>VLOOKUP(A58,B1:M560,7,0)</f>
        <v>-</v>
      </c>
      <c r="I617" s="62" t="str">
        <f>VLOOKUP(A58,B1:M560,8,0)</f>
        <v>-</v>
      </c>
      <c r="J617" s="62" t="str">
        <f>VLOOKUP(A58,B1:M560,9,0)</f>
        <v>-</v>
      </c>
      <c r="K617" s="63" t="str">
        <f>VLOOKUP(A58,B1:M560,10,0)</f>
        <v>-</v>
      </c>
      <c r="L617" s="62" t="str">
        <f>VLOOKUP(A58,B1:M560,11,0)</f>
        <v>-</v>
      </c>
    </row>
    <row r="618" ht="14.25" customHeight="1" spans="1:12">
      <c r="A618" s="124">
        <f>施法!J61</f>
        <v>0</v>
      </c>
      <c r="B618" s="125"/>
      <c r="C618" s="62" t="str">
        <f>VLOOKUP(A59,B1:M560,2,0)</f>
        <v>-</v>
      </c>
      <c r="D618" s="62" t="str">
        <f>VLOOKUP(A59,B1:M560,3,0)</f>
        <v>-</v>
      </c>
      <c r="E618" s="62" t="str">
        <f>VLOOKUP(A59,B1:M560,4,0)</f>
        <v>-</v>
      </c>
      <c r="F618" s="63" t="str">
        <f>VLOOKUP(A59,B1:M560,5,0)</f>
        <v>-</v>
      </c>
      <c r="G618" s="62" t="str">
        <f>VLOOKUP(A59,B1:M560,6,0)</f>
        <v>-</v>
      </c>
      <c r="H618" s="62" t="str">
        <f>VLOOKUP(A59,B1:M560,7,0)</f>
        <v>-</v>
      </c>
      <c r="I618" s="62" t="str">
        <f>VLOOKUP(A59,B1:M560,8,0)</f>
        <v>-</v>
      </c>
      <c r="J618" s="62" t="str">
        <f>VLOOKUP(A59,B1:M560,9,0)</f>
        <v>-</v>
      </c>
      <c r="K618" s="63" t="str">
        <f>VLOOKUP(A59,B1:M560,10,0)</f>
        <v>-</v>
      </c>
      <c r="L618" s="62" t="str">
        <f>VLOOKUP(A59,B1:M560,11,0)</f>
        <v>-</v>
      </c>
    </row>
    <row r="619" ht="14.25" customHeight="1" spans="1:12">
      <c r="A619" s="124">
        <f>施法!J62</f>
        <v>0</v>
      </c>
      <c r="B619" s="125"/>
      <c r="C619" s="62" t="str">
        <f>VLOOKUP(A60,B1:M560,2,0)</f>
        <v>-</v>
      </c>
      <c r="D619" s="62" t="str">
        <f>VLOOKUP(A60,B1:M560,3,0)</f>
        <v>-</v>
      </c>
      <c r="E619" s="62" t="str">
        <f>VLOOKUP(A60,B1:M560,4,0)</f>
        <v>-</v>
      </c>
      <c r="F619" s="63" t="str">
        <f>VLOOKUP(A60,B1:M560,5,0)</f>
        <v>-</v>
      </c>
      <c r="G619" s="62" t="str">
        <f>VLOOKUP(A60,B1:M560,6,0)</f>
        <v>-</v>
      </c>
      <c r="H619" s="62" t="str">
        <f>VLOOKUP(A60,B1:M560,7,0)</f>
        <v>-</v>
      </c>
      <c r="I619" s="62" t="str">
        <f>VLOOKUP(A60,B1:M560,8,0)</f>
        <v>-</v>
      </c>
      <c r="J619" s="62" t="str">
        <f>VLOOKUP(A60,B1:M560,9,0)</f>
        <v>-</v>
      </c>
      <c r="K619" s="63" t="str">
        <f>VLOOKUP(A60,B1:M560,10,0)</f>
        <v>-</v>
      </c>
      <c r="L619" s="62" t="str">
        <f>VLOOKUP(A60,B1:M560,11,0)</f>
        <v>-</v>
      </c>
    </row>
    <row r="620" ht="14.25" customHeight="1" spans="1:12">
      <c r="A620" s="124">
        <f>施法!J63</f>
        <v>0</v>
      </c>
      <c r="B620" s="125"/>
      <c r="C620" s="62" t="str">
        <f>VLOOKUP(A61,B1:M560,2,0)</f>
        <v>-</v>
      </c>
      <c r="D620" s="62" t="str">
        <f>VLOOKUP(A61,B1:M560,3,0)</f>
        <v>-</v>
      </c>
      <c r="E620" s="62" t="str">
        <f>VLOOKUP(A61,B1:M560,4,0)</f>
        <v>-</v>
      </c>
      <c r="F620" s="63" t="str">
        <f>VLOOKUP(A61,B1:M560,5,0)</f>
        <v>-</v>
      </c>
      <c r="G620" s="62" t="str">
        <f>VLOOKUP(A61,B1:M560,6,0)</f>
        <v>-</v>
      </c>
      <c r="H620" s="62" t="str">
        <f>VLOOKUP(A61,B1:M560,7,0)</f>
        <v>-</v>
      </c>
      <c r="I620" s="62" t="str">
        <f>VLOOKUP(A61,B1:M560,8,0)</f>
        <v>-</v>
      </c>
      <c r="J620" s="62" t="str">
        <f>VLOOKUP(A61,B1:M560,9,0)</f>
        <v>-</v>
      </c>
      <c r="K620" s="63" t="str">
        <f>VLOOKUP(A61,B1:M560,10,0)</f>
        <v>-</v>
      </c>
      <c r="L620" s="62" t="str">
        <f>VLOOKUP(A61,B1:M560,11,0)</f>
        <v>-</v>
      </c>
    </row>
    <row r="621" ht="14.25" customHeight="1" spans="1:12">
      <c r="A621" s="124">
        <f>施法!J64</f>
        <v>0</v>
      </c>
      <c r="B621" s="125"/>
      <c r="C621" s="62" t="str">
        <f>VLOOKUP(A62,B1:M560,2,0)</f>
        <v>-</v>
      </c>
      <c r="D621" s="62" t="str">
        <f>VLOOKUP(A62,B1:M560,3,0)</f>
        <v>-</v>
      </c>
      <c r="E621" s="62" t="str">
        <f>VLOOKUP(A62,B1:M560,4,0)</f>
        <v>-</v>
      </c>
      <c r="F621" s="63" t="str">
        <f>VLOOKUP(A62,B1:M560,5,0)</f>
        <v>-</v>
      </c>
      <c r="G621" s="62" t="str">
        <f>VLOOKUP(A62,B1:M560,6,0)</f>
        <v>-</v>
      </c>
      <c r="H621" s="62" t="str">
        <f>VLOOKUP(A62,B1:M560,7,0)</f>
        <v>-</v>
      </c>
      <c r="I621" s="62" t="str">
        <f>VLOOKUP(A62,B1:M560,8,0)</f>
        <v>-</v>
      </c>
      <c r="J621" s="62" t="str">
        <f>VLOOKUP(A62,B1:M560,9,0)</f>
        <v>-</v>
      </c>
      <c r="K621" s="63" t="str">
        <f>VLOOKUP(A62,B1:M560,10,0)</f>
        <v>-</v>
      </c>
      <c r="L621" s="62" t="str">
        <f>VLOOKUP(A62,B1:M560,11,0)</f>
        <v>-</v>
      </c>
    </row>
    <row r="622" ht="14.25" customHeight="1" spans="1:12">
      <c r="A622" s="124">
        <f>施法!J65</f>
        <v>0</v>
      </c>
      <c r="B622" s="125"/>
      <c r="C622" s="62" t="str">
        <f>VLOOKUP(A63,B1:M560,2,0)</f>
        <v>-</v>
      </c>
      <c r="D622" s="62" t="str">
        <f>VLOOKUP(A63,B1:M560,3,0)</f>
        <v>-</v>
      </c>
      <c r="E622" s="62" t="str">
        <f>VLOOKUP(A63,B1:M560,4,0)</f>
        <v>-</v>
      </c>
      <c r="F622" s="63" t="str">
        <f>VLOOKUP(A63,B1:M560,5,0)</f>
        <v>-</v>
      </c>
      <c r="G622" s="62" t="str">
        <f>VLOOKUP(A63,B1:M560,6,0)</f>
        <v>-</v>
      </c>
      <c r="H622" s="62" t="str">
        <f>VLOOKUP(A63,B1:M560,7,0)</f>
        <v>-</v>
      </c>
      <c r="I622" s="62" t="str">
        <f>VLOOKUP(A63,B1:M560,8,0)</f>
        <v>-</v>
      </c>
      <c r="J622" s="62" t="str">
        <f>VLOOKUP(A63,B1:M560,9,0)</f>
        <v>-</v>
      </c>
      <c r="K622" s="63" t="str">
        <f>VLOOKUP(A63,B1:M560,10,0)</f>
        <v>-</v>
      </c>
      <c r="L622" s="62" t="str">
        <f>VLOOKUP(A63,B1:M560,11,0)</f>
        <v>-</v>
      </c>
    </row>
    <row r="623" ht="14.25" customHeight="1" spans="1:12">
      <c r="A623" s="124">
        <f>施法!J66</f>
        <v>0</v>
      </c>
      <c r="B623" s="125"/>
      <c r="C623" s="62" t="str">
        <f>VLOOKUP(A64,B1:M560,2,0)</f>
        <v>-</v>
      </c>
      <c r="D623" s="62" t="str">
        <f>VLOOKUP(A64,B1:M560,3,0)</f>
        <v>-</v>
      </c>
      <c r="E623" s="62" t="str">
        <f>VLOOKUP(A64,B1:M560,4,0)</f>
        <v>-</v>
      </c>
      <c r="F623" s="63" t="str">
        <f>VLOOKUP(A64,B1:M560,5,0)</f>
        <v>-</v>
      </c>
      <c r="G623" s="62" t="str">
        <f>VLOOKUP(A64,B1:M560,6,0)</f>
        <v>-</v>
      </c>
      <c r="H623" s="62" t="str">
        <f>VLOOKUP(A64,B1:M560,7,0)</f>
        <v>-</v>
      </c>
      <c r="I623" s="62" t="str">
        <f>VLOOKUP(A64,B1:M560,8,0)</f>
        <v>-</v>
      </c>
      <c r="J623" s="62" t="str">
        <f>VLOOKUP(A64,B1:M560,9,0)</f>
        <v>-</v>
      </c>
      <c r="K623" s="63" t="str">
        <f>VLOOKUP(A64,B1:M560,10,0)</f>
        <v>-</v>
      </c>
      <c r="L623" s="62" t="str">
        <f>VLOOKUP(A64,B1:M560,11,0)</f>
        <v>-</v>
      </c>
    </row>
    <row r="624" ht="14.25" customHeight="1" spans="1:12">
      <c r="A624" s="124">
        <f>施法!J67</f>
        <v>0</v>
      </c>
      <c r="B624" s="125"/>
      <c r="C624" s="62" t="str">
        <f>VLOOKUP(A65,B1:M560,2,0)</f>
        <v>-</v>
      </c>
      <c r="D624" s="62" t="str">
        <f>VLOOKUP(A65,B1:M560,3,0)</f>
        <v>-</v>
      </c>
      <c r="E624" s="62" t="str">
        <f>VLOOKUP(A65,B1:M560,4,0)</f>
        <v>-</v>
      </c>
      <c r="F624" s="63" t="str">
        <f>VLOOKUP(A65,B1:M560,5,0)</f>
        <v>-</v>
      </c>
      <c r="G624" s="62" t="str">
        <f>VLOOKUP(A65,B1:M560,6,0)</f>
        <v>-</v>
      </c>
      <c r="H624" s="62" t="str">
        <f>VLOOKUP(A65,B1:M560,7,0)</f>
        <v>-</v>
      </c>
      <c r="I624" s="62" t="str">
        <f>VLOOKUP(A65,B1:M560,8,0)</f>
        <v>-</v>
      </c>
      <c r="J624" s="62" t="str">
        <f>VLOOKUP(A65,B1:M560,9,0)</f>
        <v>-</v>
      </c>
      <c r="K624" s="63" t="str">
        <f>VLOOKUP(A65,B1:M560,10,0)</f>
        <v>-</v>
      </c>
      <c r="L624" s="62" t="str">
        <f>VLOOKUP(A65,B1:M560,11,0)</f>
        <v>-</v>
      </c>
    </row>
    <row r="625" ht="14.25" customHeight="1" spans="1:12">
      <c r="A625" s="124">
        <f>施法!J68</f>
        <v>0</v>
      </c>
      <c r="B625" s="125"/>
      <c r="C625" s="62" t="str">
        <f>VLOOKUP(A66,B1:M560,2,0)</f>
        <v>-</v>
      </c>
      <c r="D625" s="62" t="str">
        <f>VLOOKUP(A66,B1:M560,3,0)</f>
        <v>-</v>
      </c>
      <c r="E625" s="62" t="str">
        <f>VLOOKUP(A66,B1:M560,4,0)</f>
        <v>-</v>
      </c>
      <c r="F625" s="63" t="str">
        <f>VLOOKUP(A66,B1:M560,5,0)</f>
        <v>-</v>
      </c>
      <c r="G625" s="62" t="str">
        <f>VLOOKUP(A66,B1:M560,6,0)</f>
        <v>-</v>
      </c>
      <c r="H625" s="62" t="str">
        <f>VLOOKUP(A66,B1:M560,7,0)</f>
        <v>-</v>
      </c>
      <c r="I625" s="62" t="str">
        <f>VLOOKUP(A66,B1:M560,8,0)</f>
        <v>-</v>
      </c>
      <c r="J625" s="62" t="str">
        <f>VLOOKUP(A66,B1:M560,9,0)</f>
        <v>-</v>
      </c>
      <c r="K625" s="63" t="str">
        <f>VLOOKUP(A66,B1:M560,10,0)</f>
        <v>-</v>
      </c>
      <c r="L625" s="62" t="str">
        <f>VLOOKUP(A66,B1:M560,11,0)</f>
        <v>-</v>
      </c>
    </row>
    <row r="626" ht="14.25" customHeight="1" spans="1:13">
      <c r="A626" s="124" t="str">
        <f>施法!J69</f>
        <v>法术名</v>
      </c>
      <c r="B626" s="126"/>
      <c r="C626" s="127"/>
      <c r="D626" s="127"/>
      <c r="E626" s="127"/>
      <c r="F626" s="128"/>
      <c r="G626" s="127"/>
      <c r="H626" s="127"/>
      <c r="I626" s="127"/>
      <c r="J626" s="127"/>
      <c r="K626" s="128"/>
      <c r="L626" s="127"/>
      <c r="M626" s="130"/>
    </row>
    <row r="627" ht="14.25" customHeight="1" spans="1:12">
      <c r="A627" s="124">
        <f>施法!J70</f>
        <v>0</v>
      </c>
      <c r="B627" s="125"/>
      <c r="C627" s="62" t="str">
        <f>VLOOKUP(A68,B1:M560,2,0)</f>
        <v>-</v>
      </c>
      <c r="D627" s="62" t="str">
        <f>VLOOKUP(A68,B1:M560,3,0)</f>
        <v>-</v>
      </c>
      <c r="E627" s="62" t="str">
        <f>VLOOKUP(A68,B1:M560,4,0)</f>
        <v>-</v>
      </c>
      <c r="F627" s="63" t="str">
        <f>VLOOKUP(A68,B1:M560,5,0)</f>
        <v>-</v>
      </c>
      <c r="G627" s="62" t="str">
        <f>VLOOKUP(A68,B1:M560,6,0)</f>
        <v>-</v>
      </c>
      <c r="H627" s="62" t="str">
        <f>VLOOKUP(A68,B1:M560,7,0)</f>
        <v>-</v>
      </c>
      <c r="I627" s="62" t="str">
        <f>VLOOKUP(A68,B1:M560,8,0)</f>
        <v>-</v>
      </c>
      <c r="J627" s="62" t="str">
        <f>VLOOKUP(A68,B1:M560,9,0)</f>
        <v>-</v>
      </c>
      <c r="K627" s="63" t="str">
        <f>VLOOKUP(A68,B1:M560,10,0)</f>
        <v>-</v>
      </c>
      <c r="L627" s="62" t="str">
        <f>VLOOKUP(A68,B1:M560,11,0)</f>
        <v>-</v>
      </c>
    </row>
    <row r="628" ht="14.25" customHeight="1" spans="1:12">
      <c r="A628" s="124">
        <f>施法!J71</f>
        <v>0</v>
      </c>
      <c r="B628" s="125"/>
      <c r="C628" s="62" t="str">
        <f>VLOOKUP(A69,B1:M560,2,0)</f>
        <v>-</v>
      </c>
      <c r="D628" s="62" t="str">
        <f>VLOOKUP(A69,B1:M560,3,0)</f>
        <v>-</v>
      </c>
      <c r="E628" s="62" t="str">
        <f>VLOOKUP(A69,B1:M560,4,0)</f>
        <v>-</v>
      </c>
      <c r="F628" s="63" t="str">
        <f>VLOOKUP(A69,B1:M560,5,0)</f>
        <v>-</v>
      </c>
      <c r="G628" s="62" t="str">
        <f>VLOOKUP(A69,B1:M560,6,0)</f>
        <v>-</v>
      </c>
      <c r="H628" s="62" t="str">
        <f>VLOOKUP(A69,B1:M560,7,0)</f>
        <v>-</v>
      </c>
      <c r="I628" s="62" t="str">
        <f>VLOOKUP(A69,B1:M560,8,0)</f>
        <v>-</v>
      </c>
      <c r="J628" s="62" t="str">
        <f>VLOOKUP(A69,B1:M560,9,0)</f>
        <v>-</v>
      </c>
      <c r="K628" s="63" t="str">
        <f>VLOOKUP(A69,B1:M560,10,0)</f>
        <v>-</v>
      </c>
      <c r="L628" s="62" t="str">
        <f>VLOOKUP(A69,B1:M560,11,0)</f>
        <v>-</v>
      </c>
    </row>
    <row r="629" ht="14.25" customHeight="1" spans="1:12">
      <c r="A629" s="124">
        <f>施法!J72</f>
        <v>0</v>
      </c>
      <c r="B629" s="125"/>
      <c r="C629" s="62" t="str">
        <f>VLOOKUP(A70,B1:M560,2,0)</f>
        <v>-</v>
      </c>
      <c r="D629" s="62" t="str">
        <f>VLOOKUP(A70,B1:M560,3,0)</f>
        <v>-</v>
      </c>
      <c r="E629" s="62" t="str">
        <f>VLOOKUP(A70,B1:M560,4,0)</f>
        <v>-</v>
      </c>
      <c r="F629" s="63" t="str">
        <f>VLOOKUP(A70,B1:M560,5,0)</f>
        <v>-</v>
      </c>
      <c r="G629" s="62" t="str">
        <f>VLOOKUP(A70,B1:M560,6,0)</f>
        <v>-</v>
      </c>
      <c r="H629" s="62" t="str">
        <f>VLOOKUP(A70,B1:M560,7,0)</f>
        <v>-</v>
      </c>
      <c r="I629" s="62" t="str">
        <f>VLOOKUP(A70,B1:M560,8,0)</f>
        <v>-</v>
      </c>
      <c r="J629" s="62" t="str">
        <f>VLOOKUP(A70,B1:M560,9,0)</f>
        <v>-</v>
      </c>
      <c r="K629" s="63" t="str">
        <f>VLOOKUP(A70,B1:M560,10,0)</f>
        <v>-</v>
      </c>
      <c r="L629" s="62" t="str">
        <f>VLOOKUP(A70,B1:M560,11,0)</f>
        <v>-</v>
      </c>
    </row>
    <row r="630" ht="14.25" customHeight="1" spans="1:12">
      <c r="A630" s="124">
        <f>施法!J73</f>
        <v>0</v>
      </c>
      <c r="B630" s="125"/>
      <c r="C630" s="62" t="str">
        <f>VLOOKUP(A71,B1:M560,2,0)</f>
        <v>-</v>
      </c>
      <c r="D630" s="62" t="str">
        <f>VLOOKUP(A71,B1:M560,3,0)</f>
        <v>-</v>
      </c>
      <c r="E630" s="62" t="str">
        <f>VLOOKUP(A71,B1:M560,4,0)</f>
        <v>-</v>
      </c>
      <c r="F630" s="63" t="str">
        <f>VLOOKUP(A71,B1:M560,5,0)</f>
        <v>-</v>
      </c>
      <c r="G630" s="62" t="str">
        <f>VLOOKUP(A71,B1:M560,6,0)</f>
        <v>-</v>
      </c>
      <c r="H630" s="62" t="str">
        <f>VLOOKUP(A71,B1:M560,7,0)</f>
        <v>-</v>
      </c>
      <c r="I630" s="62" t="str">
        <f>VLOOKUP(A71,B1:M560,8,0)</f>
        <v>-</v>
      </c>
      <c r="J630" s="62" t="str">
        <f>VLOOKUP(A71,B1:M560,9,0)</f>
        <v>-</v>
      </c>
      <c r="K630" s="63" t="str">
        <f>VLOOKUP(A71,B1:M560,10,0)</f>
        <v>-</v>
      </c>
      <c r="L630" s="62" t="str">
        <f>VLOOKUP(A71,B1:M560,11,0)</f>
        <v>-</v>
      </c>
    </row>
    <row r="631" ht="14.25" customHeight="1" spans="1:12">
      <c r="A631" s="124">
        <f>施法!J74</f>
        <v>0</v>
      </c>
      <c r="B631" s="125"/>
      <c r="C631" s="62" t="str">
        <f>VLOOKUP(A72,B1:M560,2,0)</f>
        <v>-</v>
      </c>
      <c r="D631" s="62" t="str">
        <f>VLOOKUP(A72,B1:M560,3,0)</f>
        <v>-</v>
      </c>
      <c r="E631" s="62" t="str">
        <f>VLOOKUP(A72,B1:M560,4,0)</f>
        <v>-</v>
      </c>
      <c r="F631" s="63" t="str">
        <f>VLOOKUP(A72,B1:M560,5,0)</f>
        <v>-</v>
      </c>
      <c r="G631" s="62" t="str">
        <f>VLOOKUP(A72,B1:M560,6,0)</f>
        <v>-</v>
      </c>
      <c r="H631" s="62" t="str">
        <f>VLOOKUP(A72,B1:M560,7,0)</f>
        <v>-</v>
      </c>
      <c r="I631" s="62" t="str">
        <f>VLOOKUP(A72,B1:M560,8,0)</f>
        <v>-</v>
      </c>
      <c r="J631" s="62" t="str">
        <f>VLOOKUP(A72,B1:M560,9,0)</f>
        <v>-</v>
      </c>
      <c r="K631" s="63" t="str">
        <f>VLOOKUP(A72,B1:M560,10,0)</f>
        <v>-</v>
      </c>
      <c r="L631" s="62" t="str">
        <f>VLOOKUP(A72,B1:M560,11,0)</f>
        <v>-</v>
      </c>
    </row>
    <row r="632" ht="14.25" customHeight="1" spans="1:12">
      <c r="A632" s="124">
        <f>施法!J75</f>
        <v>0</v>
      </c>
      <c r="B632" s="125"/>
      <c r="C632" s="62" t="str">
        <f>VLOOKUP(A73,B1:M560,2,0)</f>
        <v>-</v>
      </c>
      <c r="D632" s="62" t="str">
        <f>VLOOKUP(A73,B1:M560,3,0)</f>
        <v>-</v>
      </c>
      <c r="E632" s="62" t="str">
        <f>VLOOKUP(A73,B1:M560,4,0)</f>
        <v>-</v>
      </c>
      <c r="F632" s="63" t="str">
        <f>VLOOKUP(A73,B1:M560,5,0)</f>
        <v>-</v>
      </c>
      <c r="G632" s="62" t="str">
        <f>VLOOKUP(A73,B1:M560,6,0)</f>
        <v>-</v>
      </c>
      <c r="H632" s="62" t="str">
        <f>VLOOKUP(A73,B1:M560,7,0)</f>
        <v>-</v>
      </c>
      <c r="I632" s="62" t="str">
        <f>VLOOKUP(A73,B1:M560,8,0)</f>
        <v>-</v>
      </c>
      <c r="J632" s="62" t="str">
        <f>VLOOKUP(A73,B1:M560,9,0)</f>
        <v>-</v>
      </c>
      <c r="K632" s="63" t="str">
        <f>VLOOKUP(A73,B1:M560,10,0)</f>
        <v>-</v>
      </c>
      <c r="L632" s="62" t="str">
        <f>VLOOKUP(A73,B1:M560,11,0)</f>
        <v>-</v>
      </c>
    </row>
    <row r="633" ht="14.25" customHeight="1" spans="1:12">
      <c r="A633" s="124">
        <f>施法!J76</f>
        <v>0</v>
      </c>
      <c r="B633" s="125"/>
      <c r="C633" s="62" t="str">
        <f>VLOOKUP(A74,B1:M560,2,0)</f>
        <v>-</v>
      </c>
      <c r="D633" s="62" t="str">
        <f>VLOOKUP(A74,B1:M560,3,0)</f>
        <v>-</v>
      </c>
      <c r="E633" s="62" t="str">
        <f>VLOOKUP(A74,B1:M560,4,0)</f>
        <v>-</v>
      </c>
      <c r="F633" s="63" t="str">
        <f>VLOOKUP(A74,B1:M560,5,0)</f>
        <v>-</v>
      </c>
      <c r="G633" s="62" t="str">
        <f>VLOOKUP(A74,B1:M560,6,0)</f>
        <v>-</v>
      </c>
      <c r="H633" s="62" t="str">
        <f>VLOOKUP(A74,B1:M560,7,0)</f>
        <v>-</v>
      </c>
      <c r="I633" s="62" t="str">
        <f>VLOOKUP(A74,B1:M560,8,0)</f>
        <v>-</v>
      </c>
      <c r="J633" s="62" t="str">
        <f>VLOOKUP(A74,B1:M560,9,0)</f>
        <v>-</v>
      </c>
      <c r="K633" s="63" t="str">
        <f>VLOOKUP(A74,B1:M560,10,0)</f>
        <v>-</v>
      </c>
      <c r="L633" s="62" t="str">
        <f>VLOOKUP(A74,B1:M560,11,0)</f>
        <v>-</v>
      </c>
    </row>
    <row r="634" ht="14.25" customHeight="1" spans="1:12">
      <c r="A634" s="124">
        <f>施法!J77</f>
        <v>0</v>
      </c>
      <c r="B634" s="125"/>
      <c r="C634" s="62" t="str">
        <f>VLOOKUP(A75,B1:M560,2,0)</f>
        <v>-</v>
      </c>
      <c r="D634" s="62" t="str">
        <f>VLOOKUP(A75,B1:M560,3,0)</f>
        <v>-</v>
      </c>
      <c r="E634" s="62" t="str">
        <f>VLOOKUP(A75,B1:M560,4,0)</f>
        <v>-</v>
      </c>
      <c r="F634" s="63" t="str">
        <f>VLOOKUP(A75,B1:M560,5,0)</f>
        <v>-</v>
      </c>
      <c r="G634" s="62" t="str">
        <f>VLOOKUP(A75,B1:M560,6,0)</f>
        <v>-</v>
      </c>
      <c r="H634" s="62" t="str">
        <f>VLOOKUP(A75,B1:M560,7,0)</f>
        <v>-</v>
      </c>
      <c r="I634" s="62" t="str">
        <f>VLOOKUP(A75,B1:M560,8,0)</f>
        <v>-</v>
      </c>
      <c r="J634" s="62" t="str">
        <f>VLOOKUP(A75,B1:M560,9,0)</f>
        <v>-</v>
      </c>
      <c r="K634" s="63" t="str">
        <f>VLOOKUP(A75,B1:M560,10,0)</f>
        <v>-</v>
      </c>
      <c r="L634" s="62" t="str">
        <f>VLOOKUP(A75,B1:M560,11,0)</f>
        <v>-</v>
      </c>
    </row>
    <row r="635" ht="14.25" customHeight="1" spans="1:12">
      <c r="A635" s="124">
        <f>施法!J78</f>
        <v>0</v>
      </c>
      <c r="B635" s="125"/>
      <c r="C635" s="62" t="str">
        <f>VLOOKUP(A76,B1:M560,2,0)</f>
        <v>-</v>
      </c>
      <c r="D635" s="62" t="str">
        <f>VLOOKUP(A76,B1:M560,3,0)</f>
        <v>-</v>
      </c>
      <c r="E635" s="62" t="str">
        <f>VLOOKUP(A76,B1:M560,4,0)</f>
        <v>-</v>
      </c>
      <c r="F635" s="63" t="str">
        <f>VLOOKUP(A76,B1:M560,5,0)</f>
        <v>-</v>
      </c>
      <c r="G635" s="62" t="str">
        <f>VLOOKUP(A76,B1:M560,6,0)</f>
        <v>-</v>
      </c>
      <c r="H635" s="62" t="str">
        <f>VLOOKUP(A76,B1:M560,7,0)</f>
        <v>-</v>
      </c>
      <c r="I635" s="62" t="str">
        <f>VLOOKUP(A76,B1:M560,8,0)</f>
        <v>-</v>
      </c>
      <c r="J635" s="62" t="str">
        <f>VLOOKUP(A76,B1:M560,9,0)</f>
        <v>-</v>
      </c>
      <c r="K635" s="63" t="str">
        <f>VLOOKUP(A76,B1:M560,10,0)</f>
        <v>-</v>
      </c>
      <c r="L635" s="62" t="str">
        <f>VLOOKUP(A76,B1:M560,11,0)</f>
        <v>-</v>
      </c>
    </row>
    <row r="636" ht="14.25" customHeight="1" spans="1:12">
      <c r="A636" s="124">
        <f>施法!J79</f>
        <v>0</v>
      </c>
      <c r="B636" s="125"/>
      <c r="C636" s="62" t="str">
        <f>VLOOKUP(A77,B1:M560,2,0)</f>
        <v>-</v>
      </c>
      <c r="D636" s="62" t="str">
        <f>VLOOKUP(A77,B1:M560,3,0)</f>
        <v>-</v>
      </c>
      <c r="E636" s="62" t="str">
        <f>VLOOKUP(A77,B1:M560,4,0)</f>
        <v>-</v>
      </c>
      <c r="F636" s="63" t="str">
        <f>VLOOKUP(A77,B1:M560,5,0)</f>
        <v>-</v>
      </c>
      <c r="G636" s="62" t="str">
        <f>VLOOKUP(A77,B1:M560,6,0)</f>
        <v>-</v>
      </c>
      <c r="H636" s="62" t="str">
        <f>VLOOKUP(A77,B1:M560,7,0)</f>
        <v>-</v>
      </c>
      <c r="I636" s="62" t="str">
        <f>VLOOKUP(A77,B1:M560,8,0)</f>
        <v>-</v>
      </c>
      <c r="J636" s="62" t="str">
        <f>VLOOKUP(A77,B1:M560,9,0)</f>
        <v>-</v>
      </c>
      <c r="K636" s="63" t="str">
        <f>VLOOKUP(A77,B1:M560,10,0)</f>
        <v>-</v>
      </c>
      <c r="L636" s="62" t="str">
        <f>VLOOKUP(A77,B1:M560,11,0)</f>
        <v>-</v>
      </c>
    </row>
    <row r="637" ht="14.25" customHeight="1" spans="1:13">
      <c r="A637" s="124" t="str">
        <f>施法!J80</f>
        <v>法术名</v>
      </c>
      <c r="B637" s="126"/>
      <c r="C637" s="127"/>
      <c r="D637" s="127"/>
      <c r="E637" s="127"/>
      <c r="F637" s="128"/>
      <c r="G637" s="127"/>
      <c r="H637" s="127"/>
      <c r="I637" s="127"/>
      <c r="J637" s="127"/>
      <c r="K637" s="128"/>
      <c r="L637" s="127"/>
      <c r="M637" s="130"/>
    </row>
    <row r="638" ht="14.25" customHeight="1" spans="1:12">
      <c r="A638" s="124">
        <f>施法!J81</f>
        <v>0</v>
      </c>
      <c r="B638" s="125"/>
      <c r="C638" s="62" t="str">
        <f>VLOOKUP(A79,B1:M560,2,0)</f>
        <v>-</v>
      </c>
      <c r="D638" s="62" t="str">
        <f>VLOOKUP(A79,B1:M560,3,0)</f>
        <v>-</v>
      </c>
      <c r="E638" s="62" t="str">
        <f>VLOOKUP(A79,B1:M560,4,0)</f>
        <v>-</v>
      </c>
      <c r="F638" s="63" t="str">
        <f>VLOOKUP(A79,B1:M560,5,0)</f>
        <v>-</v>
      </c>
      <c r="G638" s="62" t="str">
        <f>VLOOKUP(A79,B1:M560,6,0)</f>
        <v>-</v>
      </c>
      <c r="H638" s="62" t="str">
        <f>VLOOKUP(A79,B1:M560,7,0)</f>
        <v>-</v>
      </c>
      <c r="I638" s="62" t="str">
        <f>VLOOKUP(A79,B1:M560,8,0)</f>
        <v>-</v>
      </c>
      <c r="J638" s="62" t="str">
        <f>VLOOKUP(A79,B1:M560,9,0)</f>
        <v>-</v>
      </c>
      <c r="K638" s="63" t="str">
        <f>VLOOKUP(A79,B1:M560,10,0)</f>
        <v>-</v>
      </c>
      <c r="L638" s="62" t="str">
        <f>VLOOKUP(A79,B1:M560,11,0)</f>
        <v>-</v>
      </c>
    </row>
    <row r="639" ht="14.25" customHeight="1" spans="1:12">
      <c r="A639" s="124">
        <f>施法!J82</f>
        <v>0</v>
      </c>
      <c r="B639" s="125"/>
      <c r="C639" s="62" t="str">
        <f>VLOOKUP(A80,B1:M560,2,0)</f>
        <v>-</v>
      </c>
      <c r="D639" s="62" t="str">
        <f>VLOOKUP(A80,B1:M560,3,0)</f>
        <v>-</v>
      </c>
      <c r="E639" s="62" t="str">
        <f>VLOOKUP(A80,B1:M560,4,0)</f>
        <v>-</v>
      </c>
      <c r="F639" s="63" t="str">
        <f>VLOOKUP(A80,B1:M560,5,0)</f>
        <v>-</v>
      </c>
      <c r="G639" s="62" t="str">
        <f>VLOOKUP(A80,B1:M560,6,0)</f>
        <v>-</v>
      </c>
      <c r="H639" s="62" t="str">
        <f>VLOOKUP(A80,B1:M560,7,0)</f>
        <v>-</v>
      </c>
      <c r="I639" s="62" t="str">
        <f>VLOOKUP(A80,B1:M560,8,0)</f>
        <v>-</v>
      </c>
      <c r="J639" s="62" t="str">
        <f>VLOOKUP(A80,B1:M560,9,0)</f>
        <v>-</v>
      </c>
      <c r="K639" s="63" t="str">
        <f>VLOOKUP(A80,B1:M560,10,0)</f>
        <v>-</v>
      </c>
      <c r="L639" s="62" t="str">
        <f>VLOOKUP(A80,B1:M560,11,0)</f>
        <v>-</v>
      </c>
    </row>
    <row r="640" ht="14.25" customHeight="1" spans="1:12">
      <c r="A640" s="124">
        <f>施法!J83</f>
        <v>0</v>
      </c>
      <c r="B640" s="125"/>
      <c r="C640" s="62" t="str">
        <f>VLOOKUP(A81,B1:M560,2,0)</f>
        <v>-</v>
      </c>
      <c r="D640" s="62" t="str">
        <f>VLOOKUP(A81,B1:M560,3,0)</f>
        <v>-</v>
      </c>
      <c r="E640" s="62" t="str">
        <f>VLOOKUP(A81,B1:M560,4,0)</f>
        <v>-</v>
      </c>
      <c r="F640" s="63" t="str">
        <f>VLOOKUP(A81,B1:M560,5,0)</f>
        <v>-</v>
      </c>
      <c r="G640" s="62" t="str">
        <f>VLOOKUP(A81,B1:M560,6,0)</f>
        <v>-</v>
      </c>
      <c r="H640" s="62" t="str">
        <f>VLOOKUP(A81,B1:M560,7,0)</f>
        <v>-</v>
      </c>
      <c r="I640" s="62" t="str">
        <f>VLOOKUP(A81,B1:M560,8,0)</f>
        <v>-</v>
      </c>
      <c r="J640" s="62" t="str">
        <f>VLOOKUP(A81,B1:M560,9,0)</f>
        <v>-</v>
      </c>
      <c r="K640" s="63" t="str">
        <f>VLOOKUP(A81,B1:M560,10,0)</f>
        <v>-</v>
      </c>
      <c r="L640" s="62" t="str">
        <f>VLOOKUP(A81,B1:M560,11,0)</f>
        <v>-</v>
      </c>
    </row>
    <row r="641" ht="14.25" customHeight="1" spans="1:12">
      <c r="A641" s="124">
        <f>施法!J84</f>
        <v>0</v>
      </c>
      <c r="B641" s="125"/>
      <c r="C641" s="62" t="str">
        <f>VLOOKUP(A82,B1:M560,2,0)</f>
        <v>-</v>
      </c>
      <c r="D641" s="62" t="str">
        <f>VLOOKUP(A82,B1:M560,3,0)</f>
        <v>-</v>
      </c>
      <c r="E641" s="62" t="str">
        <f>VLOOKUP(A82,B1:M560,4,0)</f>
        <v>-</v>
      </c>
      <c r="F641" s="63" t="str">
        <f>VLOOKUP(A82,B1:M560,5,0)</f>
        <v>-</v>
      </c>
      <c r="G641" s="62" t="str">
        <f>VLOOKUP(A82,B1:M560,6,0)</f>
        <v>-</v>
      </c>
      <c r="H641" s="62" t="str">
        <f>VLOOKUP(A82,B1:M560,7,0)</f>
        <v>-</v>
      </c>
      <c r="I641" s="62" t="str">
        <f>VLOOKUP(A82,B1:M560,8,0)</f>
        <v>-</v>
      </c>
      <c r="J641" s="62" t="str">
        <f>VLOOKUP(A82,B1:M560,9,0)</f>
        <v>-</v>
      </c>
      <c r="K641" s="63" t="str">
        <f>VLOOKUP(A82,B1:M560,10,0)</f>
        <v>-</v>
      </c>
      <c r="L641" s="62" t="str">
        <f>VLOOKUP(A82,B1:M560,11,0)</f>
        <v>-</v>
      </c>
    </row>
    <row r="642" ht="14.25" customHeight="1" spans="1:12">
      <c r="A642" s="124">
        <f>施法!J85</f>
        <v>0</v>
      </c>
      <c r="B642" s="125"/>
      <c r="C642" s="62" t="str">
        <f>VLOOKUP(A83,B1:M560,2,0)</f>
        <v>-</v>
      </c>
      <c r="D642" s="62" t="str">
        <f>VLOOKUP(A83,B1:M560,3,0)</f>
        <v>-</v>
      </c>
      <c r="E642" s="62" t="str">
        <f>VLOOKUP(A83,B1:M560,4,0)</f>
        <v>-</v>
      </c>
      <c r="F642" s="63" t="str">
        <f>VLOOKUP(A83,B1:M560,5,0)</f>
        <v>-</v>
      </c>
      <c r="G642" s="62" t="str">
        <f>VLOOKUP(A83,B1:M560,6,0)</f>
        <v>-</v>
      </c>
      <c r="H642" s="62" t="str">
        <f>VLOOKUP(A83,B1:M560,7,0)</f>
        <v>-</v>
      </c>
      <c r="I642" s="62" t="str">
        <f>VLOOKUP(A83,B1:M560,8,0)</f>
        <v>-</v>
      </c>
      <c r="J642" s="62" t="str">
        <f>VLOOKUP(A83,B1:M560,9,0)</f>
        <v>-</v>
      </c>
      <c r="K642" s="63" t="str">
        <f>VLOOKUP(A83,B1:M560,10,0)</f>
        <v>-</v>
      </c>
      <c r="L642" s="62" t="str">
        <f>VLOOKUP(A83,B1:M560,11,0)</f>
        <v>-</v>
      </c>
    </row>
    <row r="643" ht="14.25" customHeight="1" spans="1:12">
      <c r="A643" s="124">
        <f>施法!J86</f>
        <v>0</v>
      </c>
      <c r="B643" s="125"/>
      <c r="C643" s="62" t="str">
        <f>VLOOKUP(A84,B1:M560,2,0)</f>
        <v>-</v>
      </c>
      <c r="D643" s="62" t="str">
        <f>VLOOKUP(A84,B1:M560,3,0)</f>
        <v>-</v>
      </c>
      <c r="E643" s="62" t="str">
        <f>VLOOKUP(A84,B1:M560,4,0)</f>
        <v>-</v>
      </c>
      <c r="F643" s="63" t="str">
        <f>VLOOKUP(A84,B1:M560,5,0)</f>
        <v>-</v>
      </c>
      <c r="G643" s="62" t="str">
        <f>VLOOKUP(A84,B1:M560,6,0)</f>
        <v>-</v>
      </c>
      <c r="H643" s="62" t="str">
        <f>VLOOKUP(A84,B1:M560,7,0)</f>
        <v>-</v>
      </c>
      <c r="I643" s="62" t="str">
        <f>VLOOKUP(A84,B1:M560,8,0)</f>
        <v>-</v>
      </c>
      <c r="J643" s="62" t="str">
        <f>VLOOKUP(A84,B1:M560,9,0)</f>
        <v>-</v>
      </c>
      <c r="K643" s="63" t="str">
        <f>VLOOKUP(A84,B1:M560,10,0)</f>
        <v>-</v>
      </c>
      <c r="L643" s="62" t="str">
        <f>VLOOKUP(A84,B1:M560,11,0)</f>
        <v>-</v>
      </c>
    </row>
    <row r="644" ht="14.25" customHeight="1" spans="1:12">
      <c r="A644" s="124">
        <f>施法!J87</f>
        <v>0</v>
      </c>
      <c r="B644" s="125"/>
      <c r="C644" s="62" t="str">
        <f>VLOOKUP(A85,B1:M560,2,0)</f>
        <v>-</v>
      </c>
      <c r="D644" s="62" t="str">
        <f>VLOOKUP(A85,B1:M560,3,0)</f>
        <v>-</v>
      </c>
      <c r="E644" s="62" t="str">
        <f>VLOOKUP(A85,B1:M560,4,0)</f>
        <v>-</v>
      </c>
      <c r="F644" s="63" t="str">
        <f>VLOOKUP(A85,B1:M560,5,0)</f>
        <v>-</v>
      </c>
      <c r="G644" s="62" t="str">
        <f>VLOOKUP(A85,B1:M560,6,0)</f>
        <v>-</v>
      </c>
      <c r="H644" s="62" t="str">
        <f>VLOOKUP(A85,B1:M560,7,0)</f>
        <v>-</v>
      </c>
      <c r="I644" s="62" t="str">
        <f>VLOOKUP(A85,B1:M560,8,0)</f>
        <v>-</v>
      </c>
      <c r="J644" s="62" t="str">
        <f>VLOOKUP(A85,B1:M560,9,0)</f>
        <v>-</v>
      </c>
      <c r="K644" s="63" t="str">
        <f>VLOOKUP(A85,B1:M560,10,0)</f>
        <v>-</v>
      </c>
      <c r="L644" s="62" t="str">
        <f>VLOOKUP(A85,B1:M560,11,0)</f>
        <v>-</v>
      </c>
    </row>
    <row r="645" ht="14.25" customHeight="1" spans="1:12">
      <c r="A645" s="124">
        <f>施法!J88</f>
        <v>0</v>
      </c>
      <c r="B645" s="125"/>
      <c r="C645" s="62" t="str">
        <f>VLOOKUP(A86,B1:M560,2,0)</f>
        <v>-</v>
      </c>
      <c r="D645" s="62" t="str">
        <f>VLOOKUP(A86,B1:M560,3,0)</f>
        <v>-</v>
      </c>
      <c r="E645" s="62" t="str">
        <f>VLOOKUP(A86,B1:M560,4,0)</f>
        <v>-</v>
      </c>
      <c r="F645" s="63" t="str">
        <f>VLOOKUP(A86,B1:M560,5,0)</f>
        <v>-</v>
      </c>
      <c r="G645" s="62" t="str">
        <f>VLOOKUP(A86,B1:M560,6,0)</f>
        <v>-</v>
      </c>
      <c r="H645" s="62" t="str">
        <f>VLOOKUP(A86,B1:M560,7,0)</f>
        <v>-</v>
      </c>
      <c r="I645" s="62" t="str">
        <f>VLOOKUP(A86,B1:M560,8,0)</f>
        <v>-</v>
      </c>
      <c r="J645" s="62" t="str">
        <f>VLOOKUP(A86,B1:M560,9,0)</f>
        <v>-</v>
      </c>
      <c r="K645" s="63" t="str">
        <f>VLOOKUP(A86,B1:M560,10,0)</f>
        <v>-</v>
      </c>
      <c r="L645" s="62" t="str">
        <f>VLOOKUP(A86,B1:M560,11,0)</f>
        <v>-</v>
      </c>
    </row>
    <row r="646" ht="14.25" customHeight="1" spans="1:12">
      <c r="A646" s="124">
        <f>施法!J89</f>
        <v>0</v>
      </c>
      <c r="B646" s="125"/>
      <c r="C646" s="62" t="str">
        <f>VLOOKUP(A87,B1:M560,2,0)</f>
        <v>-</v>
      </c>
      <c r="D646" s="62" t="str">
        <f>VLOOKUP(A87,B1:M560,3,0)</f>
        <v>-</v>
      </c>
      <c r="E646" s="62" t="str">
        <f>VLOOKUP(A87,B1:M560,4,0)</f>
        <v>-</v>
      </c>
      <c r="F646" s="63" t="str">
        <f>VLOOKUP(A87,B1:M560,5,0)</f>
        <v>-</v>
      </c>
      <c r="G646" s="62" t="str">
        <f>VLOOKUP(A87,B1:M560,6,0)</f>
        <v>-</v>
      </c>
      <c r="H646" s="62" t="str">
        <f>VLOOKUP(A87,B1:M560,7,0)</f>
        <v>-</v>
      </c>
      <c r="I646" s="62" t="str">
        <f>VLOOKUP(A87,B1:M560,8,0)</f>
        <v>-</v>
      </c>
      <c r="J646" s="62" t="str">
        <f>VLOOKUP(A87,B1:M560,9,0)</f>
        <v>-</v>
      </c>
      <c r="K646" s="63" t="str">
        <f>VLOOKUP(A87,B1:M560,10,0)</f>
        <v>-</v>
      </c>
      <c r="L646" s="62" t="str">
        <f>VLOOKUP(A87,B1:M560,11,0)</f>
        <v>-</v>
      </c>
    </row>
    <row r="647" ht="14.25" customHeight="1" spans="1:12">
      <c r="A647" s="124">
        <f>施法!J90</f>
        <v>0</v>
      </c>
      <c r="B647" s="125"/>
      <c r="C647" s="62" t="str">
        <f>VLOOKUP(A88,B1:M560,2,0)</f>
        <v>-</v>
      </c>
      <c r="D647" s="62" t="str">
        <f>VLOOKUP(A88,B1:M560,3,0)</f>
        <v>-</v>
      </c>
      <c r="E647" s="62" t="str">
        <f>VLOOKUP(A88,B1:M560,4,0)</f>
        <v>-</v>
      </c>
      <c r="F647" s="63" t="str">
        <f>VLOOKUP(A88,B1:M560,5,0)</f>
        <v>-</v>
      </c>
      <c r="G647" s="62" t="str">
        <f>VLOOKUP(A88,B1:M560,6,0)</f>
        <v>-</v>
      </c>
      <c r="H647" s="62" t="str">
        <f>VLOOKUP(A88,B1:M560,7,0)</f>
        <v>-</v>
      </c>
      <c r="I647" s="62" t="str">
        <f>VLOOKUP(A88,B1:M560,8,0)</f>
        <v>-</v>
      </c>
      <c r="J647" s="62" t="str">
        <f>VLOOKUP(A88,B1:M560,9,0)</f>
        <v>-</v>
      </c>
      <c r="K647" s="63" t="str">
        <f>VLOOKUP(A88,B1:M560,10,0)</f>
        <v>-</v>
      </c>
      <c r="L647" s="62" t="str">
        <f>VLOOKUP(A88,B1:M560,11,0)</f>
        <v>-</v>
      </c>
    </row>
    <row r="648" ht="14.25" customHeight="1" spans="1:13">
      <c r="A648" s="124" t="str">
        <f>施法!J91</f>
        <v>法术名</v>
      </c>
      <c r="B648" s="127"/>
      <c r="C648" s="127"/>
      <c r="D648" s="127"/>
      <c r="E648" s="127"/>
      <c r="F648" s="128"/>
      <c r="G648" s="127"/>
      <c r="H648" s="127"/>
      <c r="I648" s="127"/>
      <c r="J648" s="127"/>
      <c r="K648" s="128"/>
      <c r="L648" s="127"/>
      <c r="M648" s="130"/>
    </row>
    <row r="649" ht="14.25" customHeight="1" spans="1:12">
      <c r="A649" s="124">
        <f>施法!J92</f>
        <v>0</v>
      </c>
      <c r="C649" s="62" t="str">
        <f>VLOOKUP(A90,B1:M560,2,0)</f>
        <v>-</v>
      </c>
      <c r="D649" s="62" t="str">
        <f>VLOOKUP(A90,B1:M560,3,0)</f>
        <v>-</v>
      </c>
      <c r="E649" s="62" t="str">
        <f>VLOOKUP(A90,B1:M560,4,0)</f>
        <v>-</v>
      </c>
      <c r="F649" s="63" t="str">
        <f>VLOOKUP(A90,B1:M560,5,0)</f>
        <v>-</v>
      </c>
      <c r="G649" s="62" t="str">
        <f>VLOOKUP(A90,B1:M560,6,0)</f>
        <v>-</v>
      </c>
      <c r="H649" s="62" t="str">
        <f>VLOOKUP(A90,B1:M560,7,0)</f>
        <v>-</v>
      </c>
      <c r="I649" s="62" t="str">
        <f>VLOOKUP(A90,B1:M560,8,0)</f>
        <v>-</v>
      </c>
      <c r="J649" s="62" t="str">
        <f>VLOOKUP(A90,B1:M560,9,0)</f>
        <v>-</v>
      </c>
      <c r="K649" s="63" t="str">
        <f>VLOOKUP(A90,B1:M560,10,0)</f>
        <v>-</v>
      </c>
      <c r="L649" s="62" t="str">
        <f>VLOOKUP(A90,B1:M560,11,0)</f>
        <v>-</v>
      </c>
    </row>
    <row r="650" ht="14.25" customHeight="1" spans="1:12">
      <c r="A650" s="124">
        <f>施法!J93</f>
        <v>0</v>
      </c>
      <c r="C650" s="62" t="str">
        <f>VLOOKUP(A91,B1:M560,2,0)</f>
        <v>-</v>
      </c>
      <c r="D650" s="62" t="str">
        <f>VLOOKUP(A91,B1:M560,3,0)</f>
        <v>-</v>
      </c>
      <c r="E650" s="62" t="str">
        <f>VLOOKUP(A91,B1:M560,4,0)</f>
        <v>-</v>
      </c>
      <c r="F650" s="63" t="str">
        <f>VLOOKUP(A91,B1:M560,5,0)</f>
        <v>-</v>
      </c>
      <c r="G650" s="62" t="str">
        <f>VLOOKUP(A91,B1:M560,6,0)</f>
        <v>-</v>
      </c>
      <c r="H650" s="62" t="str">
        <f>VLOOKUP(A91,B1:M560,7,0)</f>
        <v>-</v>
      </c>
      <c r="I650" s="62" t="str">
        <f>VLOOKUP(A91,B1:M560,8,0)</f>
        <v>-</v>
      </c>
      <c r="J650" s="62" t="str">
        <f>VLOOKUP(A91,B1:M560,9,0)</f>
        <v>-</v>
      </c>
      <c r="K650" s="63" t="str">
        <f>VLOOKUP(A91,B1:M560,10,0)</f>
        <v>-</v>
      </c>
      <c r="L650" s="62" t="str">
        <f>VLOOKUP(A91,B1:M560,11,0)</f>
        <v>-</v>
      </c>
    </row>
    <row r="651" ht="14.25" customHeight="1" spans="1:12">
      <c r="A651" s="124">
        <f>施法!J94</f>
        <v>0</v>
      </c>
      <c r="C651" s="62" t="str">
        <f>VLOOKUP(A92,B1:M560,2,0)</f>
        <v>-</v>
      </c>
      <c r="D651" s="62" t="str">
        <f>VLOOKUP(A92,B1:M560,3,0)</f>
        <v>-</v>
      </c>
      <c r="E651" s="62" t="str">
        <f>VLOOKUP(A92,B1:M560,4,0)</f>
        <v>-</v>
      </c>
      <c r="F651" s="63" t="str">
        <f>VLOOKUP(A92,B1:M560,5,0)</f>
        <v>-</v>
      </c>
      <c r="G651" s="62" t="str">
        <f>VLOOKUP(A92,B1:M560,6,0)</f>
        <v>-</v>
      </c>
      <c r="H651" s="62" t="str">
        <f>VLOOKUP(A92,B1:M560,7,0)</f>
        <v>-</v>
      </c>
      <c r="I651" s="62" t="str">
        <f>VLOOKUP(A92,B1:M560,8,0)</f>
        <v>-</v>
      </c>
      <c r="J651" s="62" t="str">
        <f>VLOOKUP(A92,B1:M560,9,0)</f>
        <v>-</v>
      </c>
      <c r="K651" s="63" t="str">
        <f>VLOOKUP(A92,B1:M560,10,0)</f>
        <v>-</v>
      </c>
      <c r="L651" s="62" t="str">
        <f>VLOOKUP(A92,B1:M560,11,0)</f>
        <v>-</v>
      </c>
    </row>
    <row r="652" ht="14.25" customHeight="1" spans="1:12">
      <c r="A652" s="124">
        <f>施法!J95</f>
        <v>0</v>
      </c>
      <c r="C652" s="62" t="str">
        <f>VLOOKUP(A93,B1:M560,2,0)</f>
        <v>-</v>
      </c>
      <c r="D652" s="62" t="str">
        <f>VLOOKUP(A93,B1:M560,3,0)</f>
        <v>-</v>
      </c>
      <c r="E652" s="62" t="str">
        <f>VLOOKUP(A93,B1:M560,4,0)</f>
        <v>-</v>
      </c>
      <c r="F652" s="63" t="str">
        <f>VLOOKUP(A93,B1:M560,5,0)</f>
        <v>-</v>
      </c>
      <c r="G652" s="62" t="str">
        <f>VLOOKUP(A93,B1:M560,6,0)</f>
        <v>-</v>
      </c>
      <c r="H652" s="62" t="str">
        <f>VLOOKUP(A93,B1:M560,7,0)</f>
        <v>-</v>
      </c>
      <c r="I652" s="62" t="str">
        <f>VLOOKUP(A93,B1:M560,8,0)</f>
        <v>-</v>
      </c>
      <c r="J652" s="62" t="str">
        <f>VLOOKUP(A93,B1:M560,9,0)</f>
        <v>-</v>
      </c>
      <c r="K652" s="63" t="str">
        <f>VLOOKUP(A93,B1:M560,10,0)</f>
        <v>-</v>
      </c>
      <c r="L652" s="62" t="str">
        <f>VLOOKUP(A93,B1:M560,11,0)</f>
        <v>-</v>
      </c>
    </row>
    <row r="653" ht="14.25" customHeight="1" spans="1:12">
      <c r="A653" s="124">
        <f>施法!J96</f>
        <v>0</v>
      </c>
      <c r="C653" s="62" t="str">
        <f>VLOOKUP(A94,B1:M560,2,0)</f>
        <v>-</v>
      </c>
      <c r="D653" s="62" t="str">
        <f>VLOOKUP(A94,B1:M560,3,0)</f>
        <v>-</v>
      </c>
      <c r="E653" s="62" t="str">
        <f>VLOOKUP(A94,B1:M560,4,0)</f>
        <v>-</v>
      </c>
      <c r="F653" s="63" t="str">
        <f>VLOOKUP(A94,B1:M560,5,0)</f>
        <v>-</v>
      </c>
      <c r="G653" s="62" t="str">
        <f>VLOOKUP(A94,B1:M560,6,0)</f>
        <v>-</v>
      </c>
      <c r="H653" s="62" t="str">
        <f>VLOOKUP(A94,B1:M560,7,0)</f>
        <v>-</v>
      </c>
      <c r="I653" s="62" t="str">
        <f>VLOOKUP(A94,B1:M560,8,0)</f>
        <v>-</v>
      </c>
      <c r="J653" s="62" t="str">
        <f>VLOOKUP(A94,B1:M560,9,0)</f>
        <v>-</v>
      </c>
      <c r="K653" s="63" t="str">
        <f>VLOOKUP(A94,B1:M560,10,0)</f>
        <v>-</v>
      </c>
      <c r="L653" s="62" t="str">
        <f>VLOOKUP(A94,B1:M560,11,0)</f>
        <v>-</v>
      </c>
    </row>
    <row r="654" ht="14.25" customHeight="1" spans="1:12">
      <c r="A654" s="124">
        <f>施法!J97</f>
        <v>0</v>
      </c>
      <c r="C654" s="62" t="str">
        <f>VLOOKUP(A95,B1:M560,2,0)</f>
        <v>-</v>
      </c>
      <c r="D654" s="62" t="str">
        <f>VLOOKUP(A95,B1:M560,3,0)</f>
        <v>-</v>
      </c>
      <c r="E654" s="62" t="str">
        <f>VLOOKUP(A95,B1:M560,4,0)</f>
        <v>-</v>
      </c>
      <c r="F654" s="63" t="str">
        <f>VLOOKUP(A95,B1:M560,5,0)</f>
        <v>-</v>
      </c>
      <c r="G654" s="62" t="str">
        <f>VLOOKUP(A95,B1:M560,6,0)</f>
        <v>-</v>
      </c>
      <c r="H654" s="62" t="str">
        <f>VLOOKUP(A95,B1:M560,7,0)</f>
        <v>-</v>
      </c>
      <c r="I654" s="62" t="str">
        <f>VLOOKUP(A95,B1:M560,8,0)</f>
        <v>-</v>
      </c>
      <c r="J654" s="62" t="str">
        <f>VLOOKUP(A95,B1:M560,9,0)</f>
        <v>-</v>
      </c>
      <c r="K654" s="63" t="str">
        <f>VLOOKUP(A95,B1:M560,10,0)</f>
        <v>-</v>
      </c>
      <c r="L654" s="62" t="str">
        <f>VLOOKUP(A95,B1:M560,11,0)</f>
        <v>-</v>
      </c>
    </row>
    <row r="655" ht="14.25" customHeight="1" spans="1:12">
      <c r="A655" s="124">
        <f>施法!J98</f>
        <v>0</v>
      </c>
      <c r="C655" s="62" t="str">
        <f>VLOOKUP(A96,B1:M560,2,0)</f>
        <v>-</v>
      </c>
      <c r="D655" s="62" t="str">
        <f>VLOOKUP(A96,B1:M560,3,0)</f>
        <v>-</v>
      </c>
      <c r="E655" s="62" t="str">
        <f>VLOOKUP(A96,B1:M560,4,0)</f>
        <v>-</v>
      </c>
      <c r="F655" s="63" t="str">
        <f>VLOOKUP(A96,B1:M560,5,0)</f>
        <v>-</v>
      </c>
      <c r="G655" s="62" t="str">
        <f>VLOOKUP(A96,B1:M560,6,0)</f>
        <v>-</v>
      </c>
      <c r="H655" s="62" t="str">
        <f>VLOOKUP(A96,B1:M560,7,0)</f>
        <v>-</v>
      </c>
      <c r="I655" s="62" t="str">
        <f>VLOOKUP(A96,B1:M560,8,0)</f>
        <v>-</v>
      </c>
      <c r="J655" s="62" t="str">
        <f>VLOOKUP(A96,B1:M560,9,0)</f>
        <v>-</v>
      </c>
      <c r="K655" s="63" t="str">
        <f>VLOOKUP(A96,B1:M560,10,0)</f>
        <v>-</v>
      </c>
      <c r="L655" s="62" t="str">
        <f>VLOOKUP(A96,B1:M560,11,0)</f>
        <v>-</v>
      </c>
    </row>
    <row r="656" ht="14.25" customHeight="1" spans="1:12">
      <c r="A656" s="124">
        <f>施法!J99</f>
        <v>0</v>
      </c>
      <c r="C656" s="62" t="str">
        <f>VLOOKUP(A97,B1:M560,2,0)</f>
        <v>-</v>
      </c>
      <c r="D656" s="62" t="str">
        <f>VLOOKUP(A97,B1:M560,3,0)</f>
        <v>-</v>
      </c>
      <c r="E656" s="62" t="str">
        <f>VLOOKUP(A97,B1:M560,4,0)</f>
        <v>-</v>
      </c>
      <c r="F656" s="63" t="str">
        <f>VLOOKUP(A97,B1:M560,5,0)</f>
        <v>-</v>
      </c>
      <c r="G656" s="62" t="str">
        <f>VLOOKUP(A97,B1:M560,6,0)</f>
        <v>-</v>
      </c>
      <c r="H656" s="62" t="str">
        <f>VLOOKUP(A97,B1:M560,7,0)</f>
        <v>-</v>
      </c>
      <c r="I656" s="62" t="str">
        <f>VLOOKUP(A97,B1:M560,8,0)</f>
        <v>-</v>
      </c>
      <c r="J656" s="62" t="str">
        <f>VLOOKUP(A97,B1:M560,9,0)</f>
        <v>-</v>
      </c>
      <c r="K656" s="63" t="str">
        <f>VLOOKUP(A97,B1:M560,10,0)</f>
        <v>-</v>
      </c>
      <c r="L656" s="62" t="str">
        <f>VLOOKUP(A97,B1:M560,11,0)</f>
        <v>-</v>
      </c>
    </row>
    <row r="657" ht="14.25" customHeight="1" spans="1:12">
      <c r="A657" s="124">
        <f>施法!J100</f>
        <v>0</v>
      </c>
      <c r="C657" s="62" t="str">
        <f>VLOOKUP(A98,B1:M560,2,0)</f>
        <v>-</v>
      </c>
      <c r="D657" s="62" t="str">
        <f>VLOOKUP(A98,B1:M560,3,0)</f>
        <v>-</v>
      </c>
      <c r="E657" s="62" t="str">
        <f>VLOOKUP(A98,B1:M560,4,0)</f>
        <v>-</v>
      </c>
      <c r="F657" s="63" t="str">
        <f>VLOOKUP(A98,B1:M560,5,0)</f>
        <v>-</v>
      </c>
      <c r="G657" s="62" t="str">
        <f>VLOOKUP(A98,B1:M560,6,0)</f>
        <v>-</v>
      </c>
      <c r="H657" s="62" t="str">
        <f>VLOOKUP(A98,B1:M560,7,0)</f>
        <v>-</v>
      </c>
      <c r="I657" s="62" t="str">
        <f>VLOOKUP(A98,B1:M560,8,0)</f>
        <v>-</v>
      </c>
      <c r="J657" s="62" t="str">
        <f>VLOOKUP(A98,B1:M560,9,0)</f>
        <v>-</v>
      </c>
      <c r="K657" s="63" t="str">
        <f>VLOOKUP(A98,B1:M560,10,0)</f>
        <v>-</v>
      </c>
      <c r="L657" s="62" t="str">
        <f>VLOOKUP(A98,B1:M560,11,0)</f>
        <v>-</v>
      </c>
    </row>
    <row r="658" ht="14.25" customHeight="1" spans="1:12">
      <c r="A658" s="124">
        <f>施法!J101</f>
        <v>0</v>
      </c>
      <c r="C658" s="62" t="str">
        <f>VLOOKUP(A99,B1:M560,2,0)</f>
        <v>-</v>
      </c>
      <c r="D658" s="62" t="str">
        <f>VLOOKUP(A99,B1:M560,3,0)</f>
        <v>-</v>
      </c>
      <c r="E658" s="62" t="str">
        <f>VLOOKUP(A99,B1:M560,4,0)</f>
        <v>-</v>
      </c>
      <c r="F658" s="63" t="str">
        <f>VLOOKUP(A99,B1:M560,5,0)</f>
        <v>-</v>
      </c>
      <c r="G658" s="62" t="str">
        <f>VLOOKUP(A99,B1:M560,6,0)</f>
        <v>-</v>
      </c>
      <c r="H658" s="62" t="str">
        <f>VLOOKUP(A99,B1:M560,7,0)</f>
        <v>-</v>
      </c>
      <c r="I658" s="62" t="str">
        <f>VLOOKUP(A99,B1:M560,8,0)</f>
        <v>-</v>
      </c>
      <c r="J658" s="62" t="str">
        <f>VLOOKUP(A99,B1:M560,9,0)</f>
        <v>-</v>
      </c>
      <c r="K658" s="63" t="str">
        <f>VLOOKUP(A99,B1:M560,10,0)</f>
        <v>-</v>
      </c>
      <c r="L658" s="62" t="str">
        <f>VLOOKUP(A99,B1:M560,11,0)</f>
        <v>-</v>
      </c>
    </row>
    <row r="659" ht="14.25" customHeight="1" spans="1:13">
      <c r="A659" s="124" t="str">
        <f>施法!J102</f>
        <v>法术名</v>
      </c>
      <c r="B659" s="127"/>
      <c r="C659" s="127"/>
      <c r="D659" s="127"/>
      <c r="E659" s="127"/>
      <c r="F659" s="128"/>
      <c r="G659" s="127"/>
      <c r="H659" s="127"/>
      <c r="I659" s="127"/>
      <c r="J659" s="127"/>
      <c r="K659" s="128"/>
      <c r="L659" s="127"/>
      <c r="M659" s="130"/>
    </row>
    <row r="660" ht="14.25" customHeight="1" spans="1:12">
      <c r="A660" s="124">
        <f>施法!J103</f>
        <v>0</v>
      </c>
      <c r="C660" s="62" t="str">
        <f>VLOOKUP(A101,B13:M582,2,0)</f>
        <v>-</v>
      </c>
      <c r="D660" s="62" t="str">
        <f>VLOOKUP(A101,B13:M582,3,0)</f>
        <v>-</v>
      </c>
      <c r="E660" s="62" t="str">
        <f>VLOOKUP(A101,B13:M582,4,0)</f>
        <v>-</v>
      </c>
      <c r="F660" s="63" t="str">
        <f>VLOOKUP(A101,B13:M582,5,0)</f>
        <v>-</v>
      </c>
      <c r="G660" s="62" t="str">
        <f>VLOOKUP(A101,B13:M582,6,0)</f>
        <v>-</v>
      </c>
      <c r="H660" s="62" t="str">
        <f>VLOOKUP(A101,B13:M582,7,0)</f>
        <v>-</v>
      </c>
      <c r="I660" s="62" t="str">
        <f>VLOOKUP(A101,B13:M582,8,0)</f>
        <v>-</v>
      </c>
      <c r="J660" s="62" t="str">
        <f>VLOOKUP(A101,B13:M582,9,0)</f>
        <v>-</v>
      </c>
      <c r="K660" s="63" t="str">
        <f>VLOOKUP(A101,B1:M560,10,0)</f>
        <v>-</v>
      </c>
      <c r="L660" s="62" t="str">
        <f>VLOOKUP(A101,B13:M582,11,0)</f>
        <v>-</v>
      </c>
    </row>
    <row r="661" ht="14.25" customHeight="1" spans="1:12">
      <c r="A661" s="124">
        <f>施法!J104</f>
        <v>0</v>
      </c>
      <c r="C661" s="62" t="str">
        <f>VLOOKUP(A102,B13:M582,2,0)</f>
        <v>-</v>
      </c>
      <c r="D661" s="62" t="str">
        <f>VLOOKUP(A102,B13:M582,3,0)</f>
        <v>-</v>
      </c>
      <c r="E661" s="62" t="str">
        <f>VLOOKUP(A102,B13:M582,4,0)</f>
        <v>-</v>
      </c>
      <c r="F661" s="63" t="str">
        <f>VLOOKUP(A102,B13:M582,5,0)</f>
        <v>-</v>
      </c>
      <c r="G661" s="62" t="str">
        <f>VLOOKUP(A102,B13:M582,6,0)</f>
        <v>-</v>
      </c>
      <c r="H661" s="62" t="str">
        <f>VLOOKUP(A102,B13:M582,7,0)</f>
        <v>-</v>
      </c>
      <c r="I661" s="62" t="str">
        <f>VLOOKUP(A102,B13:M582,8,0)</f>
        <v>-</v>
      </c>
      <c r="J661" s="62" t="str">
        <f>VLOOKUP(A102,B13:M582,9,0)</f>
        <v>-</v>
      </c>
      <c r="K661" s="63" t="str">
        <f>VLOOKUP(A102,B1:M560,10,0)</f>
        <v>-</v>
      </c>
      <c r="L661" s="62" t="str">
        <f>VLOOKUP(A102,B13:M582,11,0)</f>
        <v>-</v>
      </c>
    </row>
    <row r="662" ht="14.25" customHeight="1" spans="1:12">
      <c r="A662" s="124">
        <f>施法!J105</f>
        <v>0</v>
      </c>
      <c r="C662" s="62" t="str">
        <f>VLOOKUP(A103,B1:M560,2,0)</f>
        <v>-</v>
      </c>
      <c r="D662" s="62" t="str">
        <f>VLOOKUP(A103,B1:M560,3,0)</f>
        <v>-</v>
      </c>
      <c r="E662" s="62" t="str">
        <f>VLOOKUP(A103,B1:M560,4,0)</f>
        <v>-</v>
      </c>
      <c r="F662" s="63" t="str">
        <f>VLOOKUP(A103,B1:M560,5,0)</f>
        <v>-</v>
      </c>
      <c r="G662" s="62" t="str">
        <f>VLOOKUP(A103,B1:M560,6,0)</f>
        <v>-</v>
      </c>
      <c r="H662" s="62" t="str">
        <f>VLOOKUP(A103,B1:M560,7,0)</f>
        <v>-</v>
      </c>
      <c r="I662" s="62" t="str">
        <f>VLOOKUP(A103,B1:M560,8,0)</f>
        <v>-</v>
      </c>
      <c r="J662" s="62" t="str">
        <f>VLOOKUP(A103,B1:M560,9,0)</f>
        <v>-</v>
      </c>
      <c r="K662" s="63" t="str">
        <f>VLOOKUP(A103,B1:M560,10,0)</f>
        <v>-</v>
      </c>
      <c r="L662" s="62" t="str">
        <f>VLOOKUP(A103,B1:M560,11,0)</f>
        <v>-</v>
      </c>
    </row>
    <row r="663" ht="14.25" customHeight="1" spans="1:12">
      <c r="A663" s="124">
        <f>施法!J106</f>
        <v>0</v>
      </c>
      <c r="C663" s="62" t="str">
        <f>VLOOKUP(A104,B1:M560,2,0)</f>
        <v>-</v>
      </c>
      <c r="D663" s="62" t="str">
        <f>VLOOKUP(A104,B1:M560,3,0)</f>
        <v>-</v>
      </c>
      <c r="E663" s="62" t="str">
        <f>VLOOKUP(A104,B1:M560,4,0)</f>
        <v>-</v>
      </c>
      <c r="F663" s="63" t="str">
        <f>VLOOKUP(A104,B1:M560,5,0)</f>
        <v>-</v>
      </c>
      <c r="G663" s="62" t="str">
        <f>VLOOKUP(A104,B1:M560,6,0)</f>
        <v>-</v>
      </c>
      <c r="H663" s="62" t="str">
        <f>VLOOKUP(A104,B1:M560,7,0)</f>
        <v>-</v>
      </c>
      <c r="I663" s="62" t="str">
        <f>VLOOKUP(A104,B1:M560,8,0)</f>
        <v>-</v>
      </c>
      <c r="J663" s="62" t="str">
        <f>VLOOKUP(A104,B1:M560,9,0)</f>
        <v>-</v>
      </c>
      <c r="K663" s="63" t="str">
        <f>VLOOKUP(A104,B1:M560,10,0)</f>
        <v>-</v>
      </c>
      <c r="L663" s="62" t="str">
        <f>VLOOKUP(A104,B1:M560,11,0)</f>
        <v>-</v>
      </c>
    </row>
    <row r="664" ht="14.25" customHeight="1" spans="1:12">
      <c r="A664" s="124">
        <f>施法!J107</f>
        <v>0</v>
      </c>
      <c r="C664" s="62" t="str">
        <f>VLOOKUP(A105,B1:M560,2,0)</f>
        <v>-</v>
      </c>
      <c r="D664" s="62" t="str">
        <f>VLOOKUP(A105,B1:M560,3,0)</f>
        <v>-</v>
      </c>
      <c r="E664" s="62" t="str">
        <f>VLOOKUP(A105,B1:M560,4,0)</f>
        <v>-</v>
      </c>
      <c r="F664" s="63" t="str">
        <f>VLOOKUP(A105,B1:M560,5,0)</f>
        <v>-</v>
      </c>
      <c r="G664" s="62" t="str">
        <f>VLOOKUP(A105,B1:M560,6,0)</f>
        <v>-</v>
      </c>
      <c r="H664" s="62" t="str">
        <f>VLOOKUP(A105,B1:M560,7,0)</f>
        <v>-</v>
      </c>
      <c r="I664" s="62" t="str">
        <f>VLOOKUP(A105,B1:M560,8,0)</f>
        <v>-</v>
      </c>
      <c r="J664" s="62" t="str">
        <f>VLOOKUP(A105,B1:M560,9,0)</f>
        <v>-</v>
      </c>
      <c r="K664" s="63" t="str">
        <f>VLOOKUP(A105,B1:M560,10,0)</f>
        <v>-</v>
      </c>
      <c r="L664" s="62" t="str">
        <f>VLOOKUP(A105,B1:M560,11,0)</f>
        <v>-</v>
      </c>
    </row>
    <row r="665" ht="14.25" customHeight="1" spans="1:12">
      <c r="A665" s="124">
        <f>施法!J108</f>
        <v>0</v>
      </c>
      <c r="C665" s="62" t="str">
        <f>VLOOKUP(A106,B1:M560,2,0)</f>
        <v>-</v>
      </c>
      <c r="D665" s="62" t="str">
        <f>VLOOKUP(A106,B1:M560,3,0)</f>
        <v>-</v>
      </c>
      <c r="E665" s="62" t="str">
        <f>VLOOKUP(A106,B1:M560,4,0)</f>
        <v>-</v>
      </c>
      <c r="F665" s="63" t="str">
        <f>VLOOKUP(A106,B1:M560,5,0)</f>
        <v>-</v>
      </c>
      <c r="G665" s="62" t="str">
        <f>VLOOKUP(A106,B1:M560,6,0)</f>
        <v>-</v>
      </c>
      <c r="H665" s="62" t="str">
        <f>VLOOKUP(A106,B1:M560,7,0)</f>
        <v>-</v>
      </c>
      <c r="I665" s="62" t="str">
        <f>VLOOKUP(A106,B1:M560,8,0)</f>
        <v>-</v>
      </c>
      <c r="J665" s="62" t="str">
        <f>VLOOKUP(A106,B1:M560,9,0)</f>
        <v>-</v>
      </c>
      <c r="K665" s="63" t="str">
        <f>VLOOKUP(A106,B1:M560,10,0)</f>
        <v>-</v>
      </c>
      <c r="L665" s="62" t="str">
        <f>VLOOKUP(A106,B1:M560,11,0)</f>
        <v>-</v>
      </c>
    </row>
    <row r="666" ht="14.25" customHeight="1" spans="1:12">
      <c r="A666" s="124">
        <f>施法!J109</f>
        <v>0</v>
      </c>
      <c r="C666" s="62" t="str">
        <f>VLOOKUP(A107,B1:M560,2,0)</f>
        <v>-</v>
      </c>
      <c r="D666" s="62" t="str">
        <f>VLOOKUP(A107,B1:M560,3,0)</f>
        <v>-</v>
      </c>
      <c r="E666" s="62" t="str">
        <f>VLOOKUP(A107,B1:M560,4,0)</f>
        <v>-</v>
      </c>
      <c r="F666" s="63" t="str">
        <f>VLOOKUP(A107,B1:M560,5,0)</f>
        <v>-</v>
      </c>
      <c r="G666" s="62" t="str">
        <f>VLOOKUP(A107,B1:M560,6,0)</f>
        <v>-</v>
      </c>
      <c r="H666" s="62" t="str">
        <f>VLOOKUP(A107,B1:M560,7,0)</f>
        <v>-</v>
      </c>
      <c r="I666" s="62" t="str">
        <f>VLOOKUP(A107,B1:M560,8,0)</f>
        <v>-</v>
      </c>
      <c r="J666" s="62" t="str">
        <f>VLOOKUP(A107,B1:M560,9,0)</f>
        <v>-</v>
      </c>
      <c r="K666" s="63" t="str">
        <f>VLOOKUP(A107,B1:M560,10,0)</f>
        <v>-</v>
      </c>
      <c r="L666" s="62" t="str">
        <f>VLOOKUP(A107,B1:M560,11,0)</f>
        <v>-</v>
      </c>
    </row>
    <row r="667" ht="14.25" customHeight="1" spans="1:12">
      <c r="A667" s="124">
        <f>施法!J110</f>
        <v>0</v>
      </c>
      <c r="C667" s="62" t="str">
        <f>VLOOKUP(A108,B1:M560,2,0)</f>
        <v>-</v>
      </c>
      <c r="D667" s="62" t="str">
        <f>VLOOKUP(A108,B1:M560,3,0)</f>
        <v>-</v>
      </c>
      <c r="E667" s="62" t="str">
        <f>VLOOKUP(A108,B1:M560,4,0)</f>
        <v>-</v>
      </c>
      <c r="F667" s="63" t="str">
        <f>VLOOKUP(A108,B1:M560,5,0)</f>
        <v>-</v>
      </c>
      <c r="G667" s="62" t="str">
        <f>VLOOKUP(A108,B1:M560,6,0)</f>
        <v>-</v>
      </c>
      <c r="H667" s="62" t="str">
        <f>VLOOKUP(A108,B1:M560,7,0)</f>
        <v>-</v>
      </c>
      <c r="I667" s="62" t="str">
        <f>VLOOKUP(A108,B1:M560,8,0)</f>
        <v>-</v>
      </c>
      <c r="J667" s="62" t="str">
        <f>VLOOKUP(A108,B1:M560,9,0)</f>
        <v>-</v>
      </c>
      <c r="K667" s="63" t="str">
        <f>VLOOKUP(A108,B1:M560,10,0)</f>
        <v>-</v>
      </c>
      <c r="L667" s="62" t="str">
        <f>VLOOKUP(A108,B1:M560,11,0)</f>
        <v>-</v>
      </c>
    </row>
    <row r="668" ht="14.25" customHeight="1" spans="1:12">
      <c r="A668" s="124">
        <f>施法!J111</f>
        <v>0</v>
      </c>
      <c r="C668" s="62" t="str">
        <f>VLOOKUP(A109,B1:M560,2,0)</f>
        <v>-</v>
      </c>
      <c r="D668" s="62" t="str">
        <f>VLOOKUP(A109,B1:M560,3,0)</f>
        <v>-</v>
      </c>
      <c r="E668" s="62" t="str">
        <f>VLOOKUP(A109,B1:M560,4,0)</f>
        <v>-</v>
      </c>
      <c r="F668" s="63" t="str">
        <f>VLOOKUP(A109,B1:M560,5,0)</f>
        <v>-</v>
      </c>
      <c r="G668" s="62" t="str">
        <f>VLOOKUP(A109,B1:M560,6,0)</f>
        <v>-</v>
      </c>
      <c r="H668" s="62" t="str">
        <f>VLOOKUP(A109,B1:M560,7,0)</f>
        <v>-</v>
      </c>
      <c r="I668" s="62" t="str">
        <f>VLOOKUP(A109,B1:M560,8,0)</f>
        <v>-</v>
      </c>
      <c r="J668" s="62" t="str">
        <f>VLOOKUP(A109,B1:M560,9,0)</f>
        <v>-</v>
      </c>
      <c r="K668" s="63" t="str">
        <f>VLOOKUP(A109,B1:M560,10,0)</f>
        <v>-</v>
      </c>
      <c r="L668" s="62" t="str">
        <f>VLOOKUP(A109,B1:M560,11,0)</f>
        <v>-</v>
      </c>
    </row>
    <row r="669" ht="14.25" customHeight="1" spans="1:12">
      <c r="A669" s="124">
        <f>施法!J112</f>
        <v>0</v>
      </c>
      <c r="C669" s="62" t="str">
        <f>VLOOKUP(A110,B1:M560,2,0)</f>
        <v>-</v>
      </c>
      <c r="D669" s="62" t="str">
        <f>VLOOKUP(A110,B1:M560,3,0)</f>
        <v>-</v>
      </c>
      <c r="E669" s="62" t="str">
        <f>VLOOKUP(A110,B1:M560,4,0)</f>
        <v>-</v>
      </c>
      <c r="F669" s="63" t="str">
        <f>VLOOKUP(A110,B1:M560,5,0)</f>
        <v>-</v>
      </c>
      <c r="G669" s="62" t="str">
        <f>VLOOKUP(A110,B1:M560,6,0)</f>
        <v>-</v>
      </c>
      <c r="H669" s="62" t="str">
        <f>VLOOKUP(A110,B1:M560,7,0)</f>
        <v>-</v>
      </c>
      <c r="I669" s="62" t="str">
        <f>VLOOKUP(A110,B1:M560,8,0)</f>
        <v>-</v>
      </c>
      <c r="J669" s="62" t="str">
        <f>VLOOKUP(A110,B1:M560,9,0)</f>
        <v>-</v>
      </c>
      <c r="K669" s="63" t="str">
        <f>VLOOKUP(A110,B1:M560,10,0)</f>
        <v>-</v>
      </c>
      <c r="L669" s="62" t="str">
        <f>VLOOKUP(A110,B1:M560,11,0)</f>
        <v>-</v>
      </c>
    </row>
  </sheetData>
  <autoFilter xmlns:etc="http://www.wps.cn/officeDocument/2017/etCustomData" ref="A1:AA512" etc:filterBottomFollowUsedRange="0">
    <filterColumn colId="21">
      <customFilters>
        <customFilter operator="equal" val="√"/>
      </customFilters>
    </filterColumn>
    <filterColumn colId="26">
      <customFilters>
        <customFilter operator="equal" val="玩家手册"/>
      </customFilters>
    </filterColumn>
    <extLst/>
  </autoFilter>
  <pageMargins left="0.7" right="0.7" top="0.75" bottom="0.75"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00"/>
  </sheetPr>
  <dimension ref="A1:CZ266"/>
  <sheetViews>
    <sheetView zoomScale="70" zoomScaleNormal="70" zoomScalePageLayoutView="70" topLeftCell="BF29" workbookViewId="0">
      <selection activeCell="BJ42" sqref="BJ42"/>
    </sheetView>
  </sheetViews>
  <sheetFormatPr defaultColWidth="8.99090909090909" defaultRowHeight="14"/>
  <cols>
    <col min="4" max="4" width="15.8636363636364" customWidth="1"/>
    <col min="22" max="22" width="12.4909090909091" customWidth="1"/>
    <col min="23" max="23" width="10.7545454545455" customWidth="1"/>
    <col min="25" max="25" width="25.7090909090909" customWidth="1"/>
    <col min="29" max="29" width="8.99090909090909" style="38"/>
    <col min="34" max="34" width="8.99090909090909" style="38"/>
  </cols>
  <sheetData>
    <row r="1" spans="1:104">
      <c r="A1" s="39" t="s">
        <v>2157</v>
      </c>
      <c r="B1" t="str">
        <f>主要情况!S3</f>
        <v>邪术师</v>
      </c>
      <c r="C1" s="30" t="s">
        <v>272</v>
      </c>
      <c r="D1" s="30" t="s">
        <v>2158</v>
      </c>
      <c r="E1" t="str">
        <f>D14</f>
        <v>1d8</v>
      </c>
      <c r="F1" s="30" t="s">
        <v>2158</v>
      </c>
      <c r="G1" s="30">
        <v>4</v>
      </c>
      <c r="H1" t="str">
        <f>D14</f>
        <v>1d8</v>
      </c>
      <c r="I1" s="30" t="s">
        <v>2158</v>
      </c>
      <c r="J1" s="30">
        <v>2</v>
      </c>
      <c r="K1">
        <f>主要情况!W3</f>
        <v>5</v>
      </c>
      <c r="L1" s="46">
        <v>0</v>
      </c>
      <c r="M1" s="46">
        <v>0</v>
      </c>
      <c r="N1" t="str">
        <f>主要情况!S3</f>
        <v>邪术师</v>
      </c>
      <c r="O1" s="30" t="s">
        <v>272</v>
      </c>
      <c r="P1" s="47" t="s">
        <v>249</v>
      </c>
      <c r="Q1" t="str">
        <f>主要情况!V11</f>
        <v>已知祈唤</v>
      </c>
      <c r="R1" s="46" t="s">
        <v>249</v>
      </c>
      <c r="S1" s="42">
        <f>P35</f>
        <v>27</v>
      </c>
      <c r="T1" t="str">
        <f>主要情况!O25</f>
        <v>扇子</v>
      </c>
      <c r="U1" s="30" t="s">
        <v>2159</v>
      </c>
      <c r="V1" s="30" t="s">
        <v>2160</v>
      </c>
      <c r="W1" s="30" t="s">
        <v>2161</v>
      </c>
      <c r="X1" s="30" t="s">
        <v>2162</v>
      </c>
      <c r="Y1" s="30" t="s">
        <v>2163</v>
      </c>
      <c r="Z1" s="30">
        <v>2</v>
      </c>
      <c r="AA1">
        <f>背包!B5</f>
        <v>0</v>
      </c>
      <c r="AB1" s="30" t="s">
        <v>2164</v>
      </c>
      <c r="AC1" s="49" t="s">
        <v>132</v>
      </c>
      <c r="AD1" s="30" t="s">
        <v>2165</v>
      </c>
      <c r="AE1" s="30">
        <v>2</v>
      </c>
      <c r="AF1" t="str">
        <f>角色!E10</f>
        <v>智者</v>
      </c>
      <c r="AG1" t="s">
        <v>2166</v>
      </c>
      <c r="AH1" s="38" t="s">
        <v>2167</v>
      </c>
      <c r="AI1" t="s">
        <v>2168</v>
      </c>
      <c r="AJ1" t="s">
        <v>2169</v>
      </c>
      <c r="AK1" t="s">
        <v>2170</v>
      </c>
      <c r="AL1" t="s">
        <v>2171</v>
      </c>
      <c r="AM1" s="38" t="s">
        <v>2172</v>
      </c>
      <c r="AN1" s="38" t="s">
        <v>2173</v>
      </c>
      <c r="AO1" s="38" t="s">
        <v>2174</v>
      </c>
      <c r="AP1" s="38" t="s">
        <v>2175</v>
      </c>
      <c r="AQ1" s="38" t="s">
        <v>2176</v>
      </c>
      <c r="BX1" s="55" t="s">
        <v>269</v>
      </c>
      <c r="BY1" s="55"/>
      <c r="BZ1" s="55" t="s">
        <v>272</v>
      </c>
      <c r="CA1" s="55"/>
      <c r="CB1" s="55" t="s">
        <v>271</v>
      </c>
      <c r="CC1" s="55"/>
      <c r="CD1" s="55" t="s">
        <v>266</v>
      </c>
      <c r="CE1" s="55"/>
      <c r="CF1" s="55" t="s">
        <v>267</v>
      </c>
      <c r="CG1" s="55"/>
      <c r="CH1" s="55" t="s">
        <v>2177</v>
      </c>
      <c r="CI1" s="55"/>
      <c r="CJ1" s="55" t="s">
        <v>2178</v>
      </c>
      <c r="CK1" s="55"/>
      <c r="CL1" s="55" t="s">
        <v>47</v>
      </c>
      <c r="CM1" s="55"/>
      <c r="CN1" s="55" t="s">
        <v>273</v>
      </c>
      <c r="CO1" s="55"/>
      <c r="CP1" s="55" t="s">
        <v>2179</v>
      </c>
      <c r="CQ1" s="55"/>
      <c r="CR1" s="55" t="s">
        <v>270</v>
      </c>
      <c r="CS1" s="55"/>
      <c r="CT1" s="55" t="s">
        <v>2180</v>
      </c>
      <c r="CU1" s="55"/>
      <c r="CV1" s="55" t="s">
        <v>268</v>
      </c>
      <c r="CW1" s="55"/>
      <c r="CX1" s="38" t="s">
        <v>2181</v>
      </c>
      <c r="CY1" s="51" t="s">
        <v>2182</v>
      </c>
      <c r="CZ1">
        <v>0</v>
      </c>
    </row>
    <row r="2" spans="1:104">
      <c r="A2" s="39" t="s">
        <v>2183</v>
      </c>
      <c r="C2" s="30" t="s">
        <v>271</v>
      </c>
      <c r="D2" s="30" t="s">
        <v>2158</v>
      </c>
      <c r="F2" s="30" t="s">
        <v>2184</v>
      </c>
      <c r="G2" s="30">
        <v>5</v>
      </c>
      <c r="I2" s="30" t="s">
        <v>2184</v>
      </c>
      <c r="J2" s="30">
        <v>3</v>
      </c>
      <c r="L2" s="46">
        <v>1</v>
      </c>
      <c r="M2" s="46">
        <v>4</v>
      </c>
      <c r="O2" s="30" t="s">
        <v>271</v>
      </c>
      <c r="P2" s="47" t="s">
        <v>2185</v>
      </c>
      <c r="R2" s="46" t="s">
        <v>2185</v>
      </c>
      <c r="S2" s="42">
        <f>P56</f>
        <v>5</v>
      </c>
      <c r="T2" t="str">
        <f>主要情况!O26</f>
        <v>铁链</v>
      </c>
      <c r="U2" s="30" t="s">
        <v>2186</v>
      </c>
      <c r="V2" s="30" t="s">
        <v>2160</v>
      </c>
      <c r="W2" s="30" t="s">
        <v>2187</v>
      </c>
      <c r="X2" s="30" t="s">
        <v>2165</v>
      </c>
      <c r="Y2" s="30" t="s">
        <v>2188</v>
      </c>
      <c r="Z2" s="30">
        <v>1</v>
      </c>
      <c r="AA2">
        <f>背包!B6</f>
        <v>0</v>
      </c>
      <c r="AB2" s="30" t="s">
        <v>2189</v>
      </c>
      <c r="AC2" s="49" t="s">
        <v>2190</v>
      </c>
      <c r="AD2" s="30" t="s">
        <v>2191</v>
      </c>
      <c r="AE2" s="30">
        <v>1</v>
      </c>
      <c r="AG2" t="s">
        <v>2192</v>
      </c>
      <c r="AH2" s="38" t="s">
        <v>2193</v>
      </c>
      <c r="AI2" t="s">
        <v>2194</v>
      </c>
      <c r="AJ2" t="s">
        <v>2195</v>
      </c>
      <c r="AK2" t="s">
        <v>2196</v>
      </c>
      <c r="AL2" t="s">
        <v>2197</v>
      </c>
      <c r="AM2" s="38" t="s">
        <v>2198</v>
      </c>
      <c r="AN2" s="38" t="s">
        <v>2199</v>
      </c>
      <c r="AO2" s="38" t="s">
        <v>2200</v>
      </c>
      <c r="AP2" s="38" t="s">
        <v>2201</v>
      </c>
      <c r="AQ2" s="38" t="s">
        <v>2202</v>
      </c>
      <c r="BX2" s="38" t="s">
        <v>2203</v>
      </c>
      <c r="BY2" s="51" t="s">
        <v>2204</v>
      </c>
      <c r="BZ2" s="51" t="s">
        <v>2205</v>
      </c>
      <c r="CA2" s="51" t="s">
        <v>2206</v>
      </c>
      <c r="CB2" s="51" t="s">
        <v>2207</v>
      </c>
      <c r="CC2" s="51" t="s">
        <v>2208</v>
      </c>
      <c r="CD2" s="38" t="s">
        <v>2209</v>
      </c>
      <c r="CE2" s="51" t="s">
        <v>2210</v>
      </c>
      <c r="CF2" s="38" t="s">
        <v>2211</v>
      </c>
      <c r="CG2" s="51" t="s">
        <v>2212</v>
      </c>
      <c r="CH2" s="38" t="s">
        <v>2213</v>
      </c>
      <c r="CI2" s="38" t="s">
        <v>2214</v>
      </c>
      <c r="CJ2" s="38" t="s">
        <v>2215</v>
      </c>
      <c r="CK2" s="51" t="s">
        <v>2216</v>
      </c>
      <c r="CL2" s="38" t="s">
        <v>2217</v>
      </c>
      <c r="CM2" s="51" t="s">
        <v>2218</v>
      </c>
      <c r="CN2" s="38" t="s">
        <v>2219</v>
      </c>
      <c r="CO2" s="51" t="s">
        <v>2220</v>
      </c>
      <c r="CP2" s="38" t="s">
        <v>2221</v>
      </c>
      <c r="CQ2" s="51" t="s">
        <v>2222</v>
      </c>
      <c r="CR2" s="38" t="s">
        <v>2223</v>
      </c>
      <c r="CS2" s="51" t="s">
        <v>2224</v>
      </c>
      <c r="CT2" s="38" t="s">
        <v>2225</v>
      </c>
      <c r="CU2" s="51" t="s">
        <v>2226</v>
      </c>
      <c r="CV2" s="38" t="s">
        <v>2227</v>
      </c>
      <c r="CW2" s="51" t="s">
        <v>2228</v>
      </c>
      <c r="CX2" s="38" t="s">
        <v>2229</v>
      </c>
      <c r="CY2" s="51" t="s">
        <v>2230</v>
      </c>
      <c r="CZ2">
        <v>1</v>
      </c>
    </row>
    <row r="3" spans="1:104">
      <c r="A3" s="39" t="s">
        <v>8</v>
      </c>
      <c r="C3" s="30" t="s">
        <v>266</v>
      </c>
      <c r="D3" s="30" t="s">
        <v>2184</v>
      </c>
      <c r="F3" s="30" t="s">
        <v>2231</v>
      </c>
      <c r="G3" s="30">
        <v>6</v>
      </c>
      <c r="I3" s="30" t="s">
        <v>2231</v>
      </c>
      <c r="J3" s="30">
        <v>4</v>
      </c>
      <c r="L3" s="46">
        <v>2</v>
      </c>
      <c r="M3" s="46">
        <v>6</v>
      </c>
      <c r="O3" s="30" t="s">
        <v>266</v>
      </c>
      <c r="P3" s="47" t="s">
        <v>2232</v>
      </c>
      <c r="R3" s="46" t="s">
        <v>2232</v>
      </c>
      <c r="S3" s="42" t="str">
        <f>P77</f>
        <v>1d8</v>
      </c>
      <c r="T3">
        <f>主要情况!O27</f>
        <v>0</v>
      </c>
      <c r="U3" s="30" t="s">
        <v>2233</v>
      </c>
      <c r="V3" s="30" t="s">
        <v>2184</v>
      </c>
      <c r="W3" s="30" t="s">
        <v>2161</v>
      </c>
      <c r="X3" s="30" t="s">
        <v>2234</v>
      </c>
      <c r="Y3" s="30" t="s">
        <v>129</v>
      </c>
      <c r="Z3" s="30">
        <v>10</v>
      </c>
      <c r="AA3">
        <f>背包!B7</f>
        <v>0</v>
      </c>
      <c r="AB3" s="30" t="s">
        <v>2235</v>
      </c>
      <c r="AC3" s="49" t="s">
        <v>2236</v>
      </c>
      <c r="AD3" s="30" t="s">
        <v>2237</v>
      </c>
      <c r="AE3" s="30">
        <v>1</v>
      </c>
      <c r="AG3" t="s">
        <v>2238</v>
      </c>
      <c r="AH3" s="38" t="s">
        <v>2239</v>
      </c>
      <c r="AI3" t="s">
        <v>2240</v>
      </c>
      <c r="AJ3" t="s">
        <v>2241</v>
      </c>
      <c r="AK3" t="s">
        <v>2242</v>
      </c>
      <c r="AL3" t="s">
        <v>2243</v>
      </c>
      <c r="AM3" s="38" t="s">
        <v>2244</v>
      </c>
      <c r="AN3" s="38" t="s">
        <v>2245</v>
      </c>
      <c r="AO3" s="38" t="s">
        <v>2246</v>
      </c>
      <c r="AP3" s="38" t="s">
        <v>2247</v>
      </c>
      <c r="AQ3" s="38" t="s">
        <v>2248</v>
      </c>
      <c r="BX3" s="38" t="s">
        <v>2249</v>
      </c>
      <c r="BY3" s="51" t="s">
        <v>2250</v>
      </c>
      <c r="BZ3" s="51" t="s">
        <v>2251</v>
      </c>
      <c r="CA3" s="51" t="s">
        <v>2252</v>
      </c>
      <c r="CB3" s="51" t="s">
        <v>2253</v>
      </c>
      <c r="CC3" s="51" t="s">
        <v>2254</v>
      </c>
      <c r="CD3" s="38" t="s">
        <v>2255</v>
      </c>
      <c r="CE3" s="51" t="s">
        <v>2256</v>
      </c>
      <c r="CF3" s="38" t="s">
        <v>2257</v>
      </c>
      <c r="CG3" s="51" t="s">
        <v>2258</v>
      </c>
      <c r="CH3" s="38" t="s">
        <v>2259</v>
      </c>
      <c r="CI3" s="51" t="s">
        <v>2260</v>
      </c>
      <c r="CJ3" s="38" t="s">
        <v>2261</v>
      </c>
      <c r="CK3" s="51" t="s">
        <v>2262</v>
      </c>
      <c r="CL3" s="38" t="s">
        <v>2263</v>
      </c>
      <c r="CM3" s="51" t="s">
        <v>2264</v>
      </c>
      <c r="CN3" s="38" t="s">
        <v>2265</v>
      </c>
      <c r="CO3" s="51" t="s">
        <v>2266</v>
      </c>
      <c r="CP3" s="38" t="s">
        <v>2267</v>
      </c>
      <c r="CQ3" s="51" t="s">
        <v>2268</v>
      </c>
      <c r="CR3" s="38" t="s">
        <v>2269</v>
      </c>
      <c r="CS3" s="51" t="s">
        <v>2270</v>
      </c>
      <c r="CT3" s="38" t="s">
        <v>2271</v>
      </c>
      <c r="CU3" s="38" t="s">
        <v>2272</v>
      </c>
      <c r="CV3" s="38" t="s">
        <v>2273</v>
      </c>
      <c r="CW3" s="51" t="s">
        <v>2274</v>
      </c>
      <c r="CX3" s="38" t="s">
        <v>2275</v>
      </c>
      <c r="CY3" s="51" t="s">
        <v>2276</v>
      </c>
      <c r="CZ3">
        <v>2</v>
      </c>
    </row>
    <row r="4" spans="1:104">
      <c r="A4" s="39" t="s">
        <v>2277</v>
      </c>
      <c r="C4" s="30" t="s">
        <v>267</v>
      </c>
      <c r="D4" s="30" t="s">
        <v>2184</v>
      </c>
      <c r="F4" s="30" t="s">
        <v>2278</v>
      </c>
      <c r="G4" s="30">
        <v>7</v>
      </c>
      <c r="I4" s="30" t="s">
        <v>2278</v>
      </c>
      <c r="J4" s="30">
        <v>5</v>
      </c>
      <c r="L4" s="46">
        <v>3</v>
      </c>
      <c r="M4" s="46">
        <v>14</v>
      </c>
      <c r="O4" s="30" t="s">
        <v>267</v>
      </c>
      <c r="P4" s="47" t="s">
        <v>2279</v>
      </c>
      <c r="R4" s="46" t="s">
        <v>2279</v>
      </c>
      <c r="S4" s="42">
        <f>P119</f>
        <v>1</v>
      </c>
      <c r="U4" s="30" t="s">
        <v>2280</v>
      </c>
      <c r="V4" s="30" t="s">
        <v>2158</v>
      </c>
      <c r="W4" s="30" t="s">
        <v>2281</v>
      </c>
      <c r="X4" s="30" t="s">
        <v>2282</v>
      </c>
      <c r="Y4" s="30" t="s">
        <v>2283</v>
      </c>
      <c r="Z4" s="30">
        <v>2</v>
      </c>
      <c r="AA4">
        <f>背包!B8</f>
        <v>0</v>
      </c>
      <c r="AB4" s="30" t="s">
        <v>2284</v>
      </c>
      <c r="AC4" s="49" t="s">
        <v>132</v>
      </c>
      <c r="AD4" s="30" t="s">
        <v>2285</v>
      </c>
      <c r="AE4" s="30">
        <v>1</v>
      </c>
      <c r="AG4" t="s">
        <v>2286</v>
      </c>
      <c r="AH4" s="38" t="s">
        <v>2239</v>
      </c>
      <c r="AI4" t="s">
        <v>2287</v>
      </c>
      <c r="AJ4" t="s">
        <v>2288</v>
      </c>
      <c r="AK4" t="s">
        <v>2289</v>
      </c>
      <c r="AL4" t="s">
        <v>2290</v>
      </c>
      <c r="AM4" s="38" t="s">
        <v>2291</v>
      </c>
      <c r="AN4" s="38" t="s">
        <v>2292</v>
      </c>
      <c r="AO4" s="38" t="s">
        <v>2293</v>
      </c>
      <c r="AP4" s="38" t="s">
        <v>2294</v>
      </c>
      <c r="AQ4" s="38" t="s">
        <v>2295</v>
      </c>
      <c r="BX4" s="55" t="s">
        <v>2296</v>
      </c>
      <c r="BY4" s="56" t="s">
        <v>2297</v>
      </c>
      <c r="BZ4" s="56" t="s">
        <v>2298</v>
      </c>
      <c r="CA4" s="51" t="s">
        <v>2299</v>
      </c>
      <c r="CB4" s="51" t="s">
        <v>2300</v>
      </c>
      <c r="CC4" s="51" t="s">
        <v>2301</v>
      </c>
      <c r="CD4" s="38" t="s">
        <v>2302</v>
      </c>
      <c r="CE4" s="38" t="s">
        <v>2303</v>
      </c>
      <c r="CF4" s="38" t="s">
        <v>2279</v>
      </c>
      <c r="CG4" s="51" t="s">
        <v>2304</v>
      </c>
      <c r="CH4" s="38" t="s">
        <v>2305</v>
      </c>
      <c r="CI4" s="51" t="s">
        <v>2306</v>
      </c>
      <c r="CJ4" s="38" t="s">
        <v>2307</v>
      </c>
      <c r="CK4" s="51" t="s">
        <v>2308</v>
      </c>
      <c r="CL4" s="38" t="s">
        <v>2309</v>
      </c>
      <c r="CM4" s="51" t="s">
        <v>2310</v>
      </c>
      <c r="CN4" s="38" t="s">
        <v>2311</v>
      </c>
      <c r="CO4" s="51" t="s">
        <v>2312</v>
      </c>
      <c r="CP4" s="38" t="s">
        <v>2313</v>
      </c>
      <c r="CQ4" s="51" t="s">
        <v>2314</v>
      </c>
      <c r="CR4" s="38" t="s">
        <v>2315</v>
      </c>
      <c r="CS4" s="51" t="s">
        <v>2316</v>
      </c>
      <c r="CT4" s="38" t="s">
        <v>2317</v>
      </c>
      <c r="CU4" s="51" t="s">
        <v>2318</v>
      </c>
      <c r="CV4" s="38" t="s">
        <v>2319</v>
      </c>
      <c r="CW4" s="51" t="s">
        <v>2320</v>
      </c>
      <c r="CX4" s="38" t="s">
        <v>2321</v>
      </c>
      <c r="CY4" s="51" t="s">
        <v>2322</v>
      </c>
      <c r="CZ4">
        <v>3</v>
      </c>
    </row>
    <row r="5" spans="1:104">
      <c r="A5" s="39" t="s">
        <v>2323</v>
      </c>
      <c r="C5" s="30" t="s">
        <v>268</v>
      </c>
      <c r="D5" s="30" t="s">
        <v>2184</v>
      </c>
      <c r="G5">
        <f>VLOOKUP(E1,F1:G4,2,0)</f>
        <v>5</v>
      </c>
      <c r="J5">
        <f>VLOOKUP(H1,I1:J4,2,0)</f>
        <v>3</v>
      </c>
      <c r="L5" s="46">
        <v>4</v>
      </c>
      <c r="M5" s="46">
        <v>17</v>
      </c>
      <c r="O5" s="30" t="s">
        <v>268</v>
      </c>
      <c r="P5" s="47" t="s">
        <v>2319</v>
      </c>
      <c r="R5" s="46" t="s">
        <v>2319</v>
      </c>
      <c r="S5" s="42">
        <f>P98</f>
        <v>2</v>
      </c>
      <c r="U5" s="30" t="s">
        <v>2324</v>
      </c>
      <c r="V5" s="30" t="s">
        <v>2158</v>
      </c>
      <c r="W5" s="30" t="s">
        <v>2187</v>
      </c>
      <c r="X5" s="30" t="s">
        <v>2325</v>
      </c>
      <c r="Y5" s="30" t="s">
        <v>2326</v>
      </c>
      <c r="Z5" s="30">
        <v>2</v>
      </c>
      <c r="AA5">
        <f>背包!B9</f>
        <v>0</v>
      </c>
      <c r="AB5" s="30" t="s">
        <v>2327</v>
      </c>
      <c r="AC5" s="49" t="s">
        <v>132</v>
      </c>
      <c r="AD5" s="30" t="s">
        <v>2285</v>
      </c>
      <c r="AE5" s="30">
        <v>1</v>
      </c>
      <c r="AG5" t="s">
        <v>2328</v>
      </c>
      <c r="AH5" s="38" t="s">
        <v>2329</v>
      </c>
      <c r="AI5" t="s">
        <v>2330</v>
      </c>
      <c r="AJ5" t="s">
        <v>2331</v>
      </c>
      <c r="AK5" t="s">
        <v>2332</v>
      </c>
      <c r="AL5" t="s">
        <v>2333</v>
      </c>
      <c r="AM5" s="38" t="s">
        <v>2334</v>
      </c>
      <c r="AN5" s="38" t="s">
        <v>2335</v>
      </c>
      <c r="AO5" s="38" t="s">
        <v>2336</v>
      </c>
      <c r="AP5" s="38" t="s">
        <v>2337</v>
      </c>
      <c r="AQ5" s="38" t="s">
        <v>2338</v>
      </c>
      <c r="BX5" s="55" t="s">
        <v>2339</v>
      </c>
      <c r="BY5" s="56" t="s">
        <v>2340</v>
      </c>
      <c r="BZ5" s="56" t="s">
        <v>2341</v>
      </c>
      <c r="CA5" s="51" t="s">
        <v>2342</v>
      </c>
      <c r="CB5" s="51" t="s">
        <v>2343</v>
      </c>
      <c r="CC5" s="51" t="s">
        <v>2344</v>
      </c>
      <c r="CD5" s="38" t="s">
        <v>2345</v>
      </c>
      <c r="CE5" s="51" t="s">
        <v>2346</v>
      </c>
      <c r="CF5" s="38" t="s">
        <v>2347</v>
      </c>
      <c r="CG5" s="51" t="s">
        <v>2348</v>
      </c>
      <c r="CH5" s="38" t="s">
        <v>2349</v>
      </c>
      <c r="CI5" s="51" t="s">
        <v>2350</v>
      </c>
      <c r="CJ5" s="38" t="s">
        <v>2351</v>
      </c>
      <c r="CK5" s="51" t="s">
        <v>2352</v>
      </c>
      <c r="CL5" s="38" t="s">
        <v>2353</v>
      </c>
      <c r="CM5" s="51" t="s">
        <v>2354</v>
      </c>
      <c r="CN5" s="38" t="s">
        <v>2355</v>
      </c>
      <c r="CO5" s="38" t="s">
        <v>2356</v>
      </c>
      <c r="CP5" s="38" t="s">
        <v>2357</v>
      </c>
      <c r="CQ5" s="51" t="s">
        <v>2358</v>
      </c>
      <c r="CR5" s="38" t="s">
        <v>2359</v>
      </c>
      <c r="CS5" s="51" t="s">
        <v>2360</v>
      </c>
      <c r="CT5" s="38" t="s">
        <v>2361</v>
      </c>
      <c r="CU5" s="51" t="s">
        <v>2362</v>
      </c>
      <c r="CV5" s="38" t="s">
        <v>2363</v>
      </c>
      <c r="CW5" s="51" t="s">
        <v>2364</v>
      </c>
      <c r="CX5" s="38" t="s">
        <v>2365</v>
      </c>
      <c r="CY5" s="51" t="s">
        <v>2366</v>
      </c>
      <c r="CZ5">
        <v>4</v>
      </c>
    </row>
    <row r="6" spans="1:104">
      <c r="A6" s="39" t="s">
        <v>2367</v>
      </c>
      <c r="C6" s="30" t="s">
        <v>2177</v>
      </c>
      <c r="D6" s="30" t="s">
        <v>2184</v>
      </c>
      <c r="E6" t="s">
        <v>2368</v>
      </c>
      <c r="F6">
        <f>主要情况!W3+主要情况!W4+主要情况!W5</f>
        <v>5</v>
      </c>
      <c r="L6" s="46">
        <v>5</v>
      </c>
      <c r="M6" s="46">
        <v>27</v>
      </c>
      <c r="O6" s="30" t="s">
        <v>2177</v>
      </c>
      <c r="P6" s="47" t="s">
        <v>2305</v>
      </c>
      <c r="R6" s="46" t="s">
        <v>2305</v>
      </c>
      <c r="S6" s="42">
        <f>P56</f>
        <v>5</v>
      </c>
      <c r="U6" s="30" t="s">
        <v>2369</v>
      </c>
      <c r="V6" s="30" t="s">
        <v>2160</v>
      </c>
      <c r="W6" s="30" t="s">
        <v>2161</v>
      </c>
      <c r="X6" s="30" t="s">
        <v>2165</v>
      </c>
      <c r="Y6" s="30" t="s">
        <v>2283</v>
      </c>
      <c r="Z6" s="30">
        <v>2</v>
      </c>
      <c r="AA6">
        <f>背包!B10</f>
        <v>0</v>
      </c>
      <c r="AB6" s="30" t="s">
        <v>2370</v>
      </c>
      <c r="AC6" s="49" t="s">
        <v>132</v>
      </c>
      <c r="AD6" s="30" t="s">
        <v>2285</v>
      </c>
      <c r="AE6" s="30">
        <v>1.5</v>
      </c>
      <c r="AG6" t="s">
        <v>2371</v>
      </c>
      <c r="AH6" s="38" t="s">
        <v>2329</v>
      </c>
      <c r="AI6" t="s">
        <v>2372</v>
      </c>
      <c r="AJ6" t="s">
        <v>2373</v>
      </c>
      <c r="AK6" t="s">
        <v>2374</v>
      </c>
      <c r="AL6" t="s">
        <v>2375</v>
      </c>
      <c r="AM6" s="38" t="s">
        <v>2376</v>
      </c>
      <c r="AN6" s="38" t="s">
        <v>2377</v>
      </c>
      <c r="AO6" s="38" t="s">
        <v>2378</v>
      </c>
      <c r="AP6" s="38" t="s">
        <v>2379</v>
      </c>
      <c r="AQ6" s="38" t="s">
        <v>2380</v>
      </c>
      <c r="BX6" s="55" t="s">
        <v>2381</v>
      </c>
      <c r="BY6" s="56" t="s">
        <v>2382</v>
      </c>
      <c r="BZ6" s="56" t="s">
        <v>2383</v>
      </c>
      <c r="CA6" s="51" t="s">
        <v>2384</v>
      </c>
      <c r="CB6" s="51" t="s">
        <v>2385</v>
      </c>
      <c r="CC6" s="38" t="s">
        <v>2386</v>
      </c>
      <c r="CD6" s="38" t="s">
        <v>2387</v>
      </c>
      <c r="CE6" s="51" t="s">
        <v>2388</v>
      </c>
      <c r="CF6" s="38" t="s">
        <v>2389</v>
      </c>
      <c r="CG6" s="51" t="s">
        <v>2390</v>
      </c>
      <c r="CH6" s="38" t="s">
        <v>2391</v>
      </c>
      <c r="CI6" s="51" t="s">
        <v>2392</v>
      </c>
      <c r="CJ6" s="38" t="s">
        <v>2393</v>
      </c>
      <c r="CK6" s="51" t="s">
        <v>2394</v>
      </c>
      <c r="CL6" s="38" t="s">
        <v>2395</v>
      </c>
      <c r="CM6" s="51" t="s">
        <v>2396</v>
      </c>
      <c r="CN6" s="38" t="s">
        <v>2397</v>
      </c>
      <c r="CO6" s="38" t="s">
        <v>2398</v>
      </c>
      <c r="CP6" s="38" t="s">
        <v>2399</v>
      </c>
      <c r="CQ6" s="51" t="s">
        <v>2400</v>
      </c>
      <c r="CR6" s="38" t="s">
        <v>2401</v>
      </c>
      <c r="CS6" s="51" t="s">
        <v>2402</v>
      </c>
      <c r="CT6" s="38" t="s">
        <v>2403</v>
      </c>
      <c r="CU6" s="51" t="s">
        <v>2404</v>
      </c>
      <c r="CV6" s="38" t="s">
        <v>2405</v>
      </c>
      <c r="CW6" s="51" t="s">
        <v>2406</v>
      </c>
      <c r="CX6" s="38" t="s">
        <v>2407</v>
      </c>
      <c r="CY6" s="51" t="s">
        <v>2408</v>
      </c>
      <c r="CZ6">
        <v>5</v>
      </c>
    </row>
    <row r="7" ht="13.5" customHeight="1" spans="1:104">
      <c r="A7" s="39" t="s">
        <v>2409</v>
      </c>
      <c r="C7" s="30" t="s">
        <v>2178</v>
      </c>
      <c r="D7" s="30" t="s">
        <v>2184</v>
      </c>
      <c r="E7" t="s">
        <v>2410</v>
      </c>
      <c r="F7">
        <f>J20+主要情况!AC12+主要情况!AE12</f>
        <v>0</v>
      </c>
      <c r="L7" s="46">
        <v>6</v>
      </c>
      <c r="M7" s="46">
        <v>32</v>
      </c>
      <c r="O7" s="30" t="s">
        <v>2178</v>
      </c>
      <c r="P7" s="47" t="s">
        <v>2261</v>
      </c>
      <c r="R7" s="46" t="s">
        <v>2261</v>
      </c>
      <c r="S7" s="42" t="str">
        <f>P140</f>
        <v>3d6</v>
      </c>
      <c r="U7" s="30" t="s">
        <v>2411</v>
      </c>
      <c r="V7" s="30" t="s">
        <v>2158</v>
      </c>
      <c r="W7" s="30" t="s">
        <v>2161</v>
      </c>
      <c r="X7" s="30" t="s">
        <v>2282</v>
      </c>
      <c r="Y7" s="30" t="s">
        <v>132</v>
      </c>
      <c r="Z7" s="30">
        <v>4</v>
      </c>
      <c r="AA7">
        <f>背包!B11</f>
        <v>0</v>
      </c>
      <c r="AB7" s="30" t="s">
        <v>2412</v>
      </c>
      <c r="AC7" s="49" t="s">
        <v>132</v>
      </c>
      <c r="AD7" s="30" t="s">
        <v>2413</v>
      </c>
      <c r="AE7" s="30">
        <v>1.5</v>
      </c>
      <c r="AG7" t="s">
        <v>2414</v>
      </c>
      <c r="AH7" s="38" t="s">
        <v>2415</v>
      </c>
      <c r="AI7" t="s">
        <v>2416</v>
      </c>
      <c r="AJ7" t="s">
        <v>2417</v>
      </c>
      <c r="AK7" t="s">
        <v>2418</v>
      </c>
      <c r="AL7" t="s">
        <v>2419</v>
      </c>
      <c r="AM7" s="38" t="s">
        <v>2420</v>
      </c>
      <c r="AN7" s="38" t="s">
        <v>2421</v>
      </c>
      <c r="AO7" s="38" t="s">
        <v>2422</v>
      </c>
      <c r="AP7" s="38" t="s">
        <v>2423</v>
      </c>
      <c r="AQ7" s="38" t="s">
        <v>2424</v>
      </c>
      <c r="BX7" s="55" t="s">
        <v>2425</v>
      </c>
      <c r="BY7" s="56" t="s">
        <v>2426</v>
      </c>
      <c r="BZ7" s="56"/>
      <c r="CA7" s="56"/>
      <c r="CB7" s="56"/>
      <c r="CC7" s="56"/>
      <c r="CD7" s="38" t="s">
        <v>2427</v>
      </c>
      <c r="CE7" s="56" t="s">
        <v>2428</v>
      </c>
      <c r="CF7" s="56"/>
      <c r="CG7" s="56"/>
      <c r="CH7" s="38" t="s">
        <v>2429</v>
      </c>
      <c r="CI7" s="51" t="s">
        <v>2430</v>
      </c>
      <c r="CJ7" s="38" t="s">
        <v>2431</v>
      </c>
      <c r="CK7" s="38" t="s">
        <v>2432</v>
      </c>
      <c r="CL7" s="38" t="s">
        <v>2433</v>
      </c>
      <c r="CM7" s="51" t="s">
        <v>2434</v>
      </c>
      <c r="CN7" s="38" t="s">
        <v>2435</v>
      </c>
      <c r="CO7" s="38" t="s">
        <v>2436</v>
      </c>
      <c r="CP7" s="38" t="s">
        <v>2437</v>
      </c>
      <c r="CQ7" s="51" t="s">
        <v>2438</v>
      </c>
      <c r="CR7" s="38" t="s">
        <v>2439</v>
      </c>
      <c r="CS7" s="51" t="s">
        <v>2440</v>
      </c>
      <c r="CT7" s="38" t="s">
        <v>2441</v>
      </c>
      <c r="CU7" s="38" t="s">
        <v>2442</v>
      </c>
      <c r="CV7" s="38" t="s">
        <v>2443</v>
      </c>
      <c r="CW7" s="51" t="s">
        <v>2444</v>
      </c>
      <c r="CX7" s="38" t="s">
        <v>2445</v>
      </c>
      <c r="CY7" s="51" t="s">
        <v>2446</v>
      </c>
      <c r="CZ7">
        <v>6</v>
      </c>
    </row>
    <row r="8" ht="13.5" customHeight="1" spans="1:104">
      <c r="A8" s="39" t="s">
        <v>2447</v>
      </c>
      <c r="C8" s="30" t="s">
        <v>47</v>
      </c>
      <c r="D8" s="30" t="s">
        <v>2184</v>
      </c>
      <c r="E8" t="s">
        <v>2448</v>
      </c>
      <c r="F8">
        <f>F7*主要情况!W4</f>
        <v>0</v>
      </c>
      <c r="L8" s="46">
        <v>7</v>
      </c>
      <c r="M8" s="46">
        <v>38</v>
      </c>
      <c r="O8" s="30" t="s">
        <v>47</v>
      </c>
      <c r="P8" s="47" t="s">
        <v>2449</v>
      </c>
      <c r="R8" s="46" t="s">
        <v>2449</v>
      </c>
      <c r="S8" s="42">
        <f>P161</f>
        <v>3</v>
      </c>
      <c r="U8" s="30" t="s">
        <v>2450</v>
      </c>
      <c r="V8" s="30" t="s">
        <v>2158</v>
      </c>
      <c r="W8" s="30" t="s">
        <v>2161</v>
      </c>
      <c r="X8" s="30" t="s">
        <v>2234</v>
      </c>
      <c r="Y8" s="30" t="s">
        <v>2451</v>
      </c>
      <c r="Z8" s="30">
        <v>4</v>
      </c>
      <c r="AA8">
        <f>背包!B12</f>
        <v>0</v>
      </c>
      <c r="AB8" s="30" t="s">
        <v>2452</v>
      </c>
      <c r="AC8" s="49" t="s">
        <v>2453</v>
      </c>
      <c r="AD8" s="30" t="s">
        <v>2237</v>
      </c>
      <c r="AE8" s="30">
        <v>0</v>
      </c>
      <c r="AG8" t="s">
        <v>2454</v>
      </c>
      <c r="AH8" s="38" t="s">
        <v>2455</v>
      </c>
      <c r="AI8" t="s">
        <v>2456</v>
      </c>
      <c r="AJ8" t="s">
        <v>2457</v>
      </c>
      <c r="AK8" t="s">
        <v>2458</v>
      </c>
      <c r="AL8" t="s">
        <v>2459</v>
      </c>
      <c r="AM8" s="38" t="s">
        <v>2460</v>
      </c>
      <c r="AN8" s="38" t="s">
        <v>2461</v>
      </c>
      <c r="AO8" s="38" t="s">
        <v>2462</v>
      </c>
      <c r="AP8" s="38" t="s">
        <v>2463</v>
      </c>
      <c r="AQ8" s="38" t="s">
        <v>2464</v>
      </c>
      <c r="BX8" s="55" t="s">
        <v>2465</v>
      </c>
      <c r="BY8" s="56" t="s">
        <v>2466</v>
      </c>
      <c r="BZ8" s="56"/>
      <c r="CA8" s="56"/>
      <c r="CB8" s="56"/>
      <c r="CC8" s="56"/>
      <c r="CD8" s="38" t="s">
        <v>2467</v>
      </c>
      <c r="CE8" s="55" t="s">
        <v>2468</v>
      </c>
      <c r="CF8" s="55"/>
      <c r="CG8" s="55"/>
      <c r="CH8" s="38" t="s">
        <v>2469</v>
      </c>
      <c r="CI8" s="38" t="s">
        <v>2470</v>
      </c>
      <c r="CJ8" s="38" t="s">
        <v>2471</v>
      </c>
      <c r="CK8" s="56" t="s">
        <v>2472</v>
      </c>
      <c r="CL8" s="56"/>
      <c r="CM8" s="56"/>
      <c r="CN8" s="38" t="s">
        <v>2473</v>
      </c>
      <c r="CO8" s="56" t="s">
        <v>2474</v>
      </c>
      <c r="CP8" s="56"/>
      <c r="CQ8" s="56"/>
      <c r="CR8" s="55" t="s">
        <v>2475</v>
      </c>
      <c r="CS8" s="56" t="s">
        <v>2476</v>
      </c>
      <c r="CT8" s="38" t="s">
        <v>2477</v>
      </c>
      <c r="CU8" s="38" t="s">
        <v>2478</v>
      </c>
      <c r="CV8" s="38" t="s">
        <v>2479</v>
      </c>
      <c r="CW8" s="51" t="s">
        <v>2480</v>
      </c>
      <c r="CX8" s="38" t="s">
        <v>2481</v>
      </c>
      <c r="CY8" s="51" t="s">
        <v>2482</v>
      </c>
      <c r="CZ8">
        <v>7</v>
      </c>
    </row>
    <row r="9" ht="13.5" customHeight="1" spans="1:104">
      <c r="A9" s="39" t="s">
        <v>2483</v>
      </c>
      <c r="C9" s="30" t="s">
        <v>273</v>
      </c>
      <c r="D9" s="30" t="s">
        <v>2184</v>
      </c>
      <c r="E9" s="40" t="s">
        <v>2484</v>
      </c>
      <c r="F9">
        <f>K20+主要情况!AC12+主要情况!AE12</f>
        <v>0</v>
      </c>
      <c r="L9" s="46">
        <v>8</v>
      </c>
      <c r="M9" s="46">
        <v>44</v>
      </c>
      <c r="O9" s="30" t="s">
        <v>2179</v>
      </c>
      <c r="P9" s="46" t="s">
        <v>2313</v>
      </c>
      <c r="R9" s="46" t="s">
        <v>2313</v>
      </c>
      <c r="S9" s="42">
        <f>P182</f>
        <v>1</v>
      </c>
      <c r="U9" s="30" t="s">
        <v>2485</v>
      </c>
      <c r="V9" s="30" t="s">
        <v>2160</v>
      </c>
      <c r="W9" s="30" t="s">
        <v>2281</v>
      </c>
      <c r="X9" s="30" t="s">
        <v>2285</v>
      </c>
      <c r="Y9" s="30" t="s">
        <v>2163</v>
      </c>
      <c r="Z9" s="30">
        <v>2</v>
      </c>
      <c r="AA9">
        <f>背包!B13</f>
        <v>0</v>
      </c>
      <c r="AB9" s="30" t="s">
        <v>2486</v>
      </c>
      <c r="AC9" s="49" t="s">
        <v>2487</v>
      </c>
      <c r="AD9" s="30" t="s">
        <v>2488</v>
      </c>
      <c r="AE9" s="30">
        <v>1</v>
      </c>
      <c r="AG9" t="s">
        <v>2489</v>
      </c>
      <c r="AH9" s="38" t="s">
        <v>2455</v>
      </c>
      <c r="AI9" t="s">
        <v>2490</v>
      </c>
      <c r="AJ9" t="s">
        <v>2491</v>
      </c>
      <c r="AK9" t="s">
        <v>2492</v>
      </c>
      <c r="AL9" t="s">
        <v>2493</v>
      </c>
      <c r="AM9" s="38" t="s">
        <v>2494</v>
      </c>
      <c r="AN9" s="38" t="s">
        <v>2495</v>
      </c>
      <c r="AO9" s="38" t="s">
        <v>2496</v>
      </c>
      <c r="AP9" s="38" t="s">
        <v>2497</v>
      </c>
      <c r="AQ9" s="38" t="s">
        <v>2498</v>
      </c>
      <c r="BX9" s="55" t="s">
        <v>2499</v>
      </c>
      <c r="BY9" s="56" t="s">
        <v>2476</v>
      </c>
      <c r="BZ9" s="56"/>
      <c r="CA9" s="56"/>
      <c r="CB9" s="56"/>
      <c r="CC9" s="56"/>
      <c r="CD9" s="38" t="s">
        <v>2500</v>
      </c>
      <c r="CE9" s="56" t="s">
        <v>2501</v>
      </c>
      <c r="CF9" s="56"/>
      <c r="CG9" s="56"/>
      <c r="CH9" s="38" t="s">
        <v>2502</v>
      </c>
      <c r="CI9" s="38" t="s">
        <v>2442</v>
      </c>
      <c r="CJ9" s="38" t="s">
        <v>2503</v>
      </c>
      <c r="CK9" s="55" t="s">
        <v>2504</v>
      </c>
      <c r="CL9" s="55"/>
      <c r="CM9" s="55"/>
      <c r="CN9" s="38" t="s">
        <v>2505</v>
      </c>
      <c r="CO9" s="56" t="s">
        <v>2506</v>
      </c>
      <c r="CP9" s="56"/>
      <c r="CQ9" s="56"/>
      <c r="CR9" s="38" t="s">
        <v>2507</v>
      </c>
      <c r="CS9" s="51" t="s">
        <v>2508</v>
      </c>
      <c r="CT9" s="38" t="s">
        <v>2509</v>
      </c>
      <c r="CU9" s="51" t="s">
        <v>2510</v>
      </c>
      <c r="CX9" s="38" t="s">
        <v>2511</v>
      </c>
      <c r="CY9" s="51" t="s">
        <v>2512</v>
      </c>
      <c r="CZ9">
        <v>8</v>
      </c>
    </row>
    <row r="10" ht="13.5" customHeight="1" spans="1:104">
      <c r="A10" s="39" t="s">
        <v>2513</v>
      </c>
      <c r="C10" s="30" t="s">
        <v>2179</v>
      </c>
      <c r="D10" s="30" t="s">
        <v>2231</v>
      </c>
      <c r="E10" s="41" t="s">
        <v>2514</v>
      </c>
      <c r="F10">
        <f>F9*主要情况!W5</f>
        <v>0</v>
      </c>
      <c r="L10" s="46">
        <v>9</v>
      </c>
      <c r="M10" s="46">
        <v>57</v>
      </c>
      <c r="O10" s="30" t="s">
        <v>269</v>
      </c>
      <c r="P10" s="46" t="s">
        <v>2249</v>
      </c>
      <c r="R10" s="46" t="s">
        <v>2249</v>
      </c>
      <c r="S10" s="42">
        <f>P203</f>
        <v>25</v>
      </c>
      <c r="U10" s="30" t="s">
        <v>2515</v>
      </c>
      <c r="V10" s="30" t="s">
        <v>2158</v>
      </c>
      <c r="W10" s="30" t="s">
        <v>2187</v>
      </c>
      <c r="X10" s="30" t="s">
        <v>2285</v>
      </c>
      <c r="Y10" s="30" t="s">
        <v>2516</v>
      </c>
      <c r="Z10" s="30">
        <v>3</v>
      </c>
      <c r="AA10">
        <f>背包!B14</f>
        <v>0</v>
      </c>
      <c r="AB10" s="30" t="s">
        <v>2517</v>
      </c>
      <c r="AC10" s="49" t="s">
        <v>2487</v>
      </c>
      <c r="AD10" s="30" t="s">
        <v>2518</v>
      </c>
      <c r="AE10" s="30">
        <v>3</v>
      </c>
      <c r="AG10" t="s">
        <v>2519</v>
      </c>
      <c r="AH10" s="38" t="s">
        <v>2520</v>
      </c>
      <c r="AI10" t="s">
        <v>2521</v>
      </c>
      <c r="AJ10" t="s">
        <v>2522</v>
      </c>
      <c r="AK10" t="s">
        <v>2523</v>
      </c>
      <c r="AL10" t="s">
        <v>2524</v>
      </c>
      <c r="AM10" s="38" t="s">
        <v>2525</v>
      </c>
      <c r="AN10" s="38" t="s">
        <v>2526</v>
      </c>
      <c r="AO10" s="38" t="s">
        <v>2527</v>
      </c>
      <c r="AP10" s="38" t="s">
        <v>2528</v>
      </c>
      <c r="AQ10" s="38" t="s">
        <v>2529</v>
      </c>
      <c r="BX10" s="55" t="s">
        <v>2530</v>
      </c>
      <c r="BY10" s="56" t="s">
        <v>2531</v>
      </c>
      <c r="BZ10" s="56"/>
      <c r="CA10" s="56"/>
      <c r="CB10" s="56"/>
      <c r="CC10" s="56"/>
      <c r="CD10" s="38" t="s">
        <v>2532</v>
      </c>
      <c r="CE10" s="56" t="s">
        <v>2533</v>
      </c>
      <c r="CF10" s="56"/>
      <c r="CG10" s="56"/>
      <c r="CH10" s="38" t="s">
        <v>2534</v>
      </c>
      <c r="CI10" s="51" t="s">
        <v>2535</v>
      </c>
      <c r="CJ10" s="38" t="s">
        <v>2536</v>
      </c>
      <c r="CK10" s="55" t="s">
        <v>2537</v>
      </c>
      <c r="CL10" s="55"/>
      <c r="CM10" s="55"/>
      <c r="CN10" s="38" t="s">
        <v>2538</v>
      </c>
      <c r="CO10" s="56" t="s">
        <v>2539</v>
      </c>
      <c r="CP10" s="56"/>
      <c r="CQ10" s="56"/>
      <c r="CR10" s="38" t="s">
        <v>2540</v>
      </c>
      <c r="CS10" s="51" t="s">
        <v>2541</v>
      </c>
      <c r="CT10" s="38" t="s">
        <v>2542</v>
      </c>
      <c r="CU10" s="51" t="s">
        <v>2543</v>
      </c>
      <c r="CX10" s="38" t="s">
        <v>2544</v>
      </c>
      <c r="CY10" s="51" t="s">
        <v>2545</v>
      </c>
      <c r="CZ10">
        <v>9</v>
      </c>
    </row>
    <row r="11" ht="13.5" customHeight="1" spans="1:104">
      <c r="A11" s="39" t="s">
        <v>2546</v>
      </c>
      <c r="C11" s="30" t="s">
        <v>269</v>
      </c>
      <c r="D11" s="30" t="s">
        <v>2231</v>
      </c>
      <c r="L11" s="46">
        <v>10</v>
      </c>
      <c r="M11" s="46">
        <v>64</v>
      </c>
      <c r="O11" s="30" t="s">
        <v>270</v>
      </c>
      <c r="P11" s="46" t="s">
        <v>2547</v>
      </c>
      <c r="R11" s="46" t="s">
        <v>2547</v>
      </c>
      <c r="S11" s="42">
        <f>P224</f>
        <v>1</v>
      </c>
      <c r="U11" s="30" t="s">
        <v>2548</v>
      </c>
      <c r="V11" s="30" t="s">
        <v>2184</v>
      </c>
      <c r="W11" s="30" t="s">
        <v>2187</v>
      </c>
      <c r="X11" s="30" t="s">
        <v>2191</v>
      </c>
      <c r="Y11" s="30" t="s">
        <v>2549</v>
      </c>
      <c r="Z11" s="30">
        <v>5</v>
      </c>
      <c r="AA11">
        <f>背包!B16</f>
        <v>0</v>
      </c>
      <c r="AB11" s="30" t="s">
        <v>2550</v>
      </c>
      <c r="AC11" s="49" t="s">
        <v>2487</v>
      </c>
      <c r="AD11" s="30" t="s">
        <v>2488</v>
      </c>
      <c r="AE11" s="30">
        <v>2</v>
      </c>
      <c r="AG11" t="s">
        <v>2551</v>
      </c>
      <c r="AH11" s="38" t="s">
        <v>2552</v>
      </c>
      <c r="AI11" t="s">
        <v>2553</v>
      </c>
      <c r="AJ11" t="s">
        <v>2554</v>
      </c>
      <c r="AK11" t="s">
        <v>2555</v>
      </c>
      <c r="AL11" t="s">
        <v>2556</v>
      </c>
      <c r="AM11" s="38" t="s">
        <v>2557</v>
      </c>
      <c r="AN11" s="38" t="s">
        <v>2558</v>
      </c>
      <c r="AO11" s="38" t="s">
        <v>2559</v>
      </c>
      <c r="AP11" s="38" t="s">
        <v>2560</v>
      </c>
      <c r="AQ11" s="38" t="s">
        <v>2561</v>
      </c>
      <c r="BX11" s="38" t="s">
        <v>2562</v>
      </c>
      <c r="BY11" s="56" t="s">
        <v>2563</v>
      </c>
      <c r="BZ11" s="56"/>
      <c r="CA11" s="56"/>
      <c r="CB11" s="56"/>
      <c r="CC11" s="56"/>
      <c r="CD11" s="38" t="s">
        <v>2564</v>
      </c>
      <c r="CE11" s="55" t="s">
        <v>2565</v>
      </c>
      <c r="CF11" s="55"/>
      <c r="CG11" s="55"/>
      <c r="CH11" s="38" t="s">
        <v>2566</v>
      </c>
      <c r="CI11" s="38" t="s">
        <v>2567</v>
      </c>
      <c r="CJ11" s="38" t="s">
        <v>2568</v>
      </c>
      <c r="CK11" s="55" t="s">
        <v>2569</v>
      </c>
      <c r="CL11" s="55"/>
      <c r="CM11" s="55"/>
      <c r="CN11" s="38" t="s">
        <v>2570</v>
      </c>
      <c r="CO11" s="56" t="s">
        <v>2571</v>
      </c>
      <c r="CP11" s="56"/>
      <c r="CQ11" s="56"/>
      <c r="CR11" s="38" t="s">
        <v>2572</v>
      </c>
      <c r="CS11" s="38" t="s">
        <v>2573</v>
      </c>
      <c r="CT11" s="38" t="s">
        <v>2574</v>
      </c>
      <c r="CU11" s="51" t="s">
        <v>2575</v>
      </c>
      <c r="CX11" s="38" t="s">
        <v>2576</v>
      </c>
      <c r="CY11" s="51" t="s">
        <v>2577</v>
      </c>
      <c r="CZ11">
        <v>10</v>
      </c>
    </row>
    <row r="12" ht="14.25" customHeight="1" spans="1:104">
      <c r="A12" s="39" t="s">
        <v>2578</v>
      </c>
      <c r="C12" s="30" t="s">
        <v>270</v>
      </c>
      <c r="D12" s="30" t="s">
        <v>2231</v>
      </c>
      <c r="L12" s="46">
        <v>11</v>
      </c>
      <c r="M12" s="46">
        <v>73</v>
      </c>
      <c r="O12" s="30" t="s">
        <v>2180</v>
      </c>
      <c r="P12" s="46" t="s">
        <v>2579</v>
      </c>
      <c r="R12" s="46" t="s">
        <v>2579</v>
      </c>
      <c r="S12" s="30">
        <f>P245</f>
        <v>3</v>
      </c>
      <c r="U12" s="30" t="s">
        <v>2580</v>
      </c>
      <c r="V12" s="30" t="s">
        <v>2160</v>
      </c>
      <c r="W12" s="30" t="s">
        <v>2187</v>
      </c>
      <c r="X12" s="30" t="s">
        <v>2581</v>
      </c>
      <c r="Y12" s="30" t="s">
        <v>2188</v>
      </c>
      <c r="Z12" s="30">
        <v>0.25</v>
      </c>
      <c r="AA12">
        <f>背包!B17</f>
        <v>0</v>
      </c>
      <c r="AB12" s="30" t="s">
        <v>2582</v>
      </c>
      <c r="AC12" s="49" t="s">
        <v>2487</v>
      </c>
      <c r="AD12" s="30" t="s">
        <v>2282</v>
      </c>
      <c r="AE12" s="30">
        <v>4</v>
      </c>
      <c r="AG12" t="s">
        <v>2583</v>
      </c>
      <c r="AH12" s="38" t="s">
        <v>2552</v>
      </c>
      <c r="AI12" t="s">
        <v>2584</v>
      </c>
      <c r="AJ12" t="s">
        <v>2585</v>
      </c>
      <c r="AK12" t="s">
        <v>2586</v>
      </c>
      <c r="AL12" t="s">
        <v>2587</v>
      </c>
      <c r="AM12" s="38" t="s">
        <v>2588</v>
      </c>
      <c r="AN12" s="38" t="s">
        <v>2589</v>
      </c>
      <c r="AO12" s="38" t="s">
        <v>2590</v>
      </c>
      <c r="AP12" s="38" t="s">
        <v>2591</v>
      </c>
      <c r="AQ12" s="38" t="s">
        <v>2592</v>
      </c>
      <c r="BX12" s="38" t="s">
        <v>2593</v>
      </c>
      <c r="BY12" s="56" t="s">
        <v>2594</v>
      </c>
      <c r="BZ12" s="56"/>
      <c r="CA12" s="56"/>
      <c r="CB12" s="56"/>
      <c r="CC12" s="56"/>
      <c r="CD12" s="56"/>
      <c r="CE12" s="56"/>
      <c r="CF12" s="56"/>
      <c r="CG12" s="56"/>
      <c r="CH12" s="38" t="s">
        <v>2595</v>
      </c>
      <c r="CI12" s="51" t="s">
        <v>2596</v>
      </c>
      <c r="CJ12" s="38" t="s">
        <v>2597</v>
      </c>
      <c r="CK12" s="56" t="s">
        <v>2598</v>
      </c>
      <c r="CL12" s="56"/>
      <c r="CM12" s="56"/>
      <c r="CN12" s="38" t="s">
        <v>2599</v>
      </c>
      <c r="CO12" s="55" t="s">
        <v>2600</v>
      </c>
      <c r="CP12" s="55"/>
      <c r="CQ12" s="55"/>
      <c r="CR12" s="38" t="s">
        <v>2601</v>
      </c>
      <c r="CS12" s="51" t="s">
        <v>2602</v>
      </c>
      <c r="CT12" s="38" t="s">
        <v>2603</v>
      </c>
      <c r="CU12" s="38" t="s">
        <v>2604</v>
      </c>
      <c r="CX12" s="38" t="s">
        <v>2605</v>
      </c>
      <c r="CY12" s="51" t="s">
        <v>2606</v>
      </c>
      <c r="CZ12">
        <v>11</v>
      </c>
    </row>
    <row r="13" ht="14.25" customHeight="1" spans="1:104">
      <c r="A13" s="39" t="s">
        <v>2607</v>
      </c>
      <c r="C13" s="30" t="s">
        <v>2180</v>
      </c>
      <c r="D13" s="30" t="s">
        <v>2278</v>
      </c>
      <c r="L13" s="46">
        <v>12</v>
      </c>
      <c r="M13" s="46">
        <v>73</v>
      </c>
      <c r="O13" s="44" t="s">
        <v>273</v>
      </c>
      <c r="P13" s="44" t="s">
        <v>2608</v>
      </c>
      <c r="R13" s="30" t="s">
        <v>2608</v>
      </c>
      <c r="S13" s="30">
        <f>P266</f>
        <v>2</v>
      </c>
      <c r="U13" s="30" t="s">
        <v>2609</v>
      </c>
      <c r="V13" s="30" t="s">
        <v>2158</v>
      </c>
      <c r="W13" s="30" t="s">
        <v>2187</v>
      </c>
      <c r="X13" s="30" t="s">
        <v>2581</v>
      </c>
      <c r="Y13" s="30" t="s">
        <v>2610</v>
      </c>
      <c r="Z13" s="30">
        <v>2</v>
      </c>
      <c r="AA13">
        <f>背包!B18</f>
        <v>0</v>
      </c>
      <c r="AB13" s="30" t="s">
        <v>2611</v>
      </c>
      <c r="AC13" s="49" t="s">
        <v>2487</v>
      </c>
      <c r="AD13" s="30" t="s">
        <v>2488</v>
      </c>
      <c r="AE13" s="30">
        <v>1</v>
      </c>
      <c r="AG13" t="s">
        <v>2612</v>
      </c>
      <c r="AH13" s="38" t="s">
        <v>2613</v>
      </c>
      <c r="AI13" t="s">
        <v>2614</v>
      </c>
      <c r="AJ13" t="s">
        <v>2615</v>
      </c>
      <c r="AK13" t="s">
        <v>2616</v>
      </c>
      <c r="AL13" t="s">
        <v>2617</v>
      </c>
      <c r="AM13" s="38" t="s">
        <v>2618</v>
      </c>
      <c r="AN13" s="38" t="s">
        <v>2619</v>
      </c>
      <c r="AO13" s="38" t="s">
        <v>2620</v>
      </c>
      <c r="AP13" s="38" t="s">
        <v>2621</v>
      </c>
      <c r="AQ13" s="38" t="s">
        <v>2622</v>
      </c>
      <c r="BX13" s="38" t="s">
        <v>2623</v>
      </c>
      <c r="BY13" s="56" t="s">
        <v>2624</v>
      </c>
      <c r="BZ13" s="56"/>
      <c r="CA13" s="56"/>
      <c r="CB13" s="56"/>
      <c r="CC13" s="56"/>
      <c r="CD13" s="56"/>
      <c r="CE13" s="56"/>
      <c r="CF13" s="56"/>
      <c r="CG13" s="56"/>
      <c r="CH13" s="38" t="s">
        <v>2625</v>
      </c>
      <c r="CI13" s="38" t="s">
        <v>2626</v>
      </c>
      <c r="CJ13" s="38" t="s">
        <v>2627</v>
      </c>
      <c r="CK13" s="56" t="s">
        <v>2628</v>
      </c>
      <c r="CL13" s="56"/>
      <c r="CM13" s="56"/>
      <c r="CN13" s="38" t="s">
        <v>2629</v>
      </c>
      <c r="CO13" s="56" t="s">
        <v>2630</v>
      </c>
      <c r="CP13" s="56"/>
      <c r="CQ13" s="56"/>
      <c r="CR13" s="38" t="s">
        <v>2631</v>
      </c>
      <c r="CS13" s="51" t="s">
        <v>2632</v>
      </c>
      <c r="CT13" s="38" t="s">
        <v>2633</v>
      </c>
      <c r="CU13" s="38" t="s">
        <v>2634</v>
      </c>
      <c r="CX13" s="38" t="s">
        <v>2635</v>
      </c>
      <c r="CY13" s="51" t="s">
        <v>2636</v>
      </c>
      <c r="CZ13">
        <v>12</v>
      </c>
    </row>
    <row r="14" ht="14.25" customHeight="1" spans="1:104">
      <c r="A14" s="39" t="s">
        <v>2637</v>
      </c>
      <c r="D14" t="str">
        <f>VLOOKUP(B1,C1:D13,2,0)</f>
        <v>1d8</v>
      </c>
      <c r="L14" s="46">
        <v>13</v>
      </c>
      <c r="M14" s="46">
        <v>83</v>
      </c>
      <c r="N14" t="s">
        <v>2638</v>
      </c>
      <c r="P14" t="str">
        <f>VLOOKUP(N1,O1:P13,2,0)</f>
        <v>已知祈唤</v>
      </c>
      <c r="S14">
        <f>VLOOKUP(Q1,R1:S13,2,0)</f>
        <v>3</v>
      </c>
      <c r="U14" s="30" t="s">
        <v>2639</v>
      </c>
      <c r="V14" s="30" t="s">
        <v>2160</v>
      </c>
      <c r="W14" s="30" t="s">
        <v>2161</v>
      </c>
      <c r="X14" s="30" t="s">
        <v>2162</v>
      </c>
      <c r="Y14" s="30" t="s">
        <v>2640</v>
      </c>
      <c r="Z14" s="30" t="s">
        <v>132</v>
      </c>
      <c r="AA14">
        <f>背包!B19</f>
        <v>0</v>
      </c>
      <c r="AB14" s="30" t="s">
        <v>2641</v>
      </c>
      <c r="AC14" s="49" t="s">
        <v>132</v>
      </c>
      <c r="AD14" s="30" t="s">
        <v>2165</v>
      </c>
      <c r="AE14" s="30">
        <v>5</v>
      </c>
      <c r="AG14" t="s">
        <v>2642</v>
      </c>
      <c r="AH14" s="38" t="s">
        <v>2643</v>
      </c>
      <c r="AI14" t="s">
        <v>2644</v>
      </c>
      <c r="AJ14" t="s">
        <v>2645</v>
      </c>
      <c r="AK14" t="s">
        <v>2646</v>
      </c>
      <c r="AL14" t="s">
        <v>2647</v>
      </c>
      <c r="AM14" s="38" t="s">
        <v>2648</v>
      </c>
      <c r="AN14" s="38" t="s">
        <v>2649</v>
      </c>
      <c r="AO14" s="38" t="s">
        <v>2650</v>
      </c>
      <c r="AP14" s="38" t="s">
        <v>2651</v>
      </c>
      <c r="AQ14" s="38" t="s">
        <v>2652</v>
      </c>
      <c r="BZ14" s="38"/>
      <c r="CA14" s="38"/>
      <c r="CB14" s="38"/>
      <c r="CC14" s="38"/>
      <c r="CD14" s="38"/>
      <c r="CE14" s="38"/>
      <c r="CF14" s="38"/>
      <c r="CG14" s="38"/>
      <c r="CH14" s="38" t="s">
        <v>2653</v>
      </c>
      <c r="CI14" s="55" t="s">
        <v>2654</v>
      </c>
      <c r="CJ14" s="55"/>
      <c r="CK14" s="55"/>
      <c r="CL14" s="55"/>
      <c r="CM14" s="55"/>
      <c r="CN14" s="55"/>
      <c r="CO14" s="55"/>
      <c r="CP14" s="55"/>
      <c r="CQ14" s="55"/>
      <c r="CR14" s="55"/>
      <c r="CS14" s="55"/>
      <c r="CT14" s="38" t="s">
        <v>2655</v>
      </c>
      <c r="CU14" s="38" t="s">
        <v>2656</v>
      </c>
      <c r="CX14" s="38" t="s">
        <v>2657</v>
      </c>
      <c r="CY14" s="51" t="s">
        <v>2658</v>
      </c>
      <c r="CZ14">
        <v>13</v>
      </c>
    </row>
    <row r="15" ht="14.25" customHeight="1" spans="1:104">
      <c r="A15" s="39" t="s">
        <v>2659</v>
      </c>
      <c r="B15" t="str">
        <f>主要情况!S3</f>
        <v>邪术师</v>
      </c>
      <c r="C15" s="30" t="s">
        <v>272</v>
      </c>
      <c r="D15" s="42" t="s">
        <v>79</v>
      </c>
      <c r="E15" s="43" t="s">
        <v>2660</v>
      </c>
      <c r="F15">
        <f>主要情况!G14+主要情况!W3</f>
        <v>7</v>
      </c>
      <c r="G15">
        <f>主要情况!S4</f>
        <v>0</v>
      </c>
      <c r="H15" s="30" t="s">
        <v>272</v>
      </c>
      <c r="I15" s="30" t="s">
        <v>2158</v>
      </c>
      <c r="J15" s="42" t="s">
        <v>2158</v>
      </c>
      <c r="K15" s="30">
        <v>4</v>
      </c>
      <c r="L15" s="46">
        <v>14</v>
      </c>
      <c r="M15" s="46">
        <v>83</v>
      </c>
      <c r="N15">
        <f>主要情况!W3</f>
        <v>5</v>
      </c>
      <c r="O15">
        <v>1</v>
      </c>
      <c r="P15">
        <v>4</v>
      </c>
      <c r="Q15" t="s">
        <v>249</v>
      </c>
      <c r="U15" s="30" t="s">
        <v>2661</v>
      </c>
      <c r="V15" s="30" t="s">
        <v>2184</v>
      </c>
      <c r="W15" s="30" t="s">
        <v>2281</v>
      </c>
      <c r="X15" s="30" t="s">
        <v>2488</v>
      </c>
      <c r="Y15" s="30" t="s">
        <v>2662</v>
      </c>
      <c r="Z15" s="30">
        <v>4</v>
      </c>
      <c r="AA15">
        <f>背包!B20</f>
        <v>0</v>
      </c>
      <c r="AB15" s="30" t="s">
        <v>2663</v>
      </c>
      <c r="AC15" s="49" t="s">
        <v>2664</v>
      </c>
      <c r="AD15" s="30" t="s">
        <v>2285</v>
      </c>
      <c r="AE15" s="30">
        <v>2</v>
      </c>
      <c r="AG15" t="s">
        <v>2665</v>
      </c>
      <c r="AH15" s="38" t="s">
        <v>2666</v>
      </c>
      <c r="AI15" t="s">
        <v>2667</v>
      </c>
      <c r="AJ15" t="s">
        <v>2668</v>
      </c>
      <c r="AK15" t="s">
        <v>2669</v>
      </c>
      <c r="AL15" t="s">
        <v>2670</v>
      </c>
      <c r="AM15" s="38" t="s">
        <v>2671</v>
      </c>
      <c r="AN15" s="38" t="s">
        <v>2672</v>
      </c>
      <c r="AO15" s="38" t="s">
        <v>2673</v>
      </c>
      <c r="AP15" s="38" t="s">
        <v>2674</v>
      </c>
      <c r="AQ15" s="38" t="s">
        <v>2675</v>
      </c>
      <c r="CH15" s="38" t="s">
        <v>2676</v>
      </c>
      <c r="CI15" s="56" t="s">
        <v>2677</v>
      </c>
      <c r="CJ15" s="56"/>
      <c r="CK15" s="56"/>
      <c r="CL15" s="56"/>
      <c r="CM15" s="56"/>
      <c r="CN15" s="56"/>
      <c r="CO15" s="56"/>
      <c r="CX15" s="38" t="s">
        <v>2678</v>
      </c>
      <c r="CY15" s="51" t="s">
        <v>2679</v>
      </c>
      <c r="CZ15">
        <v>14</v>
      </c>
    </row>
    <row r="16" ht="14.25" customHeight="1" spans="1:104">
      <c r="A16" s="39" t="s">
        <v>2680</v>
      </c>
      <c r="C16" s="30" t="s">
        <v>271</v>
      </c>
      <c r="D16" s="42" t="s">
        <v>89</v>
      </c>
      <c r="E16" s="43" t="s">
        <v>2681</v>
      </c>
      <c r="F16" t="s">
        <v>234</v>
      </c>
      <c r="G16">
        <f>主要情况!S5</f>
        <v>0</v>
      </c>
      <c r="H16" s="30" t="s">
        <v>271</v>
      </c>
      <c r="I16" s="30" t="s">
        <v>2158</v>
      </c>
      <c r="J16" s="42" t="s">
        <v>2184</v>
      </c>
      <c r="K16" s="30">
        <v>5</v>
      </c>
      <c r="L16" s="46">
        <v>15</v>
      </c>
      <c r="M16" s="46">
        <v>94</v>
      </c>
      <c r="O16">
        <v>2</v>
      </c>
      <c r="P16">
        <v>6</v>
      </c>
      <c r="U16" s="30" t="s">
        <v>2682</v>
      </c>
      <c r="V16" s="30" t="s">
        <v>2184</v>
      </c>
      <c r="W16" s="30" t="s">
        <v>2161</v>
      </c>
      <c r="X16" s="30" t="s">
        <v>2488</v>
      </c>
      <c r="Y16" s="30" t="s">
        <v>132</v>
      </c>
      <c r="Z16" s="30">
        <v>2</v>
      </c>
      <c r="AA16">
        <f>背包!B21</f>
        <v>0</v>
      </c>
      <c r="AB16" s="30" t="s">
        <v>2683</v>
      </c>
      <c r="AC16" s="49" t="s">
        <v>132</v>
      </c>
      <c r="AD16" s="30" t="s">
        <v>2165</v>
      </c>
      <c r="AE16" s="30">
        <v>70</v>
      </c>
      <c r="AG16" t="s">
        <v>2684</v>
      </c>
      <c r="AH16" s="38" t="s">
        <v>2666</v>
      </c>
      <c r="AI16" t="s">
        <v>2685</v>
      </c>
      <c r="AJ16" t="s">
        <v>2686</v>
      </c>
      <c r="AK16" t="s">
        <v>2687</v>
      </c>
      <c r="AL16" t="s">
        <v>2688</v>
      </c>
      <c r="AM16" s="38" t="s">
        <v>2689</v>
      </c>
      <c r="AN16" s="38" t="s">
        <v>2690</v>
      </c>
      <c r="AO16" s="38" t="s">
        <v>2691</v>
      </c>
      <c r="AP16" s="38" t="s">
        <v>2692</v>
      </c>
      <c r="AQ16" s="38" t="s">
        <v>2693</v>
      </c>
      <c r="CH16" s="38" t="s">
        <v>2694</v>
      </c>
      <c r="CI16" s="56" t="s">
        <v>2695</v>
      </c>
      <c r="CJ16" s="56"/>
      <c r="CK16" s="56"/>
      <c r="CL16" s="56"/>
      <c r="CM16" s="56"/>
      <c r="CN16" s="56"/>
      <c r="CO16" s="56"/>
      <c r="CX16" s="38" t="s">
        <v>2696</v>
      </c>
      <c r="CY16" s="51" t="s">
        <v>2697</v>
      </c>
      <c r="CZ16">
        <v>15</v>
      </c>
    </row>
    <row r="17" ht="14.25" customHeight="1" spans="1:104">
      <c r="A17" s="39" t="s">
        <v>2698</v>
      </c>
      <c r="C17" s="30" t="s">
        <v>266</v>
      </c>
      <c r="D17" s="42" t="s">
        <v>89</v>
      </c>
      <c r="E17" s="43" t="s">
        <v>2699</v>
      </c>
      <c r="F17" t="s">
        <v>234</v>
      </c>
      <c r="H17" s="30" t="s">
        <v>266</v>
      </c>
      <c r="I17" s="30" t="s">
        <v>2184</v>
      </c>
      <c r="J17" s="42" t="s">
        <v>2231</v>
      </c>
      <c r="K17" s="30">
        <v>6</v>
      </c>
      <c r="L17" s="46">
        <v>16</v>
      </c>
      <c r="M17" s="46">
        <v>94</v>
      </c>
      <c r="O17">
        <v>3</v>
      </c>
      <c r="P17">
        <v>14</v>
      </c>
      <c r="U17" s="30" t="s">
        <v>2700</v>
      </c>
      <c r="V17" s="30" t="s">
        <v>2231</v>
      </c>
      <c r="W17" s="30" t="s">
        <v>2281</v>
      </c>
      <c r="X17" s="30" t="s">
        <v>2518</v>
      </c>
      <c r="Y17" s="30" t="s">
        <v>2701</v>
      </c>
      <c r="Z17" s="30">
        <v>6</v>
      </c>
      <c r="AA17">
        <f>背包!B22</f>
        <v>0</v>
      </c>
      <c r="AB17" s="30" t="s">
        <v>2702</v>
      </c>
      <c r="AC17" s="49" t="s">
        <v>132</v>
      </c>
      <c r="AD17" s="30" t="s">
        <v>2703</v>
      </c>
      <c r="AE17" s="30">
        <v>2</v>
      </c>
      <c r="AG17" t="s">
        <v>2704</v>
      </c>
      <c r="AH17" s="38" t="s">
        <v>2705</v>
      </c>
      <c r="AI17" t="s">
        <v>2706</v>
      </c>
      <c r="AJ17" t="s">
        <v>2707</v>
      </c>
      <c r="AK17" t="s">
        <v>2708</v>
      </c>
      <c r="AL17" t="s">
        <v>2709</v>
      </c>
      <c r="AM17" s="38" t="s">
        <v>2710</v>
      </c>
      <c r="AN17" s="38" t="s">
        <v>2711</v>
      </c>
      <c r="AO17" s="38" t="s">
        <v>2712</v>
      </c>
      <c r="AP17" s="38" t="s">
        <v>2713</v>
      </c>
      <c r="AQ17" s="38" t="s">
        <v>2714</v>
      </c>
      <c r="CH17" s="38" t="s">
        <v>2715</v>
      </c>
      <c r="CI17" s="55" t="s">
        <v>2716</v>
      </c>
      <c r="CJ17" s="55"/>
      <c r="CK17" s="55"/>
      <c r="CL17" s="55"/>
      <c r="CM17" s="55"/>
      <c r="CN17" s="55"/>
      <c r="CO17" s="55"/>
      <c r="CX17" s="38" t="s">
        <v>2717</v>
      </c>
      <c r="CY17" s="51" t="s">
        <v>2718</v>
      </c>
      <c r="CZ17">
        <v>16</v>
      </c>
    </row>
    <row r="18" ht="14.25" customHeight="1" spans="1:104">
      <c r="A18" s="39" t="s">
        <v>2719</v>
      </c>
      <c r="C18" s="30" t="s">
        <v>267</v>
      </c>
      <c r="D18" s="42" t="s">
        <v>83</v>
      </c>
      <c r="E18" s="43" t="s">
        <v>2720</v>
      </c>
      <c r="F18">
        <f>主要情况!G16+主要情况!W3</f>
        <v>6</v>
      </c>
      <c r="H18" s="30" t="s">
        <v>267</v>
      </c>
      <c r="I18" s="30" t="s">
        <v>2184</v>
      </c>
      <c r="J18" s="42" t="s">
        <v>2278</v>
      </c>
      <c r="K18" s="30">
        <v>7</v>
      </c>
      <c r="L18" s="46">
        <v>17</v>
      </c>
      <c r="M18" s="46">
        <v>107</v>
      </c>
      <c r="O18">
        <v>4</v>
      </c>
      <c r="P18">
        <v>17</v>
      </c>
      <c r="U18" s="30" t="s">
        <v>2721</v>
      </c>
      <c r="V18" s="30" t="s">
        <v>2278</v>
      </c>
      <c r="W18" s="30" t="s">
        <v>2281</v>
      </c>
      <c r="X18" s="30" t="s">
        <v>2722</v>
      </c>
      <c r="Y18" s="30" t="s">
        <v>2723</v>
      </c>
      <c r="Z18" s="30">
        <v>7</v>
      </c>
      <c r="AA18">
        <f>背包!B23</f>
        <v>0</v>
      </c>
      <c r="AB18" s="30" t="s">
        <v>2724</v>
      </c>
      <c r="AC18" s="49" t="s">
        <v>132</v>
      </c>
      <c r="AD18" s="30" t="s">
        <v>2285</v>
      </c>
      <c r="AE18" s="30">
        <v>7</v>
      </c>
      <c r="AG18" t="s">
        <v>2725</v>
      </c>
      <c r="AH18" s="38" t="s">
        <v>2726</v>
      </c>
      <c r="AI18" t="s">
        <v>2727</v>
      </c>
      <c r="AJ18" t="s">
        <v>2728</v>
      </c>
      <c r="AK18" t="s">
        <v>2729</v>
      </c>
      <c r="AL18" t="s">
        <v>2730</v>
      </c>
      <c r="AM18" s="38" t="s">
        <v>2731</v>
      </c>
      <c r="AN18" s="38" t="s">
        <v>2732</v>
      </c>
      <c r="AO18" s="38" t="s">
        <v>2733</v>
      </c>
      <c r="AP18" s="38" t="s">
        <v>2734</v>
      </c>
      <c r="AQ18" s="38" t="s">
        <v>2735</v>
      </c>
      <c r="CH18" s="38" t="s">
        <v>2736</v>
      </c>
      <c r="CI18" s="56" t="s">
        <v>2737</v>
      </c>
      <c r="CJ18" s="56"/>
      <c r="CK18" s="56"/>
      <c r="CL18" s="56"/>
      <c r="CM18" s="56"/>
      <c r="CN18" s="56"/>
      <c r="CO18" s="56"/>
      <c r="CX18" s="38" t="s">
        <v>2738</v>
      </c>
      <c r="CY18" s="51" t="s">
        <v>2739</v>
      </c>
      <c r="CZ18">
        <v>17</v>
      </c>
    </row>
    <row r="19" ht="14.25" customHeight="1" spans="1:104">
      <c r="A19" s="39" t="s">
        <v>2740</v>
      </c>
      <c r="C19" s="30" t="s">
        <v>268</v>
      </c>
      <c r="D19" s="42" t="s">
        <v>83</v>
      </c>
      <c r="E19" s="43" t="s">
        <v>2741</v>
      </c>
      <c r="F19">
        <f>主要情况!G16+主要情况!W3</f>
        <v>6</v>
      </c>
      <c r="H19" s="30" t="s">
        <v>268</v>
      </c>
      <c r="I19" s="30" t="s">
        <v>2184</v>
      </c>
      <c r="J19" s="48">
        <v>0</v>
      </c>
      <c r="K19" s="44">
        <v>0</v>
      </c>
      <c r="L19" s="46">
        <v>18</v>
      </c>
      <c r="M19" s="46">
        <v>114</v>
      </c>
      <c r="O19">
        <v>5</v>
      </c>
      <c r="P19">
        <v>27</v>
      </c>
      <c r="U19" s="30" t="s">
        <v>2742</v>
      </c>
      <c r="V19" s="30" t="s">
        <v>2743</v>
      </c>
      <c r="W19" s="30" t="s">
        <v>2281</v>
      </c>
      <c r="X19" s="30" t="s">
        <v>2237</v>
      </c>
      <c r="Y19" s="30" t="s">
        <v>2723</v>
      </c>
      <c r="Z19" s="30">
        <v>6</v>
      </c>
      <c r="AA19">
        <f>背包!B24</f>
        <v>0</v>
      </c>
      <c r="AB19" s="30" t="s">
        <v>2744</v>
      </c>
      <c r="AC19" s="49" t="s">
        <v>132</v>
      </c>
      <c r="AD19" s="30" t="s">
        <v>2285</v>
      </c>
      <c r="AE19" s="30">
        <v>0</v>
      </c>
      <c r="AG19" t="s">
        <v>2745</v>
      </c>
      <c r="AH19" s="38" t="s">
        <v>2746</v>
      </c>
      <c r="AI19" t="s">
        <v>2747</v>
      </c>
      <c r="AJ19" t="s">
        <v>2748</v>
      </c>
      <c r="AK19" t="s">
        <v>2749</v>
      </c>
      <c r="AL19" t="s">
        <v>2750</v>
      </c>
      <c r="AM19" s="38" t="s">
        <v>2751</v>
      </c>
      <c r="AN19" s="38" t="s">
        <v>2752</v>
      </c>
      <c r="AO19" s="38" t="s">
        <v>2753</v>
      </c>
      <c r="AP19" s="38" t="s">
        <v>2754</v>
      </c>
      <c r="AQ19" s="38" t="s">
        <v>2755</v>
      </c>
      <c r="CH19" s="38" t="s">
        <v>2756</v>
      </c>
      <c r="CI19" s="55" t="s">
        <v>2757</v>
      </c>
      <c r="CJ19" s="55"/>
      <c r="CK19" s="55"/>
      <c r="CL19" s="55"/>
      <c r="CM19" s="55"/>
      <c r="CN19" s="55"/>
      <c r="CO19" s="55"/>
      <c r="CX19" s="38" t="s">
        <v>2758</v>
      </c>
      <c r="CY19" s="51" t="s">
        <v>2759</v>
      </c>
      <c r="CZ19">
        <v>18</v>
      </c>
    </row>
    <row r="20" ht="14.25" customHeight="1" spans="1:104">
      <c r="A20" s="39" t="s">
        <v>2760</v>
      </c>
      <c r="C20" s="30" t="s">
        <v>2177</v>
      </c>
      <c r="D20" s="42" t="s">
        <v>83</v>
      </c>
      <c r="E20" s="43" t="s">
        <v>2761</v>
      </c>
      <c r="F20">
        <v>0</v>
      </c>
      <c r="H20" s="30" t="s">
        <v>2177</v>
      </c>
      <c r="I20" s="30" t="s">
        <v>2184</v>
      </c>
      <c r="J20">
        <f>VLOOKUP(H29,J15:K19,2,0)</f>
        <v>0</v>
      </c>
      <c r="K20">
        <f>VLOOKUP(I29,J15:K19,2,0)</f>
        <v>0</v>
      </c>
      <c r="L20" s="46">
        <v>19</v>
      </c>
      <c r="M20" s="46">
        <v>123</v>
      </c>
      <c r="O20">
        <v>6</v>
      </c>
      <c r="P20">
        <v>32</v>
      </c>
      <c r="U20" s="30" t="s">
        <v>2762</v>
      </c>
      <c r="V20" s="30" t="s">
        <v>2231</v>
      </c>
      <c r="W20" s="30" t="s">
        <v>2281</v>
      </c>
      <c r="X20" s="30" t="s">
        <v>2518</v>
      </c>
      <c r="Y20" s="30" t="s">
        <v>2701</v>
      </c>
      <c r="Z20" s="30">
        <v>6</v>
      </c>
      <c r="AA20">
        <f>背包!B25</f>
        <v>0</v>
      </c>
      <c r="AB20" s="30" t="s">
        <v>2763</v>
      </c>
      <c r="AC20" s="49" t="s">
        <v>132</v>
      </c>
      <c r="AD20" s="30" t="s">
        <v>2764</v>
      </c>
      <c r="AE20" s="30">
        <v>3</v>
      </c>
      <c r="AG20" t="s">
        <v>2765</v>
      </c>
      <c r="AH20" s="38" t="s">
        <v>2746</v>
      </c>
      <c r="AI20" t="s">
        <v>2766</v>
      </c>
      <c r="AJ20" t="s">
        <v>2767</v>
      </c>
      <c r="AK20" t="s">
        <v>2768</v>
      </c>
      <c r="AL20" t="s">
        <v>2769</v>
      </c>
      <c r="AM20" s="38" t="s">
        <v>2770</v>
      </c>
      <c r="AN20" s="38" t="s">
        <v>2771</v>
      </c>
      <c r="AO20" s="38" t="s">
        <v>2772</v>
      </c>
      <c r="AP20" s="38" t="s">
        <v>2773</v>
      </c>
      <c r="AQ20" s="38" t="s">
        <v>2774</v>
      </c>
      <c r="CX20" s="38" t="s">
        <v>2775</v>
      </c>
      <c r="CY20" s="51" t="s">
        <v>2776</v>
      </c>
      <c r="CZ20">
        <v>19</v>
      </c>
    </row>
    <row r="21" ht="14.25" customHeight="1" spans="1:104">
      <c r="A21" s="39" t="s">
        <v>2777</v>
      </c>
      <c r="C21" s="30" t="s">
        <v>2178</v>
      </c>
      <c r="D21" s="42" t="s">
        <v>79</v>
      </c>
      <c r="E21" s="43" t="s">
        <v>2778</v>
      </c>
      <c r="F21">
        <v>0</v>
      </c>
      <c r="H21" s="30" t="s">
        <v>2178</v>
      </c>
      <c r="I21" s="30" t="s">
        <v>2184</v>
      </c>
      <c r="L21" s="46">
        <v>20</v>
      </c>
      <c r="M21" s="46">
        <v>133</v>
      </c>
      <c r="O21">
        <v>7</v>
      </c>
      <c r="P21">
        <v>38</v>
      </c>
      <c r="U21" s="30" t="s">
        <v>2779</v>
      </c>
      <c r="V21" s="30" t="s">
        <v>2278</v>
      </c>
      <c r="W21" s="30" t="s">
        <v>2187</v>
      </c>
      <c r="X21" s="30" t="s">
        <v>2488</v>
      </c>
      <c r="Y21" s="30" t="s">
        <v>2780</v>
      </c>
      <c r="Z21" s="30">
        <v>6</v>
      </c>
      <c r="AB21" s="30" t="s">
        <v>2781</v>
      </c>
      <c r="AC21" s="49" t="s">
        <v>2782</v>
      </c>
      <c r="AD21" s="30" t="s">
        <v>2282</v>
      </c>
      <c r="AE21" s="30">
        <v>5</v>
      </c>
      <c r="AG21" t="s">
        <v>2783</v>
      </c>
      <c r="AH21" s="38" t="s">
        <v>2784</v>
      </c>
      <c r="AI21" t="s">
        <v>2785</v>
      </c>
      <c r="AJ21" t="s">
        <v>2786</v>
      </c>
      <c r="AK21" t="s">
        <v>2787</v>
      </c>
      <c r="AL21" t="s">
        <v>2788</v>
      </c>
      <c r="AM21" s="38" t="s">
        <v>2789</v>
      </c>
      <c r="AN21" s="38" t="s">
        <v>2790</v>
      </c>
      <c r="AO21" s="38" t="s">
        <v>2791</v>
      </c>
      <c r="AP21" s="38" t="s">
        <v>2792</v>
      </c>
      <c r="AQ21" s="38" t="s">
        <v>2793</v>
      </c>
      <c r="CX21" s="38" t="s">
        <v>82</v>
      </c>
      <c r="CY21" s="51" t="s">
        <v>2794</v>
      </c>
      <c r="CZ21">
        <v>20</v>
      </c>
    </row>
    <row r="22" ht="14.25" customHeight="1" spans="1:104">
      <c r="A22" s="39" t="s">
        <v>2795</v>
      </c>
      <c r="C22" s="30" t="s">
        <v>47</v>
      </c>
      <c r="D22" s="42" t="s">
        <v>89</v>
      </c>
      <c r="E22" s="43" t="s">
        <v>2796</v>
      </c>
      <c r="F22" t="s">
        <v>234</v>
      </c>
      <c r="H22" s="30" t="s">
        <v>47</v>
      </c>
      <c r="I22" s="30" t="s">
        <v>2184</v>
      </c>
      <c r="M22">
        <f>VLOOKUP(K1,L1:M21,2,0)</f>
        <v>27</v>
      </c>
      <c r="O22">
        <v>8</v>
      </c>
      <c r="P22">
        <v>44</v>
      </c>
      <c r="U22" s="30" t="s">
        <v>2797</v>
      </c>
      <c r="V22" s="30" t="s">
        <v>2184</v>
      </c>
      <c r="W22" s="30" t="s">
        <v>2281</v>
      </c>
      <c r="X22" s="30" t="s">
        <v>2798</v>
      </c>
      <c r="Y22" s="30" t="s">
        <v>2662</v>
      </c>
      <c r="Z22" s="30">
        <v>3</v>
      </c>
      <c r="AB22" s="30" t="s">
        <v>2799</v>
      </c>
      <c r="AC22" s="49" t="s">
        <v>2800</v>
      </c>
      <c r="AD22" s="30" t="s">
        <v>2801</v>
      </c>
      <c r="AE22" s="30">
        <v>5</v>
      </c>
      <c r="AG22" t="s">
        <v>2802</v>
      </c>
      <c r="AH22" s="38" t="s">
        <v>2803</v>
      </c>
      <c r="AI22" t="s">
        <v>2804</v>
      </c>
      <c r="AJ22" t="s">
        <v>2805</v>
      </c>
      <c r="AK22" t="s">
        <v>2806</v>
      </c>
      <c r="AL22" t="s">
        <v>2807</v>
      </c>
      <c r="AM22" s="38" t="s">
        <v>2808</v>
      </c>
      <c r="AN22" s="38" t="s">
        <v>2809</v>
      </c>
      <c r="AO22" s="38" t="s">
        <v>2810</v>
      </c>
      <c r="AP22" s="38" t="s">
        <v>2811</v>
      </c>
      <c r="AQ22" s="38" t="s">
        <v>2812</v>
      </c>
      <c r="CX22" s="38" t="s">
        <v>2813</v>
      </c>
      <c r="CY22" s="51" t="s">
        <v>2814</v>
      </c>
      <c r="CZ22">
        <v>21</v>
      </c>
    </row>
    <row r="23" ht="14.25" customHeight="1" spans="1:104">
      <c r="A23" s="39" t="s">
        <v>2815</v>
      </c>
      <c r="C23" s="30" t="s">
        <v>273</v>
      </c>
      <c r="D23" s="42" t="s">
        <v>79</v>
      </c>
      <c r="E23" s="43" t="s">
        <v>2816</v>
      </c>
      <c r="F23">
        <f>主要情况!G14+INT(主要情况!W3/2)</f>
        <v>4</v>
      </c>
      <c r="H23" s="30" t="s">
        <v>273</v>
      </c>
      <c r="I23" s="30" t="s">
        <v>2184</v>
      </c>
      <c r="O23">
        <v>9</v>
      </c>
      <c r="P23">
        <v>57</v>
      </c>
      <c r="U23" s="30" t="s">
        <v>2817</v>
      </c>
      <c r="V23" s="30" t="s">
        <v>2743</v>
      </c>
      <c r="W23" s="30" t="s">
        <v>2161</v>
      </c>
      <c r="X23" s="30" t="s">
        <v>2488</v>
      </c>
      <c r="Y23" s="30" t="s">
        <v>2723</v>
      </c>
      <c r="Z23" s="30">
        <v>10</v>
      </c>
      <c r="AB23" s="30" t="s">
        <v>2818</v>
      </c>
      <c r="AC23" s="49" t="s">
        <v>132</v>
      </c>
      <c r="AD23" s="30" t="s">
        <v>2165</v>
      </c>
      <c r="AE23" s="30">
        <v>2</v>
      </c>
      <c r="AG23" t="s">
        <v>2819</v>
      </c>
      <c r="AH23" s="38" t="s">
        <v>2820</v>
      </c>
      <c r="AI23" t="s">
        <v>2821</v>
      </c>
      <c r="AJ23" t="s">
        <v>2822</v>
      </c>
      <c r="AK23" t="s">
        <v>2823</v>
      </c>
      <c r="AL23" t="s">
        <v>2824</v>
      </c>
      <c r="AM23" s="38" t="s">
        <v>2825</v>
      </c>
      <c r="AN23" s="38" t="s">
        <v>2826</v>
      </c>
      <c r="AO23" s="38" t="s">
        <v>2827</v>
      </c>
      <c r="AP23" s="38" t="s">
        <v>2828</v>
      </c>
      <c r="AQ23" s="38" t="s">
        <v>2829</v>
      </c>
      <c r="CX23" s="38" t="s">
        <v>2830</v>
      </c>
      <c r="CY23" s="51" t="s">
        <v>2831</v>
      </c>
      <c r="CZ23">
        <v>22</v>
      </c>
    </row>
    <row r="24" ht="14.25" customHeight="1" spans="1:104">
      <c r="A24" s="39" t="s">
        <v>2832</v>
      </c>
      <c r="C24" s="30" t="s">
        <v>2179</v>
      </c>
      <c r="D24" s="42" t="s">
        <v>79</v>
      </c>
      <c r="E24" s="43" t="s">
        <v>2833</v>
      </c>
      <c r="F24">
        <v>0</v>
      </c>
      <c r="H24" s="30" t="s">
        <v>2179</v>
      </c>
      <c r="I24" s="30" t="s">
        <v>2231</v>
      </c>
      <c r="O24">
        <v>10</v>
      </c>
      <c r="P24">
        <v>64</v>
      </c>
      <c r="U24" s="30" t="s">
        <v>2834</v>
      </c>
      <c r="V24" s="30" t="s">
        <v>2184</v>
      </c>
      <c r="W24" s="30" t="s">
        <v>2187</v>
      </c>
      <c r="X24" s="30" t="s">
        <v>2798</v>
      </c>
      <c r="Y24" s="30" t="s">
        <v>132</v>
      </c>
      <c r="Z24" s="30">
        <v>4</v>
      </c>
      <c r="AB24" s="30" t="s">
        <v>2835</v>
      </c>
      <c r="AC24" s="49" t="s">
        <v>132</v>
      </c>
      <c r="AD24" s="30" t="s">
        <v>2836</v>
      </c>
      <c r="AE24" s="30">
        <v>2</v>
      </c>
      <c r="AG24" t="s">
        <v>2837</v>
      </c>
      <c r="AH24" s="38" t="s">
        <v>2838</v>
      </c>
      <c r="AI24" t="s">
        <v>2839</v>
      </c>
      <c r="AJ24" t="s">
        <v>2840</v>
      </c>
      <c r="AK24" t="s">
        <v>2841</v>
      </c>
      <c r="AL24" t="s">
        <v>2842</v>
      </c>
      <c r="AM24" s="38" t="s">
        <v>2843</v>
      </c>
      <c r="AN24" s="38" t="s">
        <v>2844</v>
      </c>
      <c r="AO24" s="38" t="s">
        <v>2845</v>
      </c>
      <c r="AP24" s="38" t="s">
        <v>2846</v>
      </c>
      <c r="AQ24" s="38" t="s">
        <v>2847</v>
      </c>
      <c r="CX24" s="38" t="s">
        <v>2848</v>
      </c>
      <c r="CY24" s="51" t="s">
        <v>2849</v>
      </c>
      <c r="CZ24">
        <v>23</v>
      </c>
    </row>
    <row r="25" ht="14.25" customHeight="1" spans="1:104">
      <c r="A25" s="39" t="s">
        <v>2850</v>
      </c>
      <c r="C25" s="30" t="s">
        <v>269</v>
      </c>
      <c r="D25" s="42" t="s">
        <v>89</v>
      </c>
      <c r="E25" s="43" t="s">
        <v>2851</v>
      </c>
      <c r="F25">
        <f>主要情况!G18+INT(主要情况!W3/2)</f>
        <v>5</v>
      </c>
      <c r="H25" s="30" t="s">
        <v>269</v>
      </c>
      <c r="I25" s="30" t="s">
        <v>2231</v>
      </c>
      <c r="O25">
        <v>11</v>
      </c>
      <c r="P25">
        <v>73</v>
      </c>
      <c r="U25" s="30" t="s">
        <v>2852</v>
      </c>
      <c r="V25" s="30" t="s">
        <v>2231</v>
      </c>
      <c r="W25" s="30" t="s">
        <v>2187</v>
      </c>
      <c r="X25" s="30" t="s">
        <v>2282</v>
      </c>
      <c r="Y25" s="30" t="s">
        <v>2701</v>
      </c>
      <c r="Z25" s="30">
        <v>18</v>
      </c>
      <c r="AB25" s="30" t="s">
        <v>2853</v>
      </c>
      <c r="AC25" s="49" t="s">
        <v>2854</v>
      </c>
      <c r="AD25" s="30" t="s">
        <v>2285</v>
      </c>
      <c r="AE25" s="30">
        <v>2</v>
      </c>
      <c r="AG25" t="s">
        <v>2855</v>
      </c>
      <c r="AH25" s="38" t="s">
        <v>2856</v>
      </c>
      <c r="AI25" t="s">
        <v>2857</v>
      </c>
      <c r="AJ25" t="s">
        <v>2858</v>
      </c>
      <c r="AK25" t="s">
        <v>2859</v>
      </c>
      <c r="AL25" t="s">
        <v>2860</v>
      </c>
      <c r="AM25" s="38" t="s">
        <v>2861</v>
      </c>
      <c r="AN25" s="38" t="s">
        <v>2862</v>
      </c>
      <c r="AO25" s="38" t="s">
        <v>2863</v>
      </c>
      <c r="AP25" s="38" t="s">
        <v>2864</v>
      </c>
      <c r="AQ25" s="38" t="s">
        <v>2865</v>
      </c>
      <c r="CX25" s="38" t="s">
        <v>2866</v>
      </c>
      <c r="CY25" s="51" t="s">
        <v>2867</v>
      </c>
      <c r="CZ25">
        <v>24</v>
      </c>
    </row>
    <row r="26" ht="14.25" customHeight="1" spans="1:104">
      <c r="A26" s="39" t="s">
        <v>2868</v>
      </c>
      <c r="C26" s="30" t="s">
        <v>270</v>
      </c>
      <c r="D26" s="42" t="s">
        <v>83</v>
      </c>
      <c r="E26" s="43" t="s">
        <v>2869</v>
      </c>
      <c r="F26" t="s">
        <v>234</v>
      </c>
      <c r="H26" s="30" t="s">
        <v>270</v>
      </c>
      <c r="I26" s="30" t="s">
        <v>2231</v>
      </c>
      <c r="O26">
        <v>12</v>
      </c>
      <c r="P26">
        <v>73</v>
      </c>
      <c r="U26" s="30" t="s">
        <v>2870</v>
      </c>
      <c r="V26" s="30" t="s">
        <v>2184</v>
      </c>
      <c r="W26" s="30" t="s">
        <v>2187</v>
      </c>
      <c r="X26" s="30" t="s">
        <v>2191</v>
      </c>
      <c r="Y26" s="30" t="s">
        <v>2871</v>
      </c>
      <c r="Z26" s="30">
        <v>2</v>
      </c>
      <c r="AB26" s="30" t="s">
        <v>2872</v>
      </c>
      <c r="AC26" s="49" t="s">
        <v>2873</v>
      </c>
      <c r="AD26" s="30" t="s">
        <v>2874</v>
      </c>
      <c r="AE26" s="30">
        <v>0</v>
      </c>
      <c r="AG26" t="s">
        <v>2875</v>
      </c>
      <c r="AH26" s="38" t="s">
        <v>2876</v>
      </c>
      <c r="AI26" t="s">
        <v>2877</v>
      </c>
      <c r="AJ26" t="s">
        <v>2878</v>
      </c>
      <c r="AK26" t="s">
        <v>2879</v>
      </c>
      <c r="AL26" t="s">
        <v>2880</v>
      </c>
      <c r="AM26" s="38" t="s">
        <v>2881</v>
      </c>
      <c r="AN26" s="38" t="s">
        <v>2882</v>
      </c>
      <c r="AO26" s="38" t="s">
        <v>2883</v>
      </c>
      <c r="AP26" s="38" t="s">
        <v>2884</v>
      </c>
      <c r="AQ26" s="38" t="s">
        <v>2885</v>
      </c>
      <c r="CX26" s="38" t="s">
        <v>2886</v>
      </c>
      <c r="CY26" s="51" t="s">
        <v>2887</v>
      </c>
      <c r="CZ26">
        <v>25</v>
      </c>
    </row>
    <row r="27" ht="14.25" customHeight="1" spans="1:104">
      <c r="A27" s="39" t="s">
        <v>2888</v>
      </c>
      <c r="C27" s="30" t="s">
        <v>2180</v>
      </c>
      <c r="D27" s="42" t="s">
        <v>72</v>
      </c>
      <c r="E27" s="43" t="s">
        <v>2889</v>
      </c>
      <c r="F27">
        <v>0</v>
      </c>
      <c r="H27" s="30" t="s">
        <v>2180</v>
      </c>
      <c r="I27" s="30" t="s">
        <v>2278</v>
      </c>
      <c r="O27">
        <v>13</v>
      </c>
      <c r="P27">
        <v>83</v>
      </c>
      <c r="U27" s="30" t="s">
        <v>2890</v>
      </c>
      <c r="V27" s="30" t="s">
        <v>2158</v>
      </c>
      <c r="W27" s="30" t="s">
        <v>2281</v>
      </c>
      <c r="X27" s="30" t="s">
        <v>2191</v>
      </c>
      <c r="Y27" s="30" t="s">
        <v>2891</v>
      </c>
      <c r="Z27" s="30">
        <v>3</v>
      </c>
      <c r="AB27" s="30" t="s">
        <v>2892</v>
      </c>
      <c r="AC27" s="49" t="s">
        <v>2893</v>
      </c>
      <c r="AD27" s="30" t="s">
        <v>2285</v>
      </c>
      <c r="AE27" s="30">
        <v>1</v>
      </c>
      <c r="AG27" t="s">
        <v>2894</v>
      </c>
      <c r="AH27" s="38" t="s">
        <v>2895</v>
      </c>
      <c r="AI27" t="s">
        <v>2896</v>
      </c>
      <c r="AJ27" t="s">
        <v>2897</v>
      </c>
      <c r="AK27" t="s">
        <v>2898</v>
      </c>
      <c r="AL27" t="s">
        <v>2899</v>
      </c>
      <c r="AM27" s="38" t="s">
        <v>2900</v>
      </c>
      <c r="AN27" s="38" t="s">
        <v>2901</v>
      </c>
      <c r="AO27" s="38" t="s">
        <v>2902</v>
      </c>
      <c r="AP27" s="38" t="s">
        <v>2903</v>
      </c>
      <c r="AQ27" s="38" t="s">
        <v>2904</v>
      </c>
      <c r="CX27" s="38" t="s">
        <v>2905</v>
      </c>
      <c r="CY27" s="51" t="s">
        <v>2906</v>
      </c>
      <c r="CZ27">
        <v>26</v>
      </c>
    </row>
    <row r="28" ht="14.25" customHeight="1" spans="1:104">
      <c r="A28" s="39" t="s">
        <v>2907</v>
      </c>
      <c r="D28" t="str">
        <f>VLOOKUP(B15,C15:D27,2,0)</f>
        <v>魅力</v>
      </c>
      <c r="E28" s="38" t="str">
        <f>VLOOKUP(B15,C15:E27,3,0)</f>
        <v>豁免：感知，魅力
技能：从奥秘、欺瞒、威吓、洞悉、历史、自然、宗教中选择两项
•（a）一把轻弩和 20 支弩矢或（b）任意一把简易武器
•（a）一个材料包或（b）一件奥术法器
•（a）一个学者套装或（b）一个地城套装
• 皮甲、任意简易武器和两把匕首</v>
      </c>
      <c r="F28" t="str">
        <f>VLOOKUP(B15,C15:F27,4,0)</f>
        <v>∞</v>
      </c>
      <c r="H28" s="44">
        <v>0</v>
      </c>
      <c r="I28" s="44">
        <v>0</v>
      </c>
      <c r="O28">
        <v>14</v>
      </c>
      <c r="P28">
        <v>83</v>
      </c>
      <c r="U28" s="30" t="s">
        <v>2908</v>
      </c>
      <c r="V28" s="30" t="s">
        <v>2158</v>
      </c>
      <c r="W28" s="30" t="s">
        <v>2187</v>
      </c>
      <c r="X28" s="30" t="s">
        <v>2488</v>
      </c>
      <c r="Y28" s="30" t="s">
        <v>2891</v>
      </c>
      <c r="Z28" s="30">
        <v>2</v>
      </c>
      <c r="AB28" s="30" t="s">
        <v>2909</v>
      </c>
      <c r="AC28" s="49" t="s">
        <v>2910</v>
      </c>
      <c r="AD28" s="30" t="s">
        <v>2285</v>
      </c>
      <c r="AE28" s="30">
        <v>1</v>
      </c>
      <c r="AG28" t="s">
        <v>2911</v>
      </c>
      <c r="AH28" s="38" t="s">
        <v>2912</v>
      </c>
      <c r="AI28" t="s">
        <v>2913</v>
      </c>
      <c r="AJ28" t="s">
        <v>2914</v>
      </c>
      <c r="AK28" t="s">
        <v>2915</v>
      </c>
      <c r="AL28" t="s">
        <v>2916</v>
      </c>
      <c r="AM28" s="38" t="s">
        <v>2917</v>
      </c>
      <c r="AN28" s="38" t="s">
        <v>2918</v>
      </c>
      <c r="AO28" s="38" t="s">
        <v>2919</v>
      </c>
      <c r="AP28" s="38" t="s">
        <v>2920</v>
      </c>
      <c r="AQ28" s="38" t="s">
        <v>2921</v>
      </c>
      <c r="CX28" s="38" t="s">
        <v>2922</v>
      </c>
      <c r="CY28" s="51" t="s">
        <v>2923</v>
      </c>
      <c r="CZ28">
        <v>27</v>
      </c>
    </row>
    <row r="29" ht="14.25" customHeight="1" spans="1:104">
      <c r="A29" s="39" t="s">
        <v>2924</v>
      </c>
      <c r="H29">
        <f>VLOOKUP(G15,H15:I28,2,0)</f>
        <v>0</v>
      </c>
      <c r="I29">
        <f>VLOOKUP(G16,H15:I28,2,0)</f>
        <v>0</v>
      </c>
      <c r="O29">
        <v>15</v>
      </c>
      <c r="P29">
        <v>94</v>
      </c>
      <c r="U29" s="30" t="s">
        <v>2925</v>
      </c>
      <c r="V29" s="30" t="s">
        <v>2158</v>
      </c>
      <c r="W29" s="30" t="s">
        <v>2187</v>
      </c>
      <c r="X29" s="30" t="s">
        <v>2282</v>
      </c>
      <c r="Y29" s="30" t="s">
        <v>2516</v>
      </c>
      <c r="Z29" s="30">
        <v>4</v>
      </c>
      <c r="AB29" s="30" t="s">
        <v>2926</v>
      </c>
      <c r="AC29" s="49" t="s">
        <v>2927</v>
      </c>
      <c r="AD29" s="30" t="s">
        <v>2282</v>
      </c>
      <c r="AE29" s="30">
        <v>10</v>
      </c>
      <c r="AG29" t="s">
        <v>2928</v>
      </c>
      <c r="AH29" s="38" t="s">
        <v>2929</v>
      </c>
      <c r="AI29" t="s">
        <v>2930</v>
      </c>
      <c r="AJ29" t="s">
        <v>2931</v>
      </c>
      <c r="AK29" t="s">
        <v>2932</v>
      </c>
      <c r="AL29" t="s">
        <v>2933</v>
      </c>
      <c r="AM29" s="38" t="s">
        <v>2934</v>
      </c>
      <c r="AN29" s="38" t="s">
        <v>2935</v>
      </c>
      <c r="AO29" s="38" t="s">
        <v>2936</v>
      </c>
      <c r="AP29" s="38" t="s">
        <v>2937</v>
      </c>
      <c r="AQ29" s="38" t="s">
        <v>2938</v>
      </c>
      <c r="CX29" s="38" t="s">
        <v>2939</v>
      </c>
      <c r="CY29" s="51" t="s">
        <v>2940</v>
      </c>
      <c r="CZ29">
        <v>28</v>
      </c>
    </row>
    <row r="30" spans="1:104">
      <c r="A30" s="39" t="s">
        <v>2941</v>
      </c>
      <c r="B30" t="str">
        <f>主要情况!S3</f>
        <v>邪术师</v>
      </c>
      <c r="C30" s="30" t="s">
        <v>272</v>
      </c>
      <c r="D30" s="38" t="s">
        <v>2942</v>
      </c>
      <c r="E30" s="38" t="s">
        <v>2943</v>
      </c>
      <c r="F30" s="38" t="s">
        <v>2942</v>
      </c>
      <c r="G30" s="38" t="s">
        <v>2944</v>
      </c>
      <c r="H30" s="38" t="s">
        <v>2943</v>
      </c>
      <c r="I30" s="38" t="s">
        <v>2945</v>
      </c>
      <c r="O30">
        <v>16</v>
      </c>
      <c r="P30">
        <v>94</v>
      </c>
      <c r="U30" s="30" t="s">
        <v>2946</v>
      </c>
      <c r="V30" s="30" t="s">
        <v>2184</v>
      </c>
      <c r="W30" s="30" t="s">
        <v>2187</v>
      </c>
      <c r="X30" s="30" t="s">
        <v>2282</v>
      </c>
      <c r="Y30" s="30" t="s">
        <v>132</v>
      </c>
      <c r="Z30" s="30">
        <v>2</v>
      </c>
      <c r="AB30" s="30" t="s">
        <v>2947</v>
      </c>
      <c r="AC30" s="49" t="s">
        <v>132</v>
      </c>
      <c r="AD30" s="30" t="s">
        <v>2874</v>
      </c>
      <c r="AE30" s="30">
        <v>0</v>
      </c>
      <c r="AG30" t="s">
        <v>2948</v>
      </c>
      <c r="AH30" s="38" t="s">
        <v>2949</v>
      </c>
      <c r="AI30" t="s">
        <v>2950</v>
      </c>
      <c r="AJ30" t="s">
        <v>2951</v>
      </c>
      <c r="AK30" t="s">
        <v>2952</v>
      </c>
      <c r="AL30" t="s">
        <v>2953</v>
      </c>
      <c r="AM30" s="38" t="s">
        <v>2954</v>
      </c>
      <c r="AN30" s="38" t="s">
        <v>2955</v>
      </c>
      <c r="AO30" s="38" t="s">
        <v>2956</v>
      </c>
      <c r="AP30" s="38" t="s">
        <v>2957</v>
      </c>
      <c r="AQ30" s="38" t="s">
        <v>2958</v>
      </c>
      <c r="CX30" s="38" t="s">
        <v>2959</v>
      </c>
      <c r="CY30" s="51" t="s">
        <v>2960</v>
      </c>
      <c r="CZ30">
        <v>29</v>
      </c>
    </row>
    <row r="31" spans="1:104">
      <c r="A31" s="39" t="s">
        <v>2961</v>
      </c>
      <c r="C31" s="30" t="s">
        <v>271</v>
      </c>
      <c r="D31" s="38" t="s">
        <v>2962</v>
      </c>
      <c r="E31" s="38" t="s">
        <v>2963</v>
      </c>
      <c r="F31" s="38" t="s">
        <v>2962</v>
      </c>
      <c r="G31" s="38" t="s">
        <v>2944</v>
      </c>
      <c r="H31" s="38" t="s">
        <v>2963</v>
      </c>
      <c r="I31" s="38" t="s">
        <v>2945</v>
      </c>
      <c r="M31" s="38"/>
      <c r="O31">
        <v>17</v>
      </c>
      <c r="P31">
        <v>107</v>
      </c>
      <c r="U31" s="30" t="s">
        <v>2964</v>
      </c>
      <c r="V31" s="30" t="s">
        <v>2184</v>
      </c>
      <c r="W31" s="30" t="s">
        <v>2161</v>
      </c>
      <c r="X31" s="30" t="s">
        <v>2798</v>
      </c>
      <c r="Y31" s="30" t="s">
        <v>2662</v>
      </c>
      <c r="Z31" s="30">
        <v>2</v>
      </c>
      <c r="AB31" s="30" t="s">
        <v>2965</v>
      </c>
      <c r="AC31" s="49" t="s">
        <v>132</v>
      </c>
      <c r="AD31" s="30" t="s">
        <v>2282</v>
      </c>
      <c r="AE31" s="30">
        <v>25</v>
      </c>
      <c r="AG31" t="s">
        <v>2966</v>
      </c>
      <c r="AH31" s="38" t="s">
        <v>2967</v>
      </c>
      <c r="AI31" t="s">
        <v>2968</v>
      </c>
      <c r="AJ31" t="s">
        <v>2969</v>
      </c>
      <c r="AK31" t="s">
        <v>2970</v>
      </c>
      <c r="AL31" t="s">
        <v>2971</v>
      </c>
      <c r="AM31" s="38" t="s">
        <v>2972</v>
      </c>
      <c r="AN31" s="38" t="s">
        <v>2973</v>
      </c>
      <c r="AO31" s="38" t="s">
        <v>2974</v>
      </c>
      <c r="AP31" s="38" t="s">
        <v>2975</v>
      </c>
      <c r="AQ31" s="38" t="s">
        <v>2976</v>
      </c>
      <c r="CX31" s="38" t="s">
        <v>2977</v>
      </c>
      <c r="CY31" s="51" t="s">
        <v>2978</v>
      </c>
      <c r="CZ31">
        <v>30</v>
      </c>
    </row>
    <row r="32" spans="1:104">
      <c r="A32" s="39" t="s">
        <v>2979</v>
      </c>
      <c r="C32" s="30" t="s">
        <v>266</v>
      </c>
      <c r="D32" s="38" t="s">
        <v>2980</v>
      </c>
      <c r="E32" s="38" t="s">
        <v>2981</v>
      </c>
      <c r="F32" s="38" t="s">
        <v>2980</v>
      </c>
      <c r="G32" s="38" t="s">
        <v>2982</v>
      </c>
      <c r="H32" s="38" t="s">
        <v>2981</v>
      </c>
      <c r="I32" s="38" t="s">
        <v>107</v>
      </c>
      <c r="M32" s="38"/>
      <c r="O32">
        <v>18</v>
      </c>
      <c r="P32">
        <v>114</v>
      </c>
      <c r="U32" s="30" t="s">
        <v>2983</v>
      </c>
      <c r="V32" s="30" t="s">
        <v>2160</v>
      </c>
      <c r="W32" s="30" t="s">
        <v>2281</v>
      </c>
      <c r="X32" s="30" t="s">
        <v>2165</v>
      </c>
      <c r="Y32" s="30" t="s">
        <v>2984</v>
      </c>
      <c r="Z32" s="30">
        <v>3</v>
      </c>
      <c r="AB32" s="30" t="s">
        <v>2985</v>
      </c>
      <c r="AC32" s="49" t="s">
        <v>2986</v>
      </c>
      <c r="AD32" s="30" t="s">
        <v>2191</v>
      </c>
      <c r="AE32" s="30">
        <v>12</v>
      </c>
      <c r="AG32" t="s">
        <v>2987</v>
      </c>
      <c r="AH32" s="38" t="s">
        <v>2988</v>
      </c>
      <c r="AI32" t="s">
        <v>2989</v>
      </c>
      <c r="AJ32" t="s">
        <v>2990</v>
      </c>
      <c r="AK32" t="s">
        <v>2991</v>
      </c>
      <c r="AL32" t="s">
        <v>2992</v>
      </c>
      <c r="AM32" s="38" t="s">
        <v>2993</v>
      </c>
      <c r="AN32" s="38" t="s">
        <v>2994</v>
      </c>
      <c r="AO32" s="38" t="s">
        <v>2995</v>
      </c>
      <c r="AP32" s="38" t="s">
        <v>2996</v>
      </c>
      <c r="AQ32" s="38" t="s">
        <v>2997</v>
      </c>
      <c r="CX32" s="38" t="s">
        <v>2998</v>
      </c>
      <c r="CY32" s="51" t="s">
        <v>2999</v>
      </c>
      <c r="CZ32">
        <v>31</v>
      </c>
    </row>
    <row r="33" spans="1:104">
      <c r="A33" s="39" t="s">
        <v>3000</v>
      </c>
      <c r="C33" s="30" t="s">
        <v>267</v>
      </c>
      <c r="D33" s="38" t="s">
        <v>3001</v>
      </c>
      <c r="E33" s="38" t="s">
        <v>3002</v>
      </c>
      <c r="F33" s="38" t="s">
        <v>3001</v>
      </c>
      <c r="G33" s="38" t="s">
        <v>3003</v>
      </c>
      <c r="H33" s="38" t="s">
        <v>3002</v>
      </c>
      <c r="I33" s="38" t="s">
        <v>3004</v>
      </c>
      <c r="M33" s="38"/>
      <c r="O33">
        <v>19</v>
      </c>
      <c r="P33">
        <v>123</v>
      </c>
      <c r="U33" s="30" t="s">
        <v>3005</v>
      </c>
      <c r="V33" s="30">
        <v>1</v>
      </c>
      <c r="W33" s="30" t="s">
        <v>2187</v>
      </c>
      <c r="X33" s="30" t="s">
        <v>2488</v>
      </c>
      <c r="Y33" s="30" t="s">
        <v>3006</v>
      </c>
      <c r="Z33" s="30">
        <v>1</v>
      </c>
      <c r="AB33" s="30" t="s">
        <v>3007</v>
      </c>
      <c r="AC33" s="49" t="s">
        <v>132</v>
      </c>
      <c r="AD33" s="30" t="s">
        <v>2764</v>
      </c>
      <c r="AE33" s="30">
        <v>3</v>
      </c>
      <c r="AG33">
        <v>0</v>
      </c>
      <c r="AH33" s="38" t="s">
        <v>3008</v>
      </c>
      <c r="AM33" s="38"/>
      <c r="CX33" s="38" t="s">
        <v>3009</v>
      </c>
      <c r="CY33" s="38" t="s">
        <v>3010</v>
      </c>
      <c r="CZ33">
        <v>32</v>
      </c>
    </row>
    <row r="34" spans="2:104">
      <c r="B34" s="45"/>
      <c r="C34" s="30" t="s">
        <v>268</v>
      </c>
      <c r="D34" s="38" t="s">
        <v>3011</v>
      </c>
      <c r="E34" s="38" t="s">
        <v>3012</v>
      </c>
      <c r="F34" s="38" t="s">
        <v>3011</v>
      </c>
      <c r="G34" s="38" t="s">
        <v>3013</v>
      </c>
      <c r="H34" s="38" t="s">
        <v>3012</v>
      </c>
      <c r="I34" s="38" t="s">
        <v>3014</v>
      </c>
      <c r="M34" s="38"/>
      <c r="O34">
        <v>20</v>
      </c>
      <c r="P34">
        <v>133</v>
      </c>
      <c r="U34" s="30" t="s">
        <v>3015</v>
      </c>
      <c r="V34" s="30" t="s">
        <v>2158</v>
      </c>
      <c r="W34" s="30" t="s">
        <v>2187</v>
      </c>
      <c r="X34" s="30" t="s">
        <v>3016</v>
      </c>
      <c r="Y34" s="30" t="s">
        <v>3017</v>
      </c>
      <c r="Z34" s="30">
        <v>3</v>
      </c>
      <c r="AB34" s="30" t="s">
        <v>3018</v>
      </c>
      <c r="AC34" s="49" t="s">
        <v>132</v>
      </c>
      <c r="AD34" s="30" t="s">
        <v>2282</v>
      </c>
      <c r="AE34" s="30">
        <v>4</v>
      </c>
      <c r="AH34" s="38" t="e">
        <f>VLOOKUP(AF1,AG1:AH33,2,0)</f>
        <v>#N/A</v>
      </c>
      <c r="AI34" t="e">
        <f>VLOOKUP(AF1,AG1:AI33,3,0)</f>
        <v>#N/A</v>
      </c>
      <c r="AJ34" t="e">
        <f>VLOOKUP(AF1,AG1:AJ33,4,0)</f>
        <v>#N/A</v>
      </c>
      <c r="AK34" t="e">
        <f>VLOOKUP(AF1,AG1:AK33,5,0)</f>
        <v>#N/A</v>
      </c>
      <c r="AL34" t="e">
        <f>VLOOKUP(AF1,AG1:AL33,6,0)</f>
        <v>#N/A</v>
      </c>
      <c r="AM34" s="38" t="e">
        <f>VLOOKUP(AF1,AG1:AM33,7,0)</f>
        <v>#N/A</v>
      </c>
      <c r="AN34" s="38" t="e">
        <f>VLOOKUP(AF1,AG1:AN33,8,0)</f>
        <v>#N/A</v>
      </c>
      <c r="AO34" s="38" t="e">
        <f>VLOOKUP(AF1,AG1:AO33,9,0)</f>
        <v>#N/A</v>
      </c>
      <c r="AP34" s="38" t="e">
        <f>VLOOKUP(AF1,AG1:AP33,10,0)</f>
        <v>#N/A</v>
      </c>
      <c r="AQ34" t="e">
        <f>VLOOKUP(AF1,AG1:AQ33,11,0)</f>
        <v>#N/A</v>
      </c>
      <c r="CX34" s="38" t="s">
        <v>3019</v>
      </c>
      <c r="CY34" s="51" t="s">
        <v>3020</v>
      </c>
      <c r="CZ34">
        <v>33</v>
      </c>
    </row>
    <row r="35" spans="2:104">
      <c r="B35" s="45"/>
      <c r="C35" s="30" t="s">
        <v>2177</v>
      </c>
      <c r="D35" s="38" t="s">
        <v>3021</v>
      </c>
      <c r="E35" s="38" t="s">
        <v>3022</v>
      </c>
      <c r="F35" s="38" t="s">
        <v>3021</v>
      </c>
      <c r="G35" s="38" t="s">
        <v>3023</v>
      </c>
      <c r="H35" s="38" t="s">
        <v>3022</v>
      </c>
      <c r="I35" s="38" t="s">
        <v>2945</v>
      </c>
      <c r="M35" s="38"/>
      <c r="N35" t="s">
        <v>3024</v>
      </c>
      <c r="P35">
        <f>VLOOKUP(N15,O15:P34,2,0)</f>
        <v>27</v>
      </c>
      <c r="U35" s="30" t="s">
        <v>3025</v>
      </c>
      <c r="V35" s="30" t="s">
        <v>2231</v>
      </c>
      <c r="W35" s="30" t="s">
        <v>2187</v>
      </c>
      <c r="X35" s="30" t="s">
        <v>2237</v>
      </c>
      <c r="Y35" s="30" t="s">
        <v>3026</v>
      </c>
      <c r="Z35" s="30">
        <v>18</v>
      </c>
      <c r="AB35" s="30" t="s">
        <v>3027</v>
      </c>
      <c r="AC35" s="49" t="s">
        <v>132</v>
      </c>
      <c r="AD35" s="30" t="s">
        <v>2798</v>
      </c>
      <c r="AE35" s="30">
        <v>6</v>
      </c>
      <c r="AH35" s="38" t="s">
        <v>2171</v>
      </c>
      <c r="AI35" s="38" t="s">
        <v>2197</v>
      </c>
      <c r="AJ35" s="38" t="s">
        <v>2243</v>
      </c>
      <c r="AK35" s="38" t="s">
        <v>2290</v>
      </c>
      <c r="AL35" s="38" t="s">
        <v>2333</v>
      </c>
      <c r="AM35" s="38" t="s">
        <v>2375</v>
      </c>
      <c r="AN35" s="38" t="s">
        <v>2419</v>
      </c>
      <c r="AO35" s="38" t="s">
        <v>2459</v>
      </c>
      <c r="AP35" s="38" t="s">
        <v>2493</v>
      </c>
      <c r="AQ35" s="38" t="s">
        <v>2524</v>
      </c>
      <c r="AR35" s="38" t="s">
        <v>2556</v>
      </c>
      <c r="AS35" s="38" t="s">
        <v>2587</v>
      </c>
      <c r="AT35" s="38" t="s">
        <v>2617</v>
      </c>
      <c r="AU35" s="38" t="s">
        <v>2647</v>
      </c>
      <c r="AV35" s="38" t="s">
        <v>2670</v>
      </c>
      <c r="AW35" s="38" t="s">
        <v>2688</v>
      </c>
      <c r="AX35" s="38" t="s">
        <v>2709</v>
      </c>
      <c r="AY35" s="38" t="s">
        <v>2730</v>
      </c>
      <c r="AZ35" s="38" t="s">
        <v>2750</v>
      </c>
      <c r="BA35" s="38" t="s">
        <v>2769</v>
      </c>
      <c r="BB35" s="38" t="s">
        <v>2788</v>
      </c>
      <c r="BC35" s="38" t="s">
        <v>2807</v>
      </c>
      <c r="BD35" s="38" t="s">
        <v>2824</v>
      </c>
      <c r="BE35" s="38" t="s">
        <v>2842</v>
      </c>
      <c r="BF35" s="38" t="s">
        <v>2860</v>
      </c>
      <c r="BG35" s="38" t="s">
        <v>2880</v>
      </c>
      <c r="BH35" s="38" t="s">
        <v>2899</v>
      </c>
      <c r="BI35" s="38" t="s">
        <v>2916</v>
      </c>
      <c r="BJ35" s="38" t="s">
        <v>2933</v>
      </c>
      <c r="BK35" s="38" t="s">
        <v>2953</v>
      </c>
      <c r="BL35" s="38" t="s">
        <v>2971</v>
      </c>
      <c r="BM35" s="38" t="s">
        <v>2992</v>
      </c>
      <c r="BN35" t="str">
        <f>角色!E8</f>
        <v>高等</v>
      </c>
      <c r="BO35" s="52" t="s">
        <v>2157</v>
      </c>
      <c r="BP35" s="52" t="s">
        <v>3028</v>
      </c>
      <c r="BQ35" t="s">
        <v>3029</v>
      </c>
      <c r="BR35" s="53" t="s">
        <v>2157</v>
      </c>
      <c r="BS35" s="54" t="s">
        <v>2157</v>
      </c>
      <c r="BT35" s="3" t="s">
        <v>3030</v>
      </c>
      <c r="BU35" s="3" t="s">
        <v>3031</v>
      </c>
      <c r="BV35" s="3" t="s">
        <v>3032</v>
      </c>
      <c r="BW35" s="3" t="s">
        <v>3033</v>
      </c>
      <c r="BX35" s="3" t="s">
        <v>3034</v>
      </c>
      <c r="BY35" s="3" t="s">
        <v>3035</v>
      </c>
      <c r="BZ35" s="3"/>
      <c r="CA35" s="3"/>
      <c r="CB35" s="3"/>
      <c r="CC35" s="3"/>
      <c r="CD35" s="3"/>
      <c r="CX35" s="38" t="s">
        <v>3036</v>
      </c>
      <c r="CY35" s="51" t="s">
        <v>3037</v>
      </c>
      <c r="CZ35">
        <v>34</v>
      </c>
    </row>
    <row r="36" ht="14.25" customHeight="1" spans="2:104">
      <c r="B36" s="45"/>
      <c r="C36" s="30" t="s">
        <v>2178</v>
      </c>
      <c r="D36" s="38" t="s">
        <v>3038</v>
      </c>
      <c r="E36" s="38" t="s">
        <v>3039</v>
      </c>
      <c r="F36" s="38" t="s">
        <v>3038</v>
      </c>
      <c r="G36" s="38" t="s">
        <v>2982</v>
      </c>
      <c r="H36" s="38" t="s">
        <v>3039</v>
      </c>
      <c r="I36" s="38" t="s">
        <v>107</v>
      </c>
      <c r="M36" s="38"/>
      <c r="N36">
        <f>主要情况!W3</f>
        <v>5</v>
      </c>
      <c r="O36">
        <v>1</v>
      </c>
      <c r="P36">
        <v>0</v>
      </c>
      <c r="Q36" t="s">
        <v>3040</v>
      </c>
      <c r="U36" s="30" t="s">
        <v>3041</v>
      </c>
      <c r="V36" s="30" t="s">
        <v>2184</v>
      </c>
      <c r="W36" s="30" t="s">
        <v>2187</v>
      </c>
      <c r="X36" s="30" t="s">
        <v>2237</v>
      </c>
      <c r="Y36" s="30" t="s">
        <v>3042</v>
      </c>
      <c r="Z36" s="30">
        <v>2</v>
      </c>
      <c r="AB36" s="30" t="s">
        <v>3043</v>
      </c>
      <c r="AC36" s="49" t="s">
        <v>132</v>
      </c>
      <c r="AD36" s="30" t="s">
        <v>2165</v>
      </c>
      <c r="AE36" s="30">
        <v>4</v>
      </c>
      <c r="AH36" s="38" t="s">
        <v>3044</v>
      </c>
      <c r="AI36" s="51" t="s">
        <v>3045</v>
      </c>
      <c r="AJ36" s="51" t="s">
        <v>3046</v>
      </c>
      <c r="AK36" s="51" t="s">
        <v>3046</v>
      </c>
      <c r="AL36" s="51" t="s">
        <v>3047</v>
      </c>
      <c r="AM36" s="51" t="s">
        <v>3047</v>
      </c>
      <c r="AN36" s="38" t="s">
        <v>3048</v>
      </c>
      <c r="AO36" s="51" t="s">
        <v>3049</v>
      </c>
      <c r="AP36" s="51" t="s">
        <v>3049</v>
      </c>
      <c r="AQ36" s="51" t="s">
        <v>3050</v>
      </c>
      <c r="AR36" s="51" t="s">
        <v>3051</v>
      </c>
      <c r="AS36" s="51" t="s">
        <v>3051</v>
      </c>
      <c r="AT36" s="51" t="s">
        <v>3052</v>
      </c>
      <c r="AU36" s="51" t="s">
        <v>3053</v>
      </c>
      <c r="AV36" s="51" t="s">
        <v>3054</v>
      </c>
      <c r="AW36" s="51" t="s">
        <v>3054</v>
      </c>
      <c r="AX36" s="51" t="s">
        <v>3055</v>
      </c>
      <c r="AY36" s="51" t="s">
        <v>3056</v>
      </c>
      <c r="AZ36" s="51" t="s">
        <v>3055</v>
      </c>
      <c r="BA36" s="51" t="s">
        <v>3055</v>
      </c>
      <c r="BB36" s="51" t="s">
        <v>3049</v>
      </c>
      <c r="BC36" s="51" t="s">
        <v>3053</v>
      </c>
      <c r="BD36" s="51" t="s">
        <v>3049</v>
      </c>
      <c r="BE36" s="38" t="s">
        <v>3044</v>
      </c>
      <c r="BF36" s="38" t="s">
        <v>3057</v>
      </c>
      <c r="BG36" s="38" t="s">
        <v>3048</v>
      </c>
      <c r="BH36" s="51" t="s">
        <v>3055</v>
      </c>
      <c r="BI36" s="51" t="s">
        <v>3055</v>
      </c>
      <c r="BJ36" s="51" t="s">
        <v>3046</v>
      </c>
      <c r="BK36" s="51" t="s">
        <v>3052</v>
      </c>
      <c r="BL36" s="51" t="s">
        <v>3051</v>
      </c>
      <c r="BM36" s="38" t="s">
        <v>3058</v>
      </c>
      <c r="BO36" s="52" t="s">
        <v>3030</v>
      </c>
      <c r="BP36" s="52" t="s">
        <v>3059</v>
      </c>
      <c r="BQ36" t="s">
        <v>3060</v>
      </c>
      <c r="BR36" s="53" t="s">
        <v>2183</v>
      </c>
      <c r="BS36" s="54" t="s">
        <v>3061</v>
      </c>
      <c r="BT36" s="3" t="s">
        <v>3062</v>
      </c>
      <c r="BU36" s="3" t="s">
        <v>3063</v>
      </c>
      <c r="BV36" s="3" t="s">
        <v>3064</v>
      </c>
      <c r="BW36" s="3" t="s">
        <v>3065</v>
      </c>
      <c r="BX36" s="3" t="s">
        <v>3066</v>
      </c>
      <c r="BY36" s="3"/>
      <c r="BZ36" s="3"/>
      <c r="CA36" s="3"/>
      <c r="CB36" s="3"/>
      <c r="CC36" s="3"/>
      <c r="CD36" s="3"/>
      <c r="CX36" s="38" t="s">
        <v>3067</v>
      </c>
      <c r="CY36" s="51" t="s">
        <v>3068</v>
      </c>
      <c r="CZ36">
        <v>35</v>
      </c>
    </row>
    <row r="37" ht="14.25" customHeight="1" spans="2:104">
      <c r="B37" s="45"/>
      <c r="C37" s="30" t="s">
        <v>47</v>
      </c>
      <c r="D37" s="38" t="s">
        <v>3069</v>
      </c>
      <c r="E37" s="38" t="s">
        <v>3070</v>
      </c>
      <c r="F37" s="38" t="s">
        <v>3069</v>
      </c>
      <c r="G37" s="38" t="s">
        <v>3003</v>
      </c>
      <c r="H37" s="38" t="s">
        <v>3070</v>
      </c>
      <c r="I37" s="38" t="s">
        <v>107</v>
      </c>
      <c r="M37" s="38"/>
      <c r="O37">
        <v>2</v>
      </c>
      <c r="P37">
        <v>2</v>
      </c>
      <c r="U37" s="30" t="s">
        <v>3071</v>
      </c>
      <c r="V37" s="30">
        <v>0</v>
      </c>
      <c r="W37" s="30" t="s">
        <v>132</v>
      </c>
      <c r="X37" s="30" t="s">
        <v>2285</v>
      </c>
      <c r="Y37" s="30" t="s">
        <v>3072</v>
      </c>
      <c r="Z37" s="30">
        <v>3</v>
      </c>
      <c r="AB37" s="30" t="s">
        <v>3073</v>
      </c>
      <c r="AC37" s="49" t="s">
        <v>3074</v>
      </c>
      <c r="AD37" s="30" t="s">
        <v>2191</v>
      </c>
      <c r="AE37" s="30">
        <v>2</v>
      </c>
      <c r="AH37" s="38" t="s">
        <v>3075</v>
      </c>
      <c r="AI37" s="38" t="s">
        <v>3076</v>
      </c>
      <c r="AJ37" s="38" t="s">
        <v>3077</v>
      </c>
      <c r="AK37" s="38" t="s">
        <v>3077</v>
      </c>
      <c r="AL37" s="38" t="s">
        <v>3078</v>
      </c>
      <c r="AM37" s="38" t="s">
        <v>3078</v>
      </c>
      <c r="AN37" s="38" t="s">
        <v>3079</v>
      </c>
      <c r="AO37" s="38" t="s">
        <v>3080</v>
      </c>
      <c r="AP37" s="38" t="s">
        <v>3080</v>
      </c>
      <c r="AQ37" s="38" t="s">
        <v>3081</v>
      </c>
      <c r="AR37" s="38" t="s">
        <v>3082</v>
      </c>
      <c r="AS37" s="38" t="s">
        <v>3082</v>
      </c>
      <c r="AT37" s="38" t="s">
        <v>3083</v>
      </c>
      <c r="AU37" s="38" t="s">
        <v>3084</v>
      </c>
      <c r="AV37" s="38" t="s">
        <v>3085</v>
      </c>
      <c r="AW37" s="38" t="s">
        <v>3085</v>
      </c>
      <c r="AX37" s="38" t="s">
        <v>3086</v>
      </c>
      <c r="AY37" s="38" t="s">
        <v>3087</v>
      </c>
      <c r="AZ37" s="38" t="s">
        <v>3086</v>
      </c>
      <c r="BA37" s="38" t="s">
        <v>3086</v>
      </c>
      <c r="BB37" s="38" t="s">
        <v>3080</v>
      </c>
      <c r="BC37" s="38" t="s">
        <v>3084</v>
      </c>
      <c r="BD37" s="38" t="s">
        <v>3080</v>
      </c>
      <c r="BE37" s="38" t="s">
        <v>3075</v>
      </c>
      <c r="BF37" s="38" t="s">
        <v>3088</v>
      </c>
      <c r="BG37" s="38" t="s">
        <v>3079</v>
      </c>
      <c r="BH37" s="38" t="s">
        <v>3086</v>
      </c>
      <c r="BI37" s="38" t="s">
        <v>3086</v>
      </c>
      <c r="BJ37" s="38" t="s">
        <v>3077</v>
      </c>
      <c r="BK37" s="38" t="s">
        <v>3083</v>
      </c>
      <c r="BL37" s="38" t="s">
        <v>3082</v>
      </c>
      <c r="BM37" s="38" t="s">
        <v>3089</v>
      </c>
      <c r="BO37" s="52" t="s">
        <v>3061</v>
      </c>
      <c r="BP37" s="52" t="s">
        <v>3090</v>
      </c>
      <c r="BQ37" t="s">
        <v>3091</v>
      </c>
      <c r="BR37" s="53" t="s">
        <v>8</v>
      </c>
      <c r="BS37" s="54" t="s">
        <v>3092</v>
      </c>
      <c r="BT37" s="3" t="s">
        <v>3093</v>
      </c>
      <c r="BU37" s="3" t="s">
        <v>3094</v>
      </c>
      <c r="BV37" s="3" t="s">
        <v>3095</v>
      </c>
      <c r="BW37" s="3" t="s">
        <v>3096</v>
      </c>
      <c r="BX37" s="3" t="s">
        <v>3097</v>
      </c>
      <c r="BY37" s="3" t="s">
        <v>3098</v>
      </c>
      <c r="BZ37" s="3" t="s">
        <v>3099</v>
      </c>
      <c r="CA37" s="3"/>
      <c r="CB37" s="3"/>
      <c r="CC37" s="3"/>
      <c r="CD37" s="3"/>
      <c r="CU37" s="38"/>
      <c r="CX37" s="38" t="s">
        <v>3100</v>
      </c>
      <c r="CY37" s="38" t="s">
        <v>3101</v>
      </c>
      <c r="CZ37">
        <v>36</v>
      </c>
    </row>
    <row r="38" ht="14.25" customHeight="1" spans="2:104">
      <c r="B38" s="45"/>
      <c r="C38" s="30" t="s">
        <v>273</v>
      </c>
      <c r="D38" s="38" t="s">
        <v>3102</v>
      </c>
      <c r="E38" s="38" t="s">
        <v>3103</v>
      </c>
      <c r="F38" s="38" t="s">
        <v>3102</v>
      </c>
      <c r="G38" s="38" t="s">
        <v>3003</v>
      </c>
      <c r="H38" s="38" t="s">
        <v>3103</v>
      </c>
      <c r="I38" s="38" t="s">
        <v>3004</v>
      </c>
      <c r="M38" s="38"/>
      <c r="O38">
        <v>3</v>
      </c>
      <c r="P38">
        <v>3</v>
      </c>
      <c r="U38" s="30" t="s">
        <v>3104</v>
      </c>
      <c r="V38" s="30" t="s">
        <v>3105</v>
      </c>
      <c r="W38" s="30" t="s">
        <v>2281</v>
      </c>
      <c r="X38" s="30" t="s">
        <v>3106</v>
      </c>
      <c r="Y38" s="30" t="s">
        <v>3107</v>
      </c>
      <c r="Z38" s="30">
        <v>6</v>
      </c>
      <c r="AB38" s="30" t="s">
        <v>3108</v>
      </c>
      <c r="AC38" s="49" t="s">
        <v>3109</v>
      </c>
      <c r="AD38" s="30" t="s">
        <v>2165</v>
      </c>
      <c r="AE38" s="30">
        <v>5</v>
      </c>
      <c r="AH38" s="38" t="s">
        <v>3110</v>
      </c>
      <c r="AI38" s="38" t="s">
        <v>3111</v>
      </c>
      <c r="AJ38" s="38" t="s">
        <v>3112</v>
      </c>
      <c r="AK38" s="38" t="s">
        <v>3112</v>
      </c>
      <c r="AL38" s="38" t="s">
        <v>3113</v>
      </c>
      <c r="AM38" s="38" t="s">
        <v>3113</v>
      </c>
      <c r="AN38" s="38" t="s">
        <v>3114</v>
      </c>
      <c r="AO38" s="38" t="s">
        <v>3115</v>
      </c>
      <c r="AP38" s="38" t="s">
        <v>3115</v>
      </c>
      <c r="AQ38" s="38" t="s">
        <v>3116</v>
      </c>
      <c r="AR38" s="38" t="s">
        <v>3117</v>
      </c>
      <c r="AS38" s="38" t="s">
        <v>3117</v>
      </c>
      <c r="AT38" s="38" t="s">
        <v>3118</v>
      </c>
      <c r="AU38" s="38" t="s">
        <v>3119</v>
      </c>
      <c r="AV38" s="38" t="s">
        <v>3120</v>
      </c>
      <c r="AW38" s="38" t="s">
        <v>3120</v>
      </c>
      <c r="AX38" s="38" t="s">
        <v>3121</v>
      </c>
      <c r="AY38" s="38" t="s">
        <v>3122</v>
      </c>
      <c r="AZ38" s="38" t="s">
        <v>3121</v>
      </c>
      <c r="BA38" s="38" t="s">
        <v>3121</v>
      </c>
      <c r="BB38" s="38" t="s">
        <v>3115</v>
      </c>
      <c r="BC38" s="38" t="s">
        <v>3119</v>
      </c>
      <c r="BD38" s="38" t="s">
        <v>3115</v>
      </c>
      <c r="BE38" s="38" t="s">
        <v>3110</v>
      </c>
      <c r="BF38" s="38" t="s">
        <v>3123</v>
      </c>
      <c r="BG38" s="38" t="s">
        <v>3114</v>
      </c>
      <c r="BH38" s="38" t="s">
        <v>3121</v>
      </c>
      <c r="BI38" s="38" t="s">
        <v>3121</v>
      </c>
      <c r="BJ38" s="38" t="s">
        <v>3112</v>
      </c>
      <c r="BK38" s="38" t="s">
        <v>3118</v>
      </c>
      <c r="BL38" s="38" t="s">
        <v>3117</v>
      </c>
      <c r="BM38" s="38" t="s">
        <v>3124</v>
      </c>
      <c r="BO38" s="52" t="s">
        <v>3062</v>
      </c>
      <c r="BP38" s="52" t="s">
        <v>3125</v>
      </c>
      <c r="BQ38" t="s">
        <v>3126</v>
      </c>
      <c r="BR38" s="53" t="s">
        <v>2277</v>
      </c>
      <c r="BS38" s="54" t="s">
        <v>2277</v>
      </c>
      <c r="BT38" s="3" t="s">
        <v>3127</v>
      </c>
      <c r="BU38" s="3" t="s">
        <v>3128</v>
      </c>
      <c r="BV38" s="3" t="s">
        <v>3129</v>
      </c>
      <c r="BW38" s="3"/>
      <c r="BX38" s="3"/>
      <c r="BY38" s="3"/>
      <c r="BZ38" s="3"/>
      <c r="CA38" s="3"/>
      <c r="CB38" s="3"/>
      <c r="CC38" s="3"/>
      <c r="CD38" s="3"/>
      <c r="CU38" s="38"/>
      <c r="CX38" s="38" t="s">
        <v>3130</v>
      </c>
      <c r="CY38" s="51" t="s">
        <v>3131</v>
      </c>
      <c r="CZ38">
        <v>37</v>
      </c>
    </row>
    <row r="39" ht="14.25" customHeight="1" spans="2:104">
      <c r="B39" s="45"/>
      <c r="C39" s="30" t="s">
        <v>2179</v>
      </c>
      <c r="D39" s="38" t="s">
        <v>3132</v>
      </c>
      <c r="E39" s="38" t="s">
        <v>3133</v>
      </c>
      <c r="F39" s="38" t="s">
        <v>3132</v>
      </c>
      <c r="G39" s="38" t="s">
        <v>3134</v>
      </c>
      <c r="H39" s="38" t="s">
        <v>3133</v>
      </c>
      <c r="I39" s="38" t="s">
        <v>3135</v>
      </c>
      <c r="M39" s="38"/>
      <c r="O39">
        <v>4</v>
      </c>
      <c r="P39">
        <v>4</v>
      </c>
      <c r="U39" s="30" t="s">
        <v>3136</v>
      </c>
      <c r="V39" s="30" t="s">
        <v>2231</v>
      </c>
      <c r="W39" s="30" t="s">
        <v>2187</v>
      </c>
      <c r="X39" s="30" t="s">
        <v>3137</v>
      </c>
      <c r="Y39" s="30" t="s">
        <v>3138</v>
      </c>
      <c r="Z39" s="30">
        <v>3</v>
      </c>
      <c r="AB39" s="30" t="s">
        <v>3139</v>
      </c>
      <c r="AC39" s="49" t="s">
        <v>3140</v>
      </c>
      <c r="AD39" s="30" t="s">
        <v>2285</v>
      </c>
      <c r="AE39" s="30">
        <v>0</v>
      </c>
      <c r="AH39" s="38" t="s">
        <v>3141</v>
      </c>
      <c r="AI39" s="38" t="s">
        <v>3142</v>
      </c>
      <c r="AJ39" s="38" t="s">
        <v>3143</v>
      </c>
      <c r="AK39" s="38" t="s">
        <v>3143</v>
      </c>
      <c r="AL39" s="38" t="s">
        <v>3144</v>
      </c>
      <c r="AM39" s="38" t="s">
        <v>3144</v>
      </c>
      <c r="AN39" s="38" t="s">
        <v>3145</v>
      </c>
      <c r="AO39" s="38" t="s">
        <v>3146</v>
      </c>
      <c r="AP39" s="38" t="s">
        <v>3146</v>
      </c>
      <c r="AQ39" s="38" t="s">
        <v>3147</v>
      </c>
      <c r="AR39" s="38" t="s">
        <v>3148</v>
      </c>
      <c r="AS39" s="38" t="s">
        <v>3148</v>
      </c>
      <c r="AT39" s="38" t="s">
        <v>3149</v>
      </c>
      <c r="AU39" s="38" t="s">
        <v>3150</v>
      </c>
      <c r="AV39" s="38" t="s">
        <v>3151</v>
      </c>
      <c r="AW39" s="38" t="s">
        <v>3151</v>
      </c>
      <c r="AX39" s="38" t="s">
        <v>3152</v>
      </c>
      <c r="AY39" s="38" t="s">
        <v>3153</v>
      </c>
      <c r="AZ39" s="38" t="s">
        <v>3152</v>
      </c>
      <c r="BA39" s="38" t="s">
        <v>3152</v>
      </c>
      <c r="BB39" s="38" t="s">
        <v>3146</v>
      </c>
      <c r="BC39" s="38" t="s">
        <v>3150</v>
      </c>
      <c r="BD39" s="38" t="s">
        <v>3146</v>
      </c>
      <c r="BE39" s="38" t="s">
        <v>3141</v>
      </c>
      <c r="BF39" s="38" t="s">
        <v>3154</v>
      </c>
      <c r="BG39" s="38" t="s">
        <v>3145</v>
      </c>
      <c r="BH39" s="38" t="s">
        <v>3152</v>
      </c>
      <c r="BI39" s="38" t="s">
        <v>3152</v>
      </c>
      <c r="BJ39" s="38" t="s">
        <v>3143</v>
      </c>
      <c r="BK39" s="38" t="s">
        <v>3149</v>
      </c>
      <c r="BL39" s="38" t="s">
        <v>3148</v>
      </c>
      <c r="BM39" s="38" t="s">
        <v>3155</v>
      </c>
      <c r="BO39" s="52" t="s">
        <v>3063</v>
      </c>
      <c r="BP39" s="52" t="s">
        <v>3156</v>
      </c>
      <c r="BQ39" t="s">
        <v>3157</v>
      </c>
      <c r="BR39" s="53" t="s">
        <v>2323</v>
      </c>
      <c r="BS39" s="54" t="s">
        <v>3158</v>
      </c>
      <c r="BT39" s="3" t="s">
        <v>3159</v>
      </c>
      <c r="BU39" s="3" t="s">
        <v>3160</v>
      </c>
      <c r="BV39" s="3" t="s">
        <v>3161</v>
      </c>
      <c r="BW39" s="3"/>
      <c r="BX39" s="3"/>
      <c r="BY39" s="3"/>
      <c r="BZ39" s="3"/>
      <c r="CA39" s="3"/>
      <c r="CB39" s="3"/>
      <c r="CC39" s="3"/>
      <c r="CD39" s="3"/>
      <c r="CU39" s="38"/>
      <c r="CX39" s="38" t="s">
        <v>3162</v>
      </c>
      <c r="CY39" s="51" t="s">
        <v>3163</v>
      </c>
      <c r="CZ39">
        <v>38</v>
      </c>
    </row>
    <row r="40" ht="14.25" customHeight="1" spans="2:104">
      <c r="B40" s="45"/>
      <c r="C40" s="30" t="s">
        <v>269</v>
      </c>
      <c r="D40" s="38" t="s">
        <v>3164</v>
      </c>
      <c r="E40" s="38" t="s">
        <v>3165</v>
      </c>
      <c r="F40" s="38" t="s">
        <v>3164</v>
      </c>
      <c r="G40" s="38" t="s">
        <v>3134</v>
      </c>
      <c r="H40" s="38" t="s">
        <v>3165</v>
      </c>
      <c r="I40" s="38" t="s">
        <v>3135</v>
      </c>
      <c r="M40" s="38"/>
      <c r="O40">
        <v>5</v>
      </c>
      <c r="P40">
        <v>5</v>
      </c>
      <c r="U40" s="30" t="s">
        <v>3166</v>
      </c>
      <c r="V40" s="30" t="s">
        <v>2278</v>
      </c>
      <c r="W40" s="30" t="s">
        <v>2187</v>
      </c>
      <c r="X40" s="30" t="s">
        <v>3167</v>
      </c>
      <c r="Y40" s="30" t="s">
        <v>3168</v>
      </c>
      <c r="Z40" s="30">
        <v>10</v>
      </c>
      <c r="AB40" s="30" t="s">
        <v>3169</v>
      </c>
      <c r="AC40" s="49" t="s">
        <v>3140</v>
      </c>
      <c r="AD40" s="30" t="s">
        <v>2285</v>
      </c>
      <c r="AE40" s="30">
        <v>0</v>
      </c>
      <c r="AH40" s="38" t="s">
        <v>3170</v>
      </c>
      <c r="AI40" s="38" t="s">
        <v>3171</v>
      </c>
      <c r="AJ40" s="38" t="s">
        <v>3172</v>
      </c>
      <c r="AK40" s="38" t="s">
        <v>3172</v>
      </c>
      <c r="AL40" s="51" t="s">
        <v>3173</v>
      </c>
      <c r="AM40" s="51" t="s">
        <v>3173</v>
      </c>
      <c r="AN40" s="38" t="s">
        <v>3174</v>
      </c>
      <c r="AO40" s="38" t="s">
        <v>3175</v>
      </c>
      <c r="AP40" s="38" t="s">
        <v>3175</v>
      </c>
      <c r="AQ40" s="38" t="s">
        <v>3176</v>
      </c>
      <c r="AR40" s="38" t="s">
        <v>3177</v>
      </c>
      <c r="AS40" s="38" t="s">
        <v>3177</v>
      </c>
      <c r="AT40" s="38" t="s">
        <v>3178</v>
      </c>
      <c r="AU40" s="38" t="s">
        <v>3179</v>
      </c>
      <c r="AV40" s="38" t="s">
        <v>3180</v>
      </c>
      <c r="AW40" s="38" t="s">
        <v>3180</v>
      </c>
      <c r="AX40" s="38" t="s">
        <v>3181</v>
      </c>
      <c r="AY40" s="38" t="s">
        <v>3182</v>
      </c>
      <c r="AZ40" s="38" t="s">
        <v>3181</v>
      </c>
      <c r="BA40" s="38" t="s">
        <v>3181</v>
      </c>
      <c r="BB40" s="38" t="s">
        <v>3175</v>
      </c>
      <c r="BC40" s="38" t="s">
        <v>3179</v>
      </c>
      <c r="BD40" s="38" t="s">
        <v>3175</v>
      </c>
      <c r="BE40" s="38" t="s">
        <v>3170</v>
      </c>
      <c r="BF40" s="38" t="s">
        <v>3183</v>
      </c>
      <c r="BG40" s="38" t="s">
        <v>3174</v>
      </c>
      <c r="BH40" s="38" t="s">
        <v>3181</v>
      </c>
      <c r="BI40" s="38" t="s">
        <v>3181</v>
      </c>
      <c r="BJ40" s="38" t="s">
        <v>3172</v>
      </c>
      <c r="BK40" s="38" t="s">
        <v>3178</v>
      </c>
      <c r="BL40" s="38" t="s">
        <v>3177</v>
      </c>
      <c r="BM40" s="38" t="s">
        <v>3184</v>
      </c>
      <c r="BO40" s="52" t="s">
        <v>3092</v>
      </c>
      <c r="BP40" s="52" t="s">
        <v>3185</v>
      </c>
      <c r="BQ40" t="s">
        <v>3186</v>
      </c>
      <c r="BR40" s="53" t="s">
        <v>2367</v>
      </c>
      <c r="BS40" s="54" t="s">
        <v>3187</v>
      </c>
      <c r="BT40" s="3" t="s">
        <v>3188</v>
      </c>
      <c r="BU40" s="3" t="s">
        <v>3189</v>
      </c>
      <c r="BV40" s="3" t="s">
        <v>3190</v>
      </c>
      <c r="BW40" s="3" t="s">
        <v>3191</v>
      </c>
      <c r="BX40" s="3" t="s">
        <v>3192</v>
      </c>
      <c r="BY40" s="3" t="s">
        <v>3193</v>
      </c>
      <c r="BZ40" s="3" t="s">
        <v>3194</v>
      </c>
      <c r="CA40" s="3" t="s">
        <v>3195</v>
      </c>
      <c r="CB40" s="3" t="s">
        <v>3196</v>
      </c>
      <c r="CC40" s="3" t="s">
        <v>3197</v>
      </c>
      <c r="CD40" s="3" t="s">
        <v>3198</v>
      </c>
      <c r="CU40" s="38"/>
      <c r="CX40" s="38" t="s">
        <v>3199</v>
      </c>
      <c r="CY40" s="51" t="s">
        <v>3200</v>
      </c>
      <c r="CZ40">
        <v>39</v>
      </c>
    </row>
    <row r="41" ht="14.25" customHeight="1" spans="2:104">
      <c r="B41" s="45"/>
      <c r="C41" s="30" t="s">
        <v>270</v>
      </c>
      <c r="D41" s="38" t="s">
        <v>3201</v>
      </c>
      <c r="E41" s="38" t="s">
        <v>3202</v>
      </c>
      <c r="F41" s="38" t="s">
        <v>3201</v>
      </c>
      <c r="G41" s="38" t="s">
        <v>3134</v>
      </c>
      <c r="H41" s="38" t="s">
        <v>3202</v>
      </c>
      <c r="I41" s="38" t="s">
        <v>3004</v>
      </c>
      <c r="M41" s="38"/>
      <c r="O41">
        <v>6</v>
      </c>
      <c r="P41">
        <v>6</v>
      </c>
      <c r="U41" s="30">
        <v>0</v>
      </c>
      <c r="V41" s="30" t="s">
        <v>132</v>
      </c>
      <c r="W41" s="30" t="s">
        <v>132</v>
      </c>
      <c r="X41" s="30" t="s">
        <v>132</v>
      </c>
      <c r="Y41" s="30" t="s">
        <v>132</v>
      </c>
      <c r="Z41" s="30" t="s">
        <v>132</v>
      </c>
      <c r="AB41" s="30" t="s">
        <v>3203</v>
      </c>
      <c r="AC41" s="49" t="s">
        <v>3140</v>
      </c>
      <c r="AD41" s="30" t="s">
        <v>2282</v>
      </c>
      <c r="AE41" s="30">
        <v>4</v>
      </c>
      <c r="AH41" s="38" t="s">
        <v>3204</v>
      </c>
      <c r="AI41" s="38" t="s">
        <v>3205</v>
      </c>
      <c r="AJ41" s="38" t="s">
        <v>3206</v>
      </c>
      <c r="AK41" s="38" t="s">
        <v>3206</v>
      </c>
      <c r="AL41" s="38" t="s">
        <v>3207</v>
      </c>
      <c r="AM41" s="38" t="s">
        <v>3207</v>
      </c>
      <c r="AN41" s="38" t="s">
        <v>3208</v>
      </c>
      <c r="AO41" s="38" t="s">
        <v>3209</v>
      </c>
      <c r="AP41" s="38" t="s">
        <v>3209</v>
      </c>
      <c r="AQ41" s="38" t="s">
        <v>3210</v>
      </c>
      <c r="AR41" s="38" t="s">
        <v>3211</v>
      </c>
      <c r="AS41" s="38" t="s">
        <v>3211</v>
      </c>
      <c r="AT41" s="38" t="s">
        <v>3212</v>
      </c>
      <c r="AU41" s="38" t="s">
        <v>3213</v>
      </c>
      <c r="AV41" s="38" t="s">
        <v>3214</v>
      </c>
      <c r="AW41" s="38" t="s">
        <v>3214</v>
      </c>
      <c r="AX41" s="38" t="s">
        <v>3215</v>
      </c>
      <c r="AY41" s="38" t="s">
        <v>3216</v>
      </c>
      <c r="AZ41" s="38" t="s">
        <v>3215</v>
      </c>
      <c r="BA41" s="38" t="s">
        <v>3215</v>
      </c>
      <c r="BB41" s="38" t="s">
        <v>3209</v>
      </c>
      <c r="BC41" s="38" t="s">
        <v>3213</v>
      </c>
      <c r="BD41" s="38" t="s">
        <v>3209</v>
      </c>
      <c r="BE41" s="38" t="s">
        <v>3204</v>
      </c>
      <c r="BF41" s="38" t="s">
        <v>3217</v>
      </c>
      <c r="BG41" s="38" t="s">
        <v>3208</v>
      </c>
      <c r="BH41" s="38" t="s">
        <v>3215</v>
      </c>
      <c r="BI41" s="38" t="s">
        <v>3215</v>
      </c>
      <c r="BJ41" s="38" t="s">
        <v>3206</v>
      </c>
      <c r="BK41" s="38" t="s">
        <v>3212</v>
      </c>
      <c r="BL41" s="38" t="s">
        <v>3211</v>
      </c>
      <c r="BM41" s="38" t="s">
        <v>3218</v>
      </c>
      <c r="BO41" s="52" t="s">
        <v>3093</v>
      </c>
      <c r="BP41" s="52" t="s">
        <v>3219</v>
      </c>
      <c r="BQ41" t="s">
        <v>3157</v>
      </c>
      <c r="BR41" s="53" t="s">
        <v>2409</v>
      </c>
      <c r="BS41" s="54" t="s">
        <v>2409</v>
      </c>
      <c r="BT41" s="3"/>
      <c r="BU41" s="3"/>
      <c r="BV41" s="3"/>
      <c r="BW41" s="3"/>
      <c r="BX41" s="3"/>
      <c r="BY41" s="3"/>
      <c r="BZ41" s="3"/>
      <c r="CA41" s="3"/>
      <c r="CB41" s="3"/>
      <c r="CC41" s="3"/>
      <c r="CD41" s="3"/>
      <c r="CU41" s="38"/>
      <c r="CX41" s="38" t="s">
        <v>3220</v>
      </c>
      <c r="CY41" s="38" t="s">
        <v>3221</v>
      </c>
      <c r="CZ41">
        <v>40</v>
      </c>
    </row>
    <row r="42" ht="14.25" customHeight="1" spans="3:104">
      <c r="C42" s="30" t="s">
        <v>2180</v>
      </c>
      <c r="D42" s="38" t="s">
        <v>3222</v>
      </c>
      <c r="E42" s="38" t="s">
        <v>3223</v>
      </c>
      <c r="F42" s="38" t="s">
        <v>3222</v>
      </c>
      <c r="G42" s="38" t="s">
        <v>3134</v>
      </c>
      <c r="H42" s="38" t="s">
        <v>3223</v>
      </c>
      <c r="I42" s="38" t="s">
        <v>3004</v>
      </c>
      <c r="M42" s="38"/>
      <c r="O42">
        <v>7</v>
      </c>
      <c r="P42">
        <v>7</v>
      </c>
      <c r="AB42" s="30" t="s">
        <v>3224</v>
      </c>
      <c r="AC42" s="49" t="s">
        <v>3140</v>
      </c>
      <c r="AD42" s="30" t="s">
        <v>2488</v>
      </c>
      <c r="AE42" s="30">
        <v>1</v>
      </c>
      <c r="AH42" s="38" t="s">
        <v>3225</v>
      </c>
      <c r="AI42" s="38" t="s">
        <v>3226</v>
      </c>
      <c r="AJ42" s="38" t="s">
        <v>3227</v>
      </c>
      <c r="AK42" s="38" t="s">
        <v>3227</v>
      </c>
      <c r="AL42" s="38" t="s">
        <v>3228</v>
      </c>
      <c r="AM42" s="38" t="s">
        <v>3228</v>
      </c>
      <c r="AN42" s="38" t="s">
        <v>3229</v>
      </c>
      <c r="AO42" s="38" t="s">
        <v>3230</v>
      </c>
      <c r="AP42" s="38" t="s">
        <v>3230</v>
      </c>
      <c r="AQ42" s="38" t="s">
        <v>3231</v>
      </c>
      <c r="AR42" s="38" t="s">
        <v>3232</v>
      </c>
      <c r="AS42" s="38" t="s">
        <v>3232</v>
      </c>
      <c r="AT42" s="38" t="s">
        <v>3233</v>
      </c>
      <c r="AU42" s="38" t="s">
        <v>3234</v>
      </c>
      <c r="AV42" s="38" t="s">
        <v>3235</v>
      </c>
      <c r="AW42" s="38" t="s">
        <v>3235</v>
      </c>
      <c r="AX42" s="38" t="s">
        <v>3236</v>
      </c>
      <c r="AY42" s="38" t="s">
        <v>3237</v>
      </c>
      <c r="AZ42" s="38" t="s">
        <v>3236</v>
      </c>
      <c r="BA42" s="38" t="s">
        <v>3236</v>
      </c>
      <c r="BB42" s="38" t="s">
        <v>3230</v>
      </c>
      <c r="BC42" s="38" t="s">
        <v>3234</v>
      </c>
      <c r="BD42" s="38" t="s">
        <v>3230</v>
      </c>
      <c r="BE42" s="38" t="s">
        <v>3225</v>
      </c>
      <c r="BF42" s="38" t="s">
        <v>3238</v>
      </c>
      <c r="BG42" s="38" t="s">
        <v>3229</v>
      </c>
      <c r="BH42" s="38" t="s">
        <v>3236</v>
      </c>
      <c r="BI42" s="38" t="s">
        <v>3236</v>
      </c>
      <c r="BJ42" s="38" t="s">
        <v>3227</v>
      </c>
      <c r="BK42" s="38" t="s">
        <v>3233</v>
      </c>
      <c r="BL42" s="38" t="s">
        <v>3232</v>
      </c>
      <c r="BM42" s="38" t="s">
        <v>3239</v>
      </c>
      <c r="BO42" s="52" t="s">
        <v>3094</v>
      </c>
      <c r="BP42" s="52" t="s">
        <v>3240</v>
      </c>
      <c r="BQ42" t="s">
        <v>3091</v>
      </c>
      <c r="BR42" s="53" t="s">
        <v>2447</v>
      </c>
      <c r="BS42" s="54" t="s">
        <v>2447</v>
      </c>
      <c r="BU42" s="3"/>
      <c r="BV42" s="3"/>
      <c r="BW42" s="3"/>
      <c r="BX42" s="3"/>
      <c r="BY42" s="3"/>
      <c r="BZ42" s="3"/>
      <c r="CA42" s="3"/>
      <c r="CB42" s="3"/>
      <c r="CC42" s="3"/>
      <c r="CD42" s="3"/>
      <c r="CU42" s="38"/>
      <c r="CX42" s="38" t="s">
        <v>3241</v>
      </c>
      <c r="CY42" s="51" t="s">
        <v>3242</v>
      </c>
      <c r="CZ42">
        <v>41</v>
      </c>
    </row>
    <row r="43" ht="14.25" customHeight="1" spans="4:104">
      <c r="D43" s="38" t="str">
        <f>VLOOKUP(B30,C30:D42,2,0)</f>
        <v>邪术师武器熟练</v>
      </c>
      <c r="E43" s="38" t="str">
        <f>VLOOKUP(B30,C30:E42,3,0)</f>
        <v>邪术师护甲熟练</v>
      </c>
      <c r="M43" s="38"/>
      <c r="O43">
        <v>8</v>
      </c>
      <c r="P43">
        <v>8</v>
      </c>
      <c r="AB43" s="30" t="s">
        <v>3243</v>
      </c>
      <c r="AC43" s="49" t="s">
        <v>3244</v>
      </c>
      <c r="AD43" s="30" t="s">
        <v>2285</v>
      </c>
      <c r="AE43" s="30">
        <v>4</v>
      </c>
      <c r="AH43" s="38" t="s">
        <v>3245</v>
      </c>
      <c r="AI43" s="38" t="s">
        <v>3246</v>
      </c>
      <c r="AJ43" s="38" t="s">
        <v>3247</v>
      </c>
      <c r="AK43" s="38" t="s">
        <v>3247</v>
      </c>
      <c r="AL43" s="38" t="s">
        <v>3248</v>
      </c>
      <c r="AM43" s="38" t="s">
        <v>3248</v>
      </c>
      <c r="AN43" s="38" t="s">
        <v>3249</v>
      </c>
      <c r="AO43" s="38" t="s">
        <v>3250</v>
      </c>
      <c r="AP43" s="38" t="s">
        <v>3250</v>
      </c>
      <c r="AQ43" s="38" t="s">
        <v>3251</v>
      </c>
      <c r="AR43" s="38" t="s">
        <v>3252</v>
      </c>
      <c r="AS43" s="38" t="s">
        <v>3252</v>
      </c>
      <c r="AT43" s="38" t="s">
        <v>3253</v>
      </c>
      <c r="AU43" s="38" t="s">
        <v>3254</v>
      </c>
      <c r="AV43" s="38" t="s">
        <v>3255</v>
      </c>
      <c r="AW43" s="38" t="s">
        <v>3255</v>
      </c>
      <c r="AX43" s="38" t="s">
        <v>3256</v>
      </c>
      <c r="AY43" s="38" t="s">
        <v>3257</v>
      </c>
      <c r="AZ43" s="38" t="s">
        <v>3256</v>
      </c>
      <c r="BA43" s="38" t="s">
        <v>3256</v>
      </c>
      <c r="BB43" s="38" t="s">
        <v>3250</v>
      </c>
      <c r="BC43" s="38" t="s">
        <v>3254</v>
      </c>
      <c r="BD43" s="38" t="s">
        <v>3250</v>
      </c>
      <c r="BE43" s="38" t="s">
        <v>3245</v>
      </c>
      <c r="BF43" s="38" t="s">
        <v>3238</v>
      </c>
      <c r="BG43" s="38" t="s">
        <v>3249</v>
      </c>
      <c r="BH43" s="38" t="s">
        <v>3256</v>
      </c>
      <c r="BI43" s="38" t="s">
        <v>3256</v>
      </c>
      <c r="BJ43" s="38" t="s">
        <v>3247</v>
      </c>
      <c r="BK43" s="38" t="s">
        <v>3253</v>
      </c>
      <c r="BL43" s="38" t="s">
        <v>3252</v>
      </c>
      <c r="BM43" s="38" t="s">
        <v>3258</v>
      </c>
      <c r="BO43" s="52" t="s">
        <v>3095</v>
      </c>
      <c r="BP43" s="52" t="s">
        <v>3259</v>
      </c>
      <c r="BQ43" t="s">
        <v>3091</v>
      </c>
      <c r="BR43" s="53" t="s">
        <v>2483</v>
      </c>
      <c r="BS43" s="54" t="s">
        <v>2483</v>
      </c>
      <c r="BT43" s="3" t="s">
        <v>3031</v>
      </c>
      <c r="BU43" s="3"/>
      <c r="BV43" s="3"/>
      <c r="BW43" s="3"/>
      <c r="BX43" s="3"/>
      <c r="BY43" s="3"/>
      <c r="BZ43" s="3"/>
      <c r="CA43" s="3"/>
      <c r="CB43" s="3"/>
      <c r="CC43" s="3"/>
      <c r="CD43" s="3"/>
      <c r="CU43" s="38"/>
      <c r="CX43" s="38" t="s">
        <v>3260</v>
      </c>
      <c r="CY43" s="51" t="s">
        <v>3261</v>
      </c>
      <c r="CZ43">
        <v>42</v>
      </c>
    </row>
    <row r="44" ht="14.25" customHeight="1" spans="13:104">
      <c r="M44" s="38"/>
      <c r="O44">
        <v>9</v>
      </c>
      <c r="P44">
        <v>9</v>
      </c>
      <c r="AB44" s="30" t="s">
        <v>3262</v>
      </c>
      <c r="AC44" s="49" t="s">
        <v>132</v>
      </c>
      <c r="AD44" s="30" t="s">
        <v>3263</v>
      </c>
      <c r="AE44" s="30">
        <v>1</v>
      </c>
      <c r="AH44" s="38" t="s">
        <v>2168</v>
      </c>
      <c r="AI44" s="38" t="s">
        <v>2194</v>
      </c>
      <c r="AJ44" s="38" t="s">
        <v>2240</v>
      </c>
      <c r="AK44" s="38" t="s">
        <v>2287</v>
      </c>
      <c r="AL44" s="38" t="s">
        <v>2330</v>
      </c>
      <c r="AM44" s="38" t="s">
        <v>2372</v>
      </c>
      <c r="AN44" s="38" t="s">
        <v>2416</v>
      </c>
      <c r="AO44" s="38" t="s">
        <v>2456</v>
      </c>
      <c r="AP44" s="38" t="s">
        <v>2490</v>
      </c>
      <c r="AQ44" s="38" t="s">
        <v>2521</v>
      </c>
      <c r="AR44" s="38" t="s">
        <v>2553</v>
      </c>
      <c r="AS44" s="38" t="s">
        <v>2584</v>
      </c>
      <c r="AT44" s="38" t="s">
        <v>2614</v>
      </c>
      <c r="AU44" s="38" t="s">
        <v>2644</v>
      </c>
      <c r="AV44" s="38" t="s">
        <v>2667</v>
      </c>
      <c r="AW44" s="38" t="s">
        <v>2685</v>
      </c>
      <c r="AX44" s="38" t="s">
        <v>2706</v>
      </c>
      <c r="AY44" s="38" t="s">
        <v>2727</v>
      </c>
      <c r="AZ44" s="38" t="s">
        <v>2747</v>
      </c>
      <c r="BA44" s="38" t="s">
        <v>2766</v>
      </c>
      <c r="BB44" s="38" t="s">
        <v>2785</v>
      </c>
      <c r="BC44" s="38" t="s">
        <v>2804</v>
      </c>
      <c r="BD44" s="38" t="s">
        <v>2821</v>
      </c>
      <c r="BE44" s="38" t="s">
        <v>2839</v>
      </c>
      <c r="BF44" s="38" t="s">
        <v>2857</v>
      </c>
      <c r="BG44" s="38" t="s">
        <v>2877</v>
      </c>
      <c r="BH44" s="38" t="s">
        <v>2896</v>
      </c>
      <c r="BI44" s="38" t="s">
        <v>2913</v>
      </c>
      <c r="BJ44" s="38" t="s">
        <v>2930</v>
      </c>
      <c r="BK44" s="38" t="s">
        <v>2950</v>
      </c>
      <c r="BL44" s="38" t="s">
        <v>2968</v>
      </c>
      <c r="BM44" s="38" t="s">
        <v>2989</v>
      </c>
      <c r="BO44" s="52" t="s">
        <v>3096</v>
      </c>
      <c r="BP44" s="52" t="s">
        <v>3264</v>
      </c>
      <c r="BQ44" t="s">
        <v>3126</v>
      </c>
      <c r="BR44" s="53" t="s">
        <v>2513</v>
      </c>
      <c r="BS44" s="54" t="s">
        <v>2513</v>
      </c>
      <c r="BT44" s="3" t="s">
        <v>3265</v>
      </c>
      <c r="BU44" s="3" t="s">
        <v>3266</v>
      </c>
      <c r="BV44" s="3"/>
      <c r="BW44" s="3"/>
      <c r="BX44" s="3"/>
      <c r="BY44" s="3"/>
      <c r="BZ44" s="3"/>
      <c r="CA44" s="3"/>
      <c r="CB44" s="3"/>
      <c r="CC44" s="3"/>
      <c r="CD44" s="3"/>
      <c r="CX44" s="38" t="s">
        <v>3267</v>
      </c>
      <c r="CY44" s="51" t="s">
        <v>3268</v>
      </c>
      <c r="CZ44">
        <v>43</v>
      </c>
    </row>
    <row r="45" ht="14.25" customHeight="1" spans="13:104">
      <c r="M45" s="38"/>
      <c r="O45">
        <v>10</v>
      </c>
      <c r="P45">
        <v>10</v>
      </c>
      <c r="U45" s="30" t="s">
        <v>3269</v>
      </c>
      <c r="V45" s="30">
        <v>11</v>
      </c>
      <c r="W45" s="30" t="s">
        <v>3270</v>
      </c>
      <c r="X45" s="30">
        <v>8</v>
      </c>
      <c r="Y45" s="30"/>
      <c r="Z45" s="30"/>
      <c r="AB45" s="30" t="s">
        <v>3271</v>
      </c>
      <c r="AC45" s="49" t="s">
        <v>132</v>
      </c>
      <c r="AD45" s="30" t="s">
        <v>2165</v>
      </c>
      <c r="AE45" s="30">
        <v>4</v>
      </c>
      <c r="AH45" s="38" t="s">
        <v>3272</v>
      </c>
      <c r="AI45" s="38" t="s">
        <v>3273</v>
      </c>
      <c r="AJ45" s="51" t="s">
        <v>3274</v>
      </c>
      <c r="AK45" s="51" t="s">
        <v>3274</v>
      </c>
      <c r="AL45" s="51" t="s">
        <v>3275</v>
      </c>
      <c r="AM45" s="51" t="s">
        <v>3275</v>
      </c>
      <c r="AN45" s="51" t="s">
        <v>3276</v>
      </c>
      <c r="AO45" s="51" t="s">
        <v>3277</v>
      </c>
      <c r="AP45" s="38" t="s">
        <v>3277</v>
      </c>
      <c r="AQ45" s="38" t="s">
        <v>3278</v>
      </c>
      <c r="AR45" s="51" t="s">
        <v>3279</v>
      </c>
      <c r="AS45" s="51" t="s">
        <v>3279</v>
      </c>
      <c r="AT45" s="51" t="s">
        <v>3280</v>
      </c>
      <c r="AU45" s="51" t="s">
        <v>3281</v>
      </c>
      <c r="AV45" s="51" t="s">
        <v>3282</v>
      </c>
      <c r="AW45" s="38" t="s">
        <v>3282</v>
      </c>
      <c r="AX45" s="51" t="s">
        <v>3283</v>
      </c>
      <c r="AY45" s="51" t="s">
        <v>3284</v>
      </c>
      <c r="AZ45" s="51" t="s">
        <v>3283</v>
      </c>
      <c r="BA45" s="51" t="s">
        <v>3283</v>
      </c>
      <c r="BB45" s="51" t="s">
        <v>3277</v>
      </c>
      <c r="BC45" s="51" t="s">
        <v>3281</v>
      </c>
      <c r="BD45" s="51" t="s">
        <v>3277</v>
      </c>
      <c r="BE45" s="38" t="s">
        <v>3272</v>
      </c>
      <c r="BF45" s="38" t="s">
        <v>3285</v>
      </c>
      <c r="BG45" s="51" t="s">
        <v>3276</v>
      </c>
      <c r="BH45" s="51" t="s">
        <v>3283</v>
      </c>
      <c r="BI45" s="51" t="s">
        <v>3283</v>
      </c>
      <c r="BJ45" s="51" t="s">
        <v>3274</v>
      </c>
      <c r="BK45" s="51" t="s">
        <v>3280</v>
      </c>
      <c r="BL45" s="51" t="s">
        <v>3279</v>
      </c>
      <c r="BM45" s="51" t="s">
        <v>3286</v>
      </c>
      <c r="BO45" s="52" t="s">
        <v>3097</v>
      </c>
      <c r="BP45" s="52" t="s">
        <v>3287</v>
      </c>
      <c r="BQ45" t="s">
        <v>3126</v>
      </c>
      <c r="BR45" s="53" t="s">
        <v>2546</v>
      </c>
      <c r="BS45" s="54" t="s">
        <v>3288</v>
      </c>
      <c r="BT45" s="3" t="s">
        <v>3289</v>
      </c>
      <c r="BU45" s="3" t="s">
        <v>3290</v>
      </c>
      <c r="BV45" s="3"/>
      <c r="BW45" s="3"/>
      <c r="BX45" s="3"/>
      <c r="BY45" s="3"/>
      <c r="BZ45" s="3"/>
      <c r="CA45" s="3"/>
      <c r="CB45" s="3"/>
      <c r="CC45" s="3"/>
      <c r="CD45" s="3"/>
      <c r="CX45" s="38" t="s">
        <v>3291</v>
      </c>
      <c r="CY45" s="51" t="s">
        <v>3292</v>
      </c>
      <c r="CZ45">
        <v>44</v>
      </c>
    </row>
    <row r="46" ht="14.25" customHeight="1" spans="13:104">
      <c r="M46" s="38"/>
      <c r="O46">
        <v>11</v>
      </c>
      <c r="P46">
        <v>11</v>
      </c>
      <c r="U46" s="30" t="s">
        <v>3293</v>
      </c>
      <c r="V46" s="30">
        <v>11</v>
      </c>
      <c r="W46" s="30" t="s">
        <v>74</v>
      </c>
      <c r="X46" s="30">
        <v>10</v>
      </c>
      <c r="Y46" s="30"/>
      <c r="Z46" s="30"/>
      <c r="AB46" s="30" t="s">
        <v>3294</v>
      </c>
      <c r="AC46" s="49" t="s">
        <v>132</v>
      </c>
      <c r="AD46" s="30" t="s">
        <v>2285</v>
      </c>
      <c r="AE46" s="30">
        <v>3</v>
      </c>
      <c r="AH46" s="38" t="s">
        <v>3295</v>
      </c>
      <c r="AI46" s="38" t="s">
        <v>3296</v>
      </c>
      <c r="AJ46" s="38" t="s">
        <v>3297</v>
      </c>
      <c r="AK46" s="38" t="s">
        <v>3297</v>
      </c>
      <c r="AL46" s="38" t="s">
        <v>3298</v>
      </c>
      <c r="AM46" s="38" t="s">
        <v>3298</v>
      </c>
      <c r="AN46" s="38" t="s">
        <v>3299</v>
      </c>
      <c r="AO46" s="38" t="s">
        <v>3300</v>
      </c>
      <c r="AP46" s="38" t="s">
        <v>3300</v>
      </c>
      <c r="AQ46" s="38" t="s">
        <v>3301</v>
      </c>
      <c r="AR46" s="38" t="s">
        <v>3302</v>
      </c>
      <c r="AS46" s="38" t="s">
        <v>3302</v>
      </c>
      <c r="AT46" s="38" t="s">
        <v>3303</v>
      </c>
      <c r="AU46" s="38" t="s">
        <v>3304</v>
      </c>
      <c r="AV46" s="38" t="s">
        <v>3305</v>
      </c>
      <c r="AW46" s="38" t="s">
        <v>3305</v>
      </c>
      <c r="AX46" s="38" t="s">
        <v>3306</v>
      </c>
      <c r="AY46" s="38" t="s">
        <v>3307</v>
      </c>
      <c r="AZ46" s="38" t="s">
        <v>3306</v>
      </c>
      <c r="BA46" s="38" t="s">
        <v>3306</v>
      </c>
      <c r="BB46" s="38" t="s">
        <v>3300</v>
      </c>
      <c r="BC46" s="38" t="s">
        <v>3304</v>
      </c>
      <c r="BD46" s="38" t="s">
        <v>3300</v>
      </c>
      <c r="BE46" s="38" t="s">
        <v>3295</v>
      </c>
      <c r="BF46" s="38" t="s">
        <v>3308</v>
      </c>
      <c r="BG46" s="38" t="s">
        <v>3299</v>
      </c>
      <c r="BH46" s="38" t="s">
        <v>3306</v>
      </c>
      <c r="BI46" s="38" t="s">
        <v>3306</v>
      </c>
      <c r="BJ46" s="38" t="s">
        <v>3297</v>
      </c>
      <c r="BK46" s="38" t="s">
        <v>3303</v>
      </c>
      <c r="BL46" s="38" t="s">
        <v>3302</v>
      </c>
      <c r="BM46" s="38" t="s">
        <v>3309</v>
      </c>
      <c r="BO46" s="52" t="s">
        <v>2277</v>
      </c>
      <c r="BP46" s="52" t="s">
        <v>3310</v>
      </c>
      <c r="BQ46" t="s">
        <v>3311</v>
      </c>
      <c r="BR46" s="53" t="s">
        <v>2578</v>
      </c>
      <c r="BS46" s="54" t="s">
        <v>3312</v>
      </c>
      <c r="BT46" s="3" t="s">
        <v>3313</v>
      </c>
      <c r="BU46" s="3" t="s">
        <v>3314</v>
      </c>
      <c r="BV46" s="3" t="s">
        <v>3315</v>
      </c>
      <c r="BW46" s="3"/>
      <c r="BX46" s="3"/>
      <c r="BY46" s="3"/>
      <c r="BZ46" s="3"/>
      <c r="CA46" s="3"/>
      <c r="CB46" s="3"/>
      <c r="CC46" s="3"/>
      <c r="CD46" s="3"/>
      <c r="CX46" s="38" t="s">
        <v>3316</v>
      </c>
      <c r="CY46" s="51" t="s">
        <v>3317</v>
      </c>
      <c r="CZ46">
        <v>45</v>
      </c>
    </row>
    <row r="47" ht="14.25" customHeight="1" spans="4:104">
      <c r="D47" t="s">
        <v>215</v>
      </c>
      <c r="E47" s="1" t="s">
        <v>3318</v>
      </c>
      <c r="F47" t="s">
        <v>3319</v>
      </c>
      <c r="G47" t="s">
        <v>3320</v>
      </c>
      <c r="M47" s="38"/>
      <c r="O47">
        <v>12</v>
      </c>
      <c r="P47">
        <v>12</v>
      </c>
      <c r="U47" s="30" t="s">
        <v>108</v>
      </c>
      <c r="V47" s="30">
        <v>12</v>
      </c>
      <c r="W47" s="30" t="s">
        <v>74</v>
      </c>
      <c r="X47" s="30">
        <v>13</v>
      </c>
      <c r="Y47" s="30"/>
      <c r="Z47" s="30"/>
      <c r="AB47" s="30" t="s">
        <v>3321</v>
      </c>
      <c r="AC47" s="49" t="s">
        <v>132</v>
      </c>
      <c r="AD47" s="30" t="s">
        <v>2165</v>
      </c>
      <c r="AE47" s="30">
        <v>10</v>
      </c>
      <c r="AH47" s="38" t="s">
        <v>3322</v>
      </c>
      <c r="AI47" s="38" t="s">
        <v>3323</v>
      </c>
      <c r="AJ47" s="38" t="s">
        <v>3324</v>
      </c>
      <c r="AK47" s="38" t="s">
        <v>3324</v>
      </c>
      <c r="AL47" s="38" t="s">
        <v>3325</v>
      </c>
      <c r="AM47" s="38" t="s">
        <v>3325</v>
      </c>
      <c r="AN47" s="38" t="s">
        <v>3326</v>
      </c>
      <c r="AO47" s="38" t="s">
        <v>3327</v>
      </c>
      <c r="AP47" s="38" t="s">
        <v>3327</v>
      </c>
      <c r="AQ47" s="38" t="s">
        <v>3328</v>
      </c>
      <c r="AR47" s="38" t="s">
        <v>3329</v>
      </c>
      <c r="AS47" s="38" t="s">
        <v>3329</v>
      </c>
      <c r="AT47" s="38" t="s">
        <v>3330</v>
      </c>
      <c r="AU47" s="38" t="s">
        <v>3331</v>
      </c>
      <c r="AV47" s="38" t="s">
        <v>3332</v>
      </c>
      <c r="AW47" s="38" t="s">
        <v>3332</v>
      </c>
      <c r="AX47" s="38" t="s">
        <v>3333</v>
      </c>
      <c r="AY47" s="38" t="s">
        <v>3334</v>
      </c>
      <c r="AZ47" s="38" t="s">
        <v>3333</v>
      </c>
      <c r="BA47" s="38" t="s">
        <v>3333</v>
      </c>
      <c r="BB47" s="38" t="s">
        <v>3327</v>
      </c>
      <c r="BC47" s="38" t="s">
        <v>3331</v>
      </c>
      <c r="BD47" s="38" t="s">
        <v>3327</v>
      </c>
      <c r="BE47" s="38" t="s">
        <v>3322</v>
      </c>
      <c r="BF47" s="38" t="s">
        <v>3335</v>
      </c>
      <c r="BG47" s="38" t="s">
        <v>3326</v>
      </c>
      <c r="BH47" s="38" t="s">
        <v>3333</v>
      </c>
      <c r="BI47" s="38" t="s">
        <v>3333</v>
      </c>
      <c r="BJ47" s="38" t="s">
        <v>3324</v>
      </c>
      <c r="BK47" s="38" t="s">
        <v>3330</v>
      </c>
      <c r="BL47" s="38" t="s">
        <v>3329</v>
      </c>
      <c r="BM47" s="38" t="s">
        <v>3336</v>
      </c>
      <c r="BO47" s="52" t="s">
        <v>3127</v>
      </c>
      <c r="BP47" s="52" t="s">
        <v>3337</v>
      </c>
      <c r="BQ47" t="s">
        <v>3311</v>
      </c>
      <c r="BR47" s="53" t="s">
        <v>2607</v>
      </c>
      <c r="BS47" s="54" t="s">
        <v>3338</v>
      </c>
      <c r="BT47" s="3" t="s">
        <v>2607</v>
      </c>
      <c r="BU47" s="3" t="s">
        <v>3339</v>
      </c>
      <c r="BV47" s="3"/>
      <c r="BW47" s="3"/>
      <c r="BX47" s="3"/>
      <c r="BY47" s="3"/>
      <c r="BZ47" s="3"/>
      <c r="CA47" s="3"/>
      <c r="CB47" s="3"/>
      <c r="CC47" s="3"/>
      <c r="CD47" s="3"/>
      <c r="CX47" s="38" t="s">
        <v>3340</v>
      </c>
      <c r="CY47" s="51" t="s">
        <v>3341</v>
      </c>
      <c r="CZ47">
        <v>46</v>
      </c>
    </row>
    <row r="48" ht="14.25" customHeight="1" spans="2:104">
      <c r="B48" t="str">
        <f>主要情况!S3</f>
        <v>邪术师</v>
      </c>
      <c r="C48" s="30" t="s">
        <v>272</v>
      </c>
      <c r="D48">
        <f>D85</f>
        <v>4</v>
      </c>
      <c r="E48" s="1" t="s">
        <v>281</v>
      </c>
      <c r="F48">
        <f>主要情况!W3</f>
        <v>5</v>
      </c>
      <c r="G48">
        <f>主要情况!W4</f>
        <v>0</v>
      </c>
      <c r="M48" s="38"/>
      <c r="O48">
        <v>13</v>
      </c>
      <c r="P48">
        <v>13</v>
      </c>
      <c r="U48" s="30" t="s">
        <v>3342</v>
      </c>
      <c r="V48" s="30">
        <v>12</v>
      </c>
      <c r="W48" s="30" t="s">
        <v>74</v>
      </c>
      <c r="X48" s="30">
        <v>12</v>
      </c>
      <c r="Y48" s="30"/>
      <c r="Z48" s="30"/>
      <c r="AB48" s="30" t="s">
        <v>3343</v>
      </c>
      <c r="AC48" s="49" t="s">
        <v>3344</v>
      </c>
      <c r="AD48" s="30" t="s">
        <v>2282</v>
      </c>
      <c r="AE48" s="30">
        <v>3</v>
      </c>
      <c r="AH48" s="38" t="s">
        <v>3345</v>
      </c>
      <c r="AI48" s="38" t="s">
        <v>3346</v>
      </c>
      <c r="AJ48" s="38" t="s">
        <v>3347</v>
      </c>
      <c r="AK48" s="38" t="s">
        <v>3347</v>
      </c>
      <c r="AL48" s="38" t="s">
        <v>3348</v>
      </c>
      <c r="AM48" s="38" t="s">
        <v>3348</v>
      </c>
      <c r="AN48" s="38" t="s">
        <v>3349</v>
      </c>
      <c r="AO48" s="38" t="s">
        <v>3350</v>
      </c>
      <c r="AP48" s="38" t="s">
        <v>3350</v>
      </c>
      <c r="AQ48" s="38" t="s">
        <v>3351</v>
      </c>
      <c r="AR48" s="38" t="s">
        <v>3352</v>
      </c>
      <c r="AS48" s="38" t="s">
        <v>3352</v>
      </c>
      <c r="AT48" s="38" t="s">
        <v>3353</v>
      </c>
      <c r="AU48" s="38" t="s">
        <v>3354</v>
      </c>
      <c r="AV48" s="38" t="s">
        <v>3355</v>
      </c>
      <c r="AW48" s="38" t="s">
        <v>3355</v>
      </c>
      <c r="AX48" s="38" t="s">
        <v>3356</v>
      </c>
      <c r="AY48" s="38" t="s">
        <v>3357</v>
      </c>
      <c r="AZ48" s="38" t="s">
        <v>3356</v>
      </c>
      <c r="BA48" s="38" t="s">
        <v>3356</v>
      </c>
      <c r="BB48" s="38" t="s">
        <v>3350</v>
      </c>
      <c r="BC48" s="38" t="s">
        <v>3354</v>
      </c>
      <c r="BD48" s="38" t="s">
        <v>3350</v>
      </c>
      <c r="BE48" s="38" t="s">
        <v>3345</v>
      </c>
      <c r="BF48" s="38" t="s">
        <v>3358</v>
      </c>
      <c r="BG48" s="38" t="s">
        <v>3349</v>
      </c>
      <c r="BH48" s="38" t="s">
        <v>3356</v>
      </c>
      <c r="BI48" s="38" t="s">
        <v>3356</v>
      </c>
      <c r="BJ48" s="38" t="s">
        <v>3347</v>
      </c>
      <c r="BK48" s="38" t="s">
        <v>3353</v>
      </c>
      <c r="BL48" s="38" t="s">
        <v>3352</v>
      </c>
      <c r="BM48" s="38" t="s">
        <v>3359</v>
      </c>
      <c r="BO48" s="52" t="s">
        <v>3158</v>
      </c>
      <c r="BP48" s="52" t="s">
        <v>3360</v>
      </c>
      <c r="BQ48" t="s">
        <v>3361</v>
      </c>
      <c r="BR48" s="53" t="s">
        <v>2637</v>
      </c>
      <c r="BS48" s="54" t="s">
        <v>2637</v>
      </c>
      <c r="BT48" s="3"/>
      <c r="BU48" s="3"/>
      <c r="BV48" s="3"/>
      <c r="BW48" s="3"/>
      <c r="BX48" s="3"/>
      <c r="BY48" s="3"/>
      <c r="BZ48" s="3"/>
      <c r="CA48" s="3"/>
      <c r="CB48" s="3"/>
      <c r="CC48" s="3"/>
      <c r="CD48" s="3"/>
      <c r="CX48" s="38" t="s">
        <v>3362</v>
      </c>
      <c r="CY48" s="51" t="s">
        <v>3363</v>
      </c>
      <c r="CZ48">
        <v>47</v>
      </c>
    </row>
    <row r="49" ht="14.25" customHeight="1" spans="3:104">
      <c r="C49" s="30" t="s">
        <v>271</v>
      </c>
      <c r="D49">
        <f>E85</f>
        <v>5</v>
      </c>
      <c r="E49" s="1">
        <f>D107</f>
        <v>6</v>
      </c>
      <c r="F49" t="s">
        <v>3364</v>
      </c>
      <c r="G49" t="s">
        <v>3365</v>
      </c>
      <c r="H49" t="s">
        <v>3366</v>
      </c>
      <c r="M49" s="38"/>
      <c r="O49">
        <v>14</v>
      </c>
      <c r="P49">
        <v>14</v>
      </c>
      <c r="U49" s="30" t="s">
        <v>3367</v>
      </c>
      <c r="V49" s="30">
        <v>13</v>
      </c>
      <c r="W49" s="30" t="s">
        <v>74</v>
      </c>
      <c r="X49" s="30">
        <v>20</v>
      </c>
      <c r="Y49" s="30"/>
      <c r="Z49" s="30"/>
      <c r="AB49" s="30" t="s">
        <v>3368</v>
      </c>
      <c r="AC49" s="49" t="s">
        <v>3369</v>
      </c>
      <c r="AD49" s="30" t="s">
        <v>2282</v>
      </c>
      <c r="AE49" s="30">
        <v>1</v>
      </c>
      <c r="AH49" s="38" t="s">
        <v>3370</v>
      </c>
      <c r="AI49" s="38" t="s">
        <v>3371</v>
      </c>
      <c r="AJ49" s="38" t="s">
        <v>3372</v>
      </c>
      <c r="AK49" s="38" t="s">
        <v>3372</v>
      </c>
      <c r="AL49" s="38" t="s">
        <v>3373</v>
      </c>
      <c r="AM49" s="38" t="s">
        <v>3373</v>
      </c>
      <c r="AN49" s="38" t="s">
        <v>3374</v>
      </c>
      <c r="AO49" s="38" t="s">
        <v>3375</v>
      </c>
      <c r="AP49" s="38" t="s">
        <v>3375</v>
      </c>
      <c r="AQ49" s="38" t="s">
        <v>3376</v>
      </c>
      <c r="AR49" s="38" t="s">
        <v>3377</v>
      </c>
      <c r="AS49" s="38" t="s">
        <v>3377</v>
      </c>
      <c r="AT49" s="38" t="s">
        <v>3378</v>
      </c>
      <c r="AU49" s="38" t="s">
        <v>3379</v>
      </c>
      <c r="AV49" s="38" t="s">
        <v>3380</v>
      </c>
      <c r="AW49" s="38" t="s">
        <v>3380</v>
      </c>
      <c r="AX49" s="38" t="s">
        <v>3381</v>
      </c>
      <c r="AY49" s="38" t="s">
        <v>3382</v>
      </c>
      <c r="AZ49" s="38" t="s">
        <v>3381</v>
      </c>
      <c r="BA49" s="38" t="s">
        <v>3381</v>
      </c>
      <c r="BB49" s="38" t="s">
        <v>3375</v>
      </c>
      <c r="BC49" s="38" t="s">
        <v>3379</v>
      </c>
      <c r="BD49" s="38" t="s">
        <v>3375</v>
      </c>
      <c r="BE49" s="38" t="s">
        <v>3370</v>
      </c>
      <c r="BF49" s="38" t="s">
        <v>3383</v>
      </c>
      <c r="BG49" s="38" t="s">
        <v>3374</v>
      </c>
      <c r="BH49" s="38" t="s">
        <v>3381</v>
      </c>
      <c r="BI49" s="38" t="s">
        <v>3381</v>
      </c>
      <c r="BJ49" s="38" t="s">
        <v>3372</v>
      </c>
      <c r="BK49" s="38" t="s">
        <v>3378</v>
      </c>
      <c r="BL49" s="38" t="s">
        <v>3377</v>
      </c>
      <c r="BM49" s="38" t="s">
        <v>3384</v>
      </c>
      <c r="BO49" s="52" t="s">
        <v>3159</v>
      </c>
      <c r="BP49" s="52" t="s">
        <v>3385</v>
      </c>
      <c r="BQ49" t="s">
        <v>3386</v>
      </c>
      <c r="BR49" s="53" t="s">
        <v>2659</v>
      </c>
      <c r="BS49" s="3" t="s">
        <v>3387</v>
      </c>
      <c r="BT49" s="3" t="s">
        <v>3388</v>
      </c>
      <c r="BU49" s="3" t="s">
        <v>3389</v>
      </c>
      <c r="BV49" s="3" t="s">
        <v>3390</v>
      </c>
      <c r="BW49" s="3"/>
      <c r="BX49" s="3"/>
      <c r="BY49" s="3"/>
      <c r="BZ49" s="3"/>
      <c r="CA49" s="3"/>
      <c r="CB49" s="3"/>
      <c r="CC49" s="3"/>
      <c r="CD49" s="3"/>
      <c r="CX49" s="38" t="s">
        <v>3391</v>
      </c>
      <c r="CY49" s="51" t="s">
        <v>3392</v>
      </c>
      <c r="CZ49">
        <v>48</v>
      </c>
    </row>
    <row r="50" ht="14.25" customHeight="1" spans="3:104">
      <c r="C50" s="30" t="s">
        <v>266</v>
      </c>
      <c r="D50">
        <f>F85</f>
        <v>3</v>
      </c>
      <c r="E50" s="1">
        <f>E107</f>
        <v>8</v>
      </c>
      <c r="M50" s="38"/>
      <c r="O50">
        <v>15</v>
      </c>
      <c r="P50">
        <v>15</v>
      </c>
      <c r="U50" s="30" t="s">
        <v>3393</v>
      </c>
      <c r="V50" s="30">
        <v>14</v>
      </c>
      <c r="W50" s="30" t="s">
        <v>3270</v>
      </c>
      <c r="X50" s="30">
        <v>45</v>
      </c>
      <c r="Y50" s="30"/>
      <c r="Z50" s="30"/>
      <c r="AB50" s="30" t="s">
        <v>3394</v>
      </c>
      <c r="AC50" s="49" t="s">
        <v>3369</v>
      </c>
      <c r="AD50" s="30" t="s">
        <v>2282</v>
      </c>
      <c r="AE50" s="30">
        <v>0</v>
      </c>
      <c r="AH50" s="38" t="s">
        <v>3395</v>
      </c>
      <c r="AI50" s="38" t="s">
        <v>3396</v>
      </c>
      <c r="AJ50" s="38" t="s">
        <v>3397</v>
      </c>
      <c r="AK50" s="38" t="s">
        <v>3397</v>
      </c>
      <c r="AL50" s="38" t="s">
        <v>3398</v>
      </c>
      <c r="AM50" s="38" t="s">
        <v>3398</v>
      </c>
      <c r="AN50" s="38" t="s">
        <v>3399</v>
      </c>
      <c r="AO50" s="38" t="s">
        <v>3400</v>
      </c>
      <c r="AP50" s="38" t="s">
        <v>3400</v>
      </c>
      <c r="AQ50" s="38" t="s">
        <v>3401</v>
      </c>
      <c r="AR50" s="38" t="s">
        <v>3402</v>
      </c>
      <c r="AS50" s="38" t="s">
        <v>3402</v>
      </c>
      <c r="AT50" s="38" t="s">
        <v>3403</v>
      </c>
      <c r="AU50" s="38" t="s">
        <v>3404</v>
      </c>
      <c r="AV50" s="38" t="s">
        <v>3405</v>
      </c>
      <c r="AW50" s="38" t="s">
        <v>3405</v>
      </c>
      <c r="AX50" s="38" t="s">
        <v>3406</v>
      </c>
      <c r="AY50" s="38" t="s">
        <v>3407</v>
      </c>
      <c r="AZ50" s="38" t="s">
        <v>3406</v>
      </c>
      <c r="BA50" s="38" t="s">
        <v>3406</v>
      </c>
      <c r="BB50" s="38" t="s">
        <v>3400</v>
      </c>
      <c r="BC50" s="38" t="s">
        <v>3404</v>
      </c>
      <c r="BD50" s="38" t="s">
        <v>3400</v>
      </c>
      <c r="BE50" s="38" t="s">
        <v>3395</v>
      </c>
      <c r="BF50" s="38" t="s">
        <v>3408</v>
      </c>
      <c r="BG50" s="38" t="s">
        <v>3399</v>
      </c>
      <c r="BH50" s="38" t="s">
        <v>3406</v>
      </c>
      <c r="BI50" s="38" t="s">
        <v>3406</v>
      </c>
      <c r="BJ50" s="38" t="s">
        <v>3397</v>
      </c>
      <c r="BK50" s="38" t="s">
        <v>3403</v>
      </c>
      <c r="BL50" s="38" t="s">
        <v>3402</v>
      </c>
      <c r="BM50" s="38" t="s">
        <v>3409</v>
      </c>
      <c r="BO50" s="52" t="s">
        <v>3160</v>
      </c>
      <c r="BP50" s="52" t="s">
        <v>3410</v>
      </c>
      <c r="BQ50" t="s">
        <v>3411</v>
      </c>
      <c r="BR50" s="53" t="s">
        <v>2680</v>
      </c>
      <c r="BS50" s="54" t="s">
        <v>2680</v>
      </c>
      <c r="BT50" s="3"/>
      <c r="BU50" s="3"/>
      <c r="BV50" s="3"/>
      <c r="BW50" s="3"/>
      <c r="BX50" s="3"/>
      <c r="BY50" s="3"/>
      <c r="BZ50" s="3"/>
      <c r="CA50" s="3"/>
      <c r="CB50" s="3"/>
      <c r="CC50" s="3"/>
      <c r="CD50" s="3"/>
      <c r="CX50" s="38" t="s">
        <v>3412</v>
      </c>
      <c r="CY50" s="51" t="s">
        <v>3413</v>
      </c>
      <c r="CZ50">
        <v>49</v>
      </c>
    </row>
    <row r="51" ht="14.25" customHeight="1" spans="3:104">
      <c r="C51" s="30" t="s">
        <v>267</v>
      </c>
      <c r="D51">
        <f>G85</f>
        <v>4</v>
      </c>
      <c r="E51" s="1" t="s">
        <v>281</v>
      </c>
      <c r="M51" s="38"/>
      <c r="O51">
        <v>16</v>
      </c>
      <c r="P51">
        <v>16</v>
      </c>
      <c r="U51" s="30" t="s">
        <v>3414</v>
      </c>
      <c r="V51" s="30">
        <v>14</v>
      </c>
      <c r="W51" s="30" t="s">
        <v>74</v>
      </c>
      <c r="X51" s="30">
        <v>20</v>
      </c>
      <c r="Y51" s="30"/>
      <c r="Z51" s="30"/>
      <c r="AB51" s="30" t="s">
        <v>3415</v>
      </c>
      <c r="AC51" s="49" t="s">
        <v>3369</v>
      </c>
      <c r="AD51" s="30" t="s">
        <v>2282</v>
      </c>
      <c r="AE51" s="30">
        <v>2</v>
      </c>
      <c r="AH51" s="38" t="s">
        <v>2169</v>
      </c>
      <c r="AI51" s="38" t="s">
        <v>2195</v>
      </c>
      <c r="AJ51" s="38" t="s">
        <v>2241</v>
      </c>
      <c r="AK51" s="38" t="s">
        <v>2288</v>
      </c>
      <c r="AL51" s="38" t="s">
        <v>2331</v>
      </c>
      <c r="AM51" s="38" t="s">
        <v>2373</v>
      </c>
      <c r="AN51" s="38" t="s">
        <v>2417</v>
      </c>
      <c r="AO51" s="38" t="s">
        <v>2457</v>
      </c>
      <c r="AP51" s="38" t="s">
        <v>2491</v>
      </c>
      <c r="AQ51" s="38" t="s">
        <v>2522</v>
      </c>
      <c r="AR51" s="38" t="s">
        <v>2554</v>
      </c>
      <c r="AS51" s="38" t="s">
        <v>2585</v>
      </c>
      <c r="AT51" s="38" t="s">
        <v>2615</v>
      </c>
      <c r="AU51" s="38" t="s">
        <v>2645</v>
      </c>
      <c r="AV51" s="38" t="s">
        <v>2668</v>
      </c>
      <c r="AW51" s="38" t="s">
        <v>2686</v>
      </c>
      <c r="AX51" s="38" t="s">
        <v>2707</v>
      </c>
      <c r="AY51" s="38" t="s">
        <v>2728</v>
      </c>
      <c r="AZ51" s="38" t="s">
        <v>2748</v>
      </c>
      <c r="BA51" s="38" t="s">
        <v>2767</v>
      </c>
      <c r="BB51" s="38" t="s">
        <v>2786</v>
      </c>
      <c r="BC51" s="38" t="s">
        <v>2805</v>
      </c>
      <c r="BD51" s="38" t="s">
        <v>2822</v>
      </c>
      <c r="BE51" s="38" t="s">
        <v>2840</v>
      </c>
      <c r="BF51" s="38" t="s">
        <v>2858</v>
      </c>
      <c r="BG51" s="38" t="s">
        <v>2878</v>
      </c>
      <c r="BH51" s="38" t="s">
        <v>2897</v>
      </c>
      <c r="BI51" s="38" t="s">
        <v>2914</v>
      </c>
      <c r="BJ51" s="38" t="s">
        <v>2931</v>
      </c>
      <c r="BK51" s="38" t="s">
        <v>2951</v>
      </c>
      <c r="BL51" s="38" t="s">
        <v>2969</v>
      </c>
      <c r="BM51" s="38" t="s">
        <v>2990</v>
      </c>
      <c r="BO51" s="52" t="s">
        <v>3187</v>
      </c>
      <c r="BP51" s="52" t="s">
        <v>3416</v>
      </c>
      <c r="BQ51" t="s">
        <v>3417</v>
      </c>
      <c r="BR51" s="53" t="s">
        <v>2698</v>
      </c>
      <c r="BS51" s="54" t="s">
        <v>2698</v>
      </c>
      <c r="BT51" s="3"/>
      <c r="BU51" s="3"/>
      <c r="BV51" s="3"/>
      <c r="BW51" s="3"/>
      <c r="BX51" s="3"/>
      <c r="BY51" s="3"/>
      <c r="BZ51" s="3"/>
      <c r="CA51" s="3"/>
      <c r="CB51" s="3"/>
      <c r="CC51" s="3"/>
      <c r="CD51" s="3"/>
      <c r="CX51" s="38" t="s">
        <v>3418</v>
      </c>
      <c r="CY51" s="51" t="s">
        <v>3419</v>
      </c>
      <c r="CZ51">
        <v>50</v>
      </c>
    </row>
    <row r="52" ht="14.25" customHeight="1" spans="3:104">
      <c r="C52" s="30" t="s">
        <v>268</v>
      </c>
      <c r="D52">
        <f>H85</f>
        <v>3</v>
      </c>
      <c r="E52" s="1" t="s">
        <v>281</v>
      </c>
      <c r="M52" s="38"/>
      <c r="O52">
        <v>17</v>
      </c>
      <c r="P52">
        <v>17</v>
      </c>
      <c r="U52" s="30" t="s">
        <v>3420</v>
      </c>
      <c r="V52" s="30">
        <v>15</v>
      </c>
      <c r="W52" s="30" t="s">
        <v>3270</v>
      </c>
      <c r="X52" s="30">
        <v>40</v>
      </c>
      <c r="Y52" s="30"/>
      <c r="Z52" s="30"/>
      <c r="AB52" s="30" t="s">
        <v>3421</v>
      </c>
      <c r="AC52" s="50" t="s">
        <v>3422</v>
      </c>
      <c r="AD52" s="30" t="s">
        <v>2191</v>
      </c>
      <c r="AE52" s="30">
        <v>1</v>
      </c>
      <c r="AH52" s="38" t="s">
        <v>3423</v>
      </c>
      <c r="AI52" s="51" t="s">
        <v>3424</v>
      </c>
      <c r="AJ52" s="51" t="s">
        <v>3425</v>
      </c>
      <c r="AK52" s="51" t="s">
        <v>3425</v>
      </c>
      <c r="AL52" s="51" t="s">
        <v>3426</v>
      </c>
      <c r="AM52" s="51" t="s">
        <v>3426</v>
      </c>
      <c r="AN52" s="51" t="s">
        <v>3427</v>
      </c>
      <c r="AO52" s="51" t="s">
        <v>3428</v>
      </c>
      <c r="AP52" s="38" t="s">
        <v>3428</v>
      </c>
      <c r="AQ52" s="38" t="s">
        <v>3429</v>
      </c>
      <c r="AR52" s="51" t="s">
        <v>3430</v>
      </c>
      <c r="AS52" s="51" t="s">
        <v>3430</v>
      </c>
      <c r="AT52" s="51" t="s">
        <v>3431</v>
      </c>
      <c r="AU52" s="51" t="s">
        <v>3432</v>
      </c>
      <c r="AV52" s="51" t="s">
        <v>3433</v>
      </c>
      <c r="AW52" s="38" t="s">
        <v>3433</v>
      </c>
      <c r="AX52" s="51" t="s">
        <v>3434</v>
      </c>
      <c r="AY52" s="51" t="s">
        <v>3435</v>
      </c>
      <c r="AZ52" s="51" t="s">
        <v>3434</v>
      </c>
      <c r="BA52" s="51" t="s">
        <v>3434</v>
      </c>
      <c r="BB52" s="51" t="s">
        <v>3428</v>
      </c>
      <c r="BC52" s="51" t="s">
        <v>3432</v>
      </c>
      <c r="BD52" s="51" t="s">
        <v>3428</v>
      </c>
      <c r="BE52" s="38" t="s">
        <v>3423</v>
      </c>
      <c r="BF52" s="38" t="s">
        <v>3436</v>
      </c>
      <c r="BG52" s="51" t="s">
        <v>3427</v>
      </c>
      <c r="BH52" s="51" t="s">
        <v>3434</v>
      </c>
      <c r="BI52" s="51" t="s">
        <v>3434</v>
      </c>
      <c r="BJ52" s="51" t="s">
        <v>3425</v>
      </c>
      <c r="BK52" s="51" t="s">
        <v>3431</v>
      </c>
      <c r="BL52" s="51" t="s">
        <v>3430</v>
      </c>
      <c r="BM52" s="51" t="s">
        <v>3437</v>
      </c>
      <c r="BO52" s="52" t="s">
        <v>3188</v>
      </c>
      <c r="BP52" s="52" t="s">
        <v>3438</v>
      </c>
      <c r="BQ52" t="s">
        <v>3417</v>
      </c>
      <c r="BR52" s="53" t="s">
        <v>2719</v>
      </c>
      <c r="BS52" s="54" t="s">
        <v>3439</v>
      </c>
      <c r="BT52" s="3" t="s">
        <v>3440</v>
      </c>
      <c r="BU52" s="3"/>
      <c r="BV52" s="3"/>
      <c r="BW52" s="3"/>
      <c r="BX52" s="3"/>
      <c r="BY52" s="3"/>
      <c r="BZ52" s="3"/>
      <c r="CA52" s="3"/>
      <c r="CB52" s="3"/>
      <c r="CC52" s="3"/>
      <c r="CD52" s="3"/>
      <c r="CX52" s="38" t="s">
        <v>3441</v>
      </c>
      <c r="CY52" s="51" t="s">
        <v>3442</v>
      </c>
      <c r="CZ52">
        <v>51</v>
      </c>
    </row>
    <row r="53" ht="14.25" customHeight="1" spans="3:104">
      <c r="C53" s="30" t="s">
        <v>2177</v>
      </c>
      <c r="D53" t="s">
        <v>281</v>
      </c>
      <c r="E53" s="1" t="s">
        <v>281</v>
      </c>
      <c r="M53" s="38"/>
      <c r="O53">
        <v>18</v>
      </c>
      <c r="P53">
        <v>18</v>
      </c>
      <c r="U53" s="30" t="s">
        <v>3443</v>
      </c>
      <c r="V53" s="30">
        <v>14</v>
      </c>
      <c r="W53" s="30" t="s">
        <v>3270</v>
      </c>
      <c r="X53" s="30">
        <v>40</v>
      </c>
      <c r="Y53" s="30"/>
      <c r="Z53" s="30"/>
      <c r="AB53" s="30" t="s">
        <v>3444</v>
      </c>
      <c r="AC53" s="49" t="s">
        <v>132</v>
      </c>
      <c r="AD53" s="30" t="s">
        <v>2191</v>
      </c>
      <c r="AE53" s="30">
        <v>1</v>
      </c>
      <c r="AH53" s="38" t="s">
        <v>3445</v>
      </c>
      <c r="AI53" s="38" t="s">
        <v>3446</v>
      </c>
      <c r="AJ53" s="38" t="s">
        <v>3447</v>
      </c>
      <c r="AK53" s="38" t="s">
        <v>3447</v>
      </c>
      <c r="AL53" s="38" t="s">
        <v>3448</v>
      </c>
      <c r="AM53" s="38" t="s">
        <v>3448</v>
      </c>
      <c r="AN53" s="38" t="s">
        <v>3449</v>
      </c>
      <c r="AO53" s="38" t="s">
        <v>3450</v>
      </c>
      <c r="AP53" s="38" t="s">
        <v>3450</v>
      </c>
      <c r="AQ53" s="38" t="s">
        <v>3451</v>
      </c>
      <c r="AR53" s="38" t="s">
        <v>3452</v>
      </c>
      <c r="AS53" s="38" t="s">
        <v>3452</v>
      </c>
      <c r="AT53" s="38" t="s">
        <v>3453</v>
      </c>
      <c r="AU53" s="38" t="s">
        <v>3454</v>
      </c>
      <c r="AV53" s="38" t="s">
        <v>3455</v>
      </c>
      <c r="AW53" s="38" t="s">
        <v>3455</v>
      </c>
      <c r="AX53" s="38" t="s">
        <v>3456</v>
      </c>
      <c r="AY53" s="38" t="s">
        <v>3457</v>
      </c>
      <c r="AZ53" s="38" t="s">
        <v>3456</v>
      </c>
      <c r="BA53" s="38" t="s">
        <v>3456</v>
      </c>
      <c r="BB53" s="38" t="s">
        <v>3450</v>
      </c>
      <c r="BC53" s="38" t="s">
        <v>3454</v>
      </c>
      <c r="BD53" s="38" t="s">
        <v>3450</v>
      </c>
      <c r="BE53" s="38" t="s">
        <v>3445</v>
      </c>
      <c r="BF53" s="38" t="s">
        <v>3458</v>
      </c>
      <c r="BG53" s="38" t="s">
        <v>3449</v>
      </c>
      <c r="BH53" s="38" t="s">
        <v>3456</v>
      </c>
      <c r="BI53" s="38" t="s">
        <v>3456</v>
      </c>
      <c r="BJ53" s="38" t="s">
        <v>3447</v>
      </c>
      <c r="BK53" s="38" t="s">
        <v>3453</v>
      </c>
      <c r="BL53" s="38" t="s">
        <v>3452</v>
      </c>
      <c r="BM53" s="38" t="s">
        <v>3459</v>
      </c>
      <c r="BO53" s="52" t="s">
        <v>3192</v>
      </c>
      <c r="BP53" s="52" t="s">
        <v>3460</v>
      </c>
      <c r="BQ53" t="s">
        <v>3417</v>
      </c>
      <c r="BR53" s="53" t="s">
        <v>2740</v>
      </c>
      <c r="BS53" s="54" t="s">
        <v>2740</v>
      </c>
      <c r="BT53" s="3"/>
      <c r="BU53" s="3"/>
      <c r="BV53" s="3"/>
      <c r="BW53" s="3"/>
      <c r="BX53" s="3"/>
      <c r="BY53" s="3"/>
      <c r="BZ53" s="3"/>
      <c r="CA53" s="3"/>
      <c r="CB53" s="3"/>
      <c r="CC53" s="3"/>
      <c r="CD53" s="3"/>
      <c r="CX53" s="38" t="s">
        <v>3461</v>
      </c>
      <c r="CY53" s="51" t="s">
        <v>3462</v>
      </c>
      <c r="CZ53">
        <v>52</v>
      </c>
    </row>
    <row r="54" ht="14.25" customHeight="1" spans="3:104">
      <c r="C54" s="30" t="s">
        <v>2178</v>
      </c>
      <c r="D54" t="s">
        <v>281</v>
      </c>
      <c r="E54" s="1" t="s">
        <v>281</v>
      </c>
      <c r="M54" s="38"/>
      <c r="O54">
        <v>19</v>
      </c>
      <c r="P54">
        <v>19</v>
      </c>
      <c r="U54" s="30" t="s">
        <v>3463</v>
      </c>
      <c r="V54" s="30">
        <v>16</v>
      </c>
      <c r="W54" s="30" t="s">
        <v>3270</v>
      </c>
      <c r="X54" s="30">
        <v>55</v>
      </c>
      <c r="Y54" s="30"/>
      <c r="Z54" s="30"/>
      <c r="AB54" s="30" t="s">
        <v>3464</v>
      </c>
      <c r="AC54" s="49" t="s">
        <v>3465</v>
      </c>
      <c r="AD54" s="30" t="s">
        <v>2282</v>
      </c>
      <c r="AE54" s="30">
        <v>25</v>
      </c>
      <c r="AH54" s="38" t="s">
        <v>3466</v>
      </c>
      <c r="AI54" s="51" t="s">
        <v>3467</v>
      </c>
      <c r="AJ54" s="38" t="s">
        <v>3468</v>
      </c>
      <c r="AK54" s="38" t="s">
        <v>3468</v>
      </c>
      <c r="AL54" s="38" t="s">
        <v>3469</v>
      </c>
      <c r="AM54" s="38" t="s">
        <v>3469</v>
      </c>
      <c r="AN54" s="38" t="s">
        <v>3470</v>
      </c>
      <c r="AO54" s="38" t="s">
        <v>3471</v>
      </c>
      <c r="AP54" s="38" t="s">
        <v>3471</v>
      </c>
      <c r="AQ54" s="38" t="s">
        <v>3472</v>
      </c>
      <c r="AR54" s="38" t="s">
        <v>3473</v>
      </c>
      <c r="AS54" s="38" t="s">
        <v>3473</v>
      </c>
      <c r="AT54" s="38" t="s">
        <v>3474</v>
      </c>
      <c r="AU54" s="38" t="s">
        <v>3475</v>
      </c>
      <c r="AV54" s="38" t="s">
        <v>3476</v>
      </c>
      <c r="AW54" s="38" t="s">
        <v>3476</v>
      </c>
      <c r="AX54" s="38" t="s">
        <v>3477</v>
      </c>
      <c r="AY54" s="38" t="s">
        <v>3478</v>
      </c>
      <c r="AZ54" s="38" t="s">
        <v>3477</v>
      </c>
      <c r="BA54" s="38" t="s">
        <v>3477</v>
      </c>
      <c r="BB54" s="38" t="s">
        <v>3471</v>
      </c>
      <c r="BC54" s="38" t="s">
        <v>3475</v>
      </c>
      <c r="BD54" s="38" t="s">
        <v>3471</v>
      </c>
      <c r="BE54" s="38" t="s">
        <v>3466</v>
      </c>
      <c r="BF54" s="38" t="s">
        <v>3479</v>
      </c>
      <c r="BG54" s="38" t="s">
        <v>3470</v>
      </c>
      <c r="BH54" s="38" t="s">
        <v>3477</v>
      </c>
      <c r="BI54" s="38" t="s">
        <v>3477</v>
      </c>
      <c r="BJ54" s="38" t="s">
        <v>3468</v>
      </c>
      <c r="BK54" s="38" t="s">
        <v>3474</v>
      </c>
      <c r="BL54" s="38" t="s">
        <v>3473</v>
      </c>
      <c r="BM54" s="38" t="s">
        <v>3480</v>
      </c>
      <c r="BO54" s="52" t="s">
        <v>3190</v>
      </c>
      <c r="BP54" s="52" t="s">
        <v>3481</v>
      </c>
      <c r="BQ54" t="s">
        <v>3417</v>
      </c>
      <c r="BR54" s="53" t="s">
        <v>2760</v>
      </c>
      <c r="BS54" s="54" t="s">
        <v>2760</v>
      </c>
      <c r="BT54" s="3"/>
      <c r="BU54" s="3"/>
      <c r="BV54" s="3"/>
      <c r="BW54" s="3"/>
      <c r="BX54" s="3"/>
      <c r="BY54" s="3"/>
      <c r="BZ54" s="3"/>
      <c r="CA54" s="3"/>
      <c r="CB54" s="3"/>
      <c r="CC54" s="3"/>
      <c r="CD54" s="3"/>
      <c r="CX54" s="38" t="s">
        <v>3482</v>
      </c>
      <c r="CY54" s="51" t="s">
        <v>3483</v>
      </c>
      <c r="CZ54">
        <v>53</v>
      </c>
    </row>
    <row r="55" ht="14.25" customHeight="1" spans="3:104">
      <c r="C55" s="30" t="s">
        <v>47</v>
      </c>
      <c r="D55">
        <f>I85</f>
        <v>3</v>
      </c>
      <c r="E55" s="1">
        <f>F107</f>
        <v>6</v>
      </c>
      <c r="M55" s="38"/>
      <c r="O55">
        <v>20</v>
      </c>
      <c r="P55">
        <v>20</v>
      </c>
      <c r="U55" s="30" t="s">
        <v>3484</v>
      </c>
      <c r="V55" s="30">
        <v>17</v>
      </c>
      <c r="W55" s="30" t="s">
        <v>3270</v>
      </c>
      <c r="X55" s="30">
        <v>60</v>
      </c>
      <c r="Y55" s="30"/>
      <c r="Z55" s="30"/>
      <c r="AB55" s="30" t="s">
        <v>3485</v>
      </c>
      <c r="AC55" s="49" t="s">
        <v>132</v>
      </c>
      <c r="AD55" s="30" t="s">
        <v>2488</v>
      </c>
      <c r="AE55" s="30">
        <v>0</v>
      </c>
      <c r="AH55" s="38" t="s">
        <v>3486</v>
      </c>
      <c r="AI55" s="38" t="s">
        <v>3487</v>
      </c>
      <c r="AJ55" s="38" t="s">
        <v>3488</v>
      </c>
      <c r="AK55" s="38" t="s">
        <v>3488</v>
      </c>
      <c r="AL55" s="38" t="s">
        <v>3489</v>
      </c>
      <c r="AM55" s="38" t="s">
        <v>3489</v>
      </c>
      <c r="AN55" s="38" t="s">
        <v>3490</v>
      </c>
      <c r="AO55" s="38" t="s">
        <v>3491</v>
      </c>
      <c r="AP55" s="38" t="s">
        <v>3491</v>
      </c>
      <c r="AQ55" s="38" t="s">
        <v>3492</v>
      </c>
      <c r="AR55" s="38" t="s">
        <v>3493</v>
      </c>
      <c r="AS55" s="38" t="s">
        <v>3493</v>
      </c>
      <c r="AT55" s="38" t="s">
        <v>3494</v>
      </c>
      <c r="AU55" s="38" t="s">
        <v>3495</v>
      </c>
      <c r="AV55" s="38" t="s">
        <v>3496</v>
      </c>
      <c r="AW55" s="38" t="s">
        <v>3496</v>
      </c>
      <c r="AX55" s="38" t="s">
        <v>3497</v>
      </c>
      <c r="AY55" s="38" t="s">
        <v>3498</v>
      </c>
      <c r="AZ55" s="38" t="s">
        <v>3497</v>
      </c>
      <c r="BA55" s="38" t="s">
        <v>3497</v>
      </c>
      <c r="BB55" s="38" t="s">
        <v>3491</v>
      </c>
      <c r="BC55" s="38" t="s">
        <v>3495</v>
      </c>
      <c r="BD55" s="38" t="s">
        <v>3491</v>
      </c>
      <c r="BE55" s="38" t="s">
        <v>3486</v>
      </c>
      <c r="BF55" s="38" t="s">
        <v>3499</v>
      </c>
      <c r="BG55" s="38" t="s">
        <v>3490</v>
      </c>
      <c r="BH55" s="38" t="s">
        <v>3497</v>
      </c>
      <c r="BI55" s="38" t="s">
        <v>3497</v>
      </c>
      <c r="BJ55" s="38" t="s">
        <v>3488</v>
      </c>
      <c r="BK55" s="38" t="s">
        <v>3494</v>
      </c>
      <c r="BL55" s="38" t="s">
        <v>3493</v>
      </c>
      <c r="BM55" s="38" t="s">
        <v>3500</v>
      </c>
      <c r="BO55" s="52" t="s">
        <v>3191</v>
      </c>
      <c r="BP55" s="52" t="s">
        <v>3501</v>
      </c>
      <c r="BQ55" t="s">
        <v>3417</v>
      </c>
      <c r="BR55" s="53" t="s">
        <v>2777</v>
      </c>
      <c r="BS55" s="54" t="s">
        <v>2777</v>
      </c>
      <c r="BT55" s="3"/>
      <c r="BU55" s="3"/>
      <c r="BV55" s="3"/>
      <c r="BW55" s="3"/>
      <c r="BX55" s="3"/>
      <c r="BY55" s="3"/>
      <c r="BZ55" s="3"/>
      <c r="CA55" s="3"/>
      <c r="CB55" s="3"/>
      <c r="CC55" s="3"/>
      <c r="CD55" s="3"/>
      <c r="CX55" s="38" t="s">
        <v>3502</v>
      </c>
      <c r="CY55" s="51" t="s">
        <v>3503</v>
      </c>
      <c r="CZ55">
        <v>54</v>
      </c>
    </row>
    <row r="56" ht="14.25" customHeight="1" spans="3:104">
      <c r="C56" s="30" t="s">
        <v>273</v>
      </c>
      <c r="D56">
        <f>J85</f>
        <v>2</v>
      </c>
      <c r="E56" s="1" t="s">
        <v>281</v>
      </c>
      <c r="M56" s="38"/>
      <c r="N56" t="s">
        <v>3504</v>
      </c>
      <c r="P56">
        <f>VLOOKUP(N36,O36:P55,2,0)</f>
        <v>5</v>
      </c>
      <c r="U56" s="30" t="s">
        <v>3505</v>
      </c>
      <c r="V56" s="30">
        <v>18</v>
      </c>
      <c r="W56" s="30" t="s">
        <v>3270</v>
      </c>
      <c r="X56" s="30">
        <v>65</v>
      </c>
      <c r="Y56" s="30"/>
      <c r="Z56" s="30"/>
      <c r="AB56" s="30" t="s">
        <v>3506</v>
      </c>
      <c r="AC56" s="49" t="s">
        <v>132</v>
      </c>
      <c r="AD56" s="30" t="s">
        <v>3263</v>
      </c>
      <c r="AE56" s="30">
        <v>0</v>
      </c>
      <c r="AH56" s="38" t="s">
        <v>3507</v>
      </c>
      <c r="AI56" s="38" t="s">
        <v>3508</v>
      </c>
      <c r="AJ56" s="38" t="s">
        <v>3509</v>
      </c>
      <c r="AK56" s="38" t="s">
        <v>3509</v>
      </c>
      <c r="AL56" s="38" t="s">
        <v>3510</v>
      </c>
      <c r="AM56" s="38" t="s">
        <v>3510</v>
      </c>
      <c r="AN56" s="38" t="s">
        <v>3511</v>
      </c>
      <c r="AO56" s="38" t="s">
        <v>3512</v>
      </c>
      <c r="AP56" s="38" t="s">
        <v>3512</v>
      </c>
      <c r="AQ56" s="38" t="s">
        <v>3513</v>
      </c>
      <c r="AR56" s="38" t="s">
        <v>3514</v>
      </c>
      <c r="AS56" s="38" t="s">
        <v>3514</v>
      </c>
      <c r="AT56" s="38" t="s">
        <v>3515</v>
      </c>
      <c r="AU56" s="38" t="s">
        <v>3516</v>
      </c>
      <c r="AV56" s="38" t="s">
        <v>3517</v>
      </c>
      <c r="AW56" s="38" t="s">
        <v>3517</v>
      </c>
      <c r="AX56" s="38" t="s">
        <v>3518</v>
      </c>
      <c r="AY56" s="38" t="s">
        <v>3519</v>
      </c>
      <c r="AZ56" s="38" t="s">
        <v>3518</v>
      </c>
      <c r="BA56" s="38" t="s">
        <v>3518</v>
      </c>
      <c r="BB56" s="38" t="s">
        <v>3512</v>
      </c>
      <c r="BC56" s="38" t="s">
        <v>3516</v>
      </c>
      <c r="BD56" s="38" t="s">
        <v>3512</v>
      </c>
      <c r="BE56" s="38" t="s">
        <v>3507</v>
      </c>
      <c r="BF56" s="38" t="s">
        <v>3520</v>
      </c>
      <c r="BG56" s="38" t="s">
        <v>3511</v>
      </c>
      <c r="BH56" s="38" t="s">
        <v>3518</v>
      </c>
      <c r="BI56" s="38" t="s">
        <v>3518</v>
      </c>
      <c r="BJ56" s="38" t="s">
        <v>3509</v>
      </c>
      <c r="BK56" s="38" t="s">
        <v>3515</v>
      </c>
      <c r="BL56" s="38" t="s">
        <v>3514</v>
      </c>
      <c r="BM56" s="38" t="s">
        <v>3521</v>
      </c>
      <c r="BO56" s="52" t="s">
        <v>3192</v>
      </c>
      <c r="BP56" s="52" t="s">
        <v>3460</v>
      </c>
      <c r="BQ56" t="s">
        <v>3417</v>
      </c>
      <c r="BR56" s="53" t="s">
        <v>2795</v>
      </c>
      <c r="BS56" s="54" t="s">
        <v>2795</v>
      </c>
      <c r="BT56" s="3"/>
      <c r="BU56" s="3"/>
      <c r="BV56" s="3"/>
      <c r="BW56" s="3"/>
      <c r="BX56" s="3"/>
      <c r="BY56" s="3"/>
      <c r="BZ56" s="3"/>
      <c r="CA56" s="3"/>
      <c r="CB56" s="3"/>
      <c r="CC56" s="3"/>
      <c r="CD56" s="3"/>
      <c r="CX56" s="38" t="s">
        <v>3522</v>
      </c>
      <c r="CY56" s="51" t="s">
        <v>3523</v>
      </c>
      <c r="CZ56">
        <v>55</v>
      </c>
    </row>
    <row r="57" ht="14.25" customHeight="1" spans="3:104">
      <c r="C57" s="30" t="s">
        <v>2179</v>
      </c>
      <c r="D57" t="s">
        <v>281</v>
      </c>
      <c r="E57" s="1" t="s">
        <v>281</v>
      </c>
      <c r="M57" s="38"/>
      <c r="N57">
        <f>主要情况!W3</f>
        <v>5</v>
      </c>
      <c r="O57">
        <v>1</v>
      </c>
      <c r="P57" t="s">
        <v>2158</v>
      </c>
      <c r="Q57" t="s">
        <v>2232</v>
      </c>
      <c r="U57" s="30" t="s">
        <v>2271</v>
      </c>
      <c r="V57" s="30">
        <f>10+主要情况!G10+主要情况!G12</f>
        <v>13</v>
      </c>
      <c r="W57" s="30" t="s">
        <v>74</v>
      </c>
      <c r="X57" s="30">
        <v>0</v>
      </c>
      <c r="Y57" s="30"/>
      <c r="Z57" s="30"/>
      <c r="AB57" s="30" t="s">
        <v>3524</v>
      </c>
      <c r="AC57" s="49" t="s">
        <v>132</v>
      </c>
      <c r="AD57" s="30" t="s">
        <v>3263</v>
      </c>
      <c r="AE57" s="30">
        <v>4</v>
      </c>
      <c r="AH57" s="38" t="s">
        <v>3525</v>
      </c>
      <c r="AI57" s="38" t="s">
        <v>3526</v>
      </c>
      <c r="AJ57" s="38" t="s">
        <v>3527</v>
      </c>
      <c r="AK57" s="38" t="s">
        <v>3527</v>
      </c>
      <c r="AL57" s="38" t="s">
        <v>3528</v>
      </c>
      <c r="AM57" s="38" t="s">
        <v>3528</v>
      </c>
      <c r="AN57" s="38" t="s">
        <v>3529</v>
      </c>
      <c r="AO57" s="38" t="s">
        <v>3530</v>
      </c>
      <c r="AP57" s="38" t="s">
        <v>3530</v>
      </c>
      <c r="AQ57" s="38" t="s">
        <v>3531</v>
      </c>
      <c r="AR57" s="38" t="s">
        <v>3532</v>
      </c>
      <c r="AS57" s="38" t="s">
        <v>3532</v>
      </c>
      <c r="AT57" s="38" t="s">
        <v>3533</v>
      </c>
      <c r="AU57" s="38" t="s">
        <v>3534</v>
      </c>
      <c r="AV57" s="38" t="s">
        <v>3535</v>
      </c>
      <c r="AW57" s="38" t="s">
        <v>3535</v>
      </c>
      <c r="AX57" s="38" t="s">
        <v>3536</v>
      </c>
      <c r="AY57" s="38" t="s">
        <v>3537</v>
      </c>
      <c r="AZ57" s="38" t="s">
        <v>3536</v>
      </c>
      <c r="BA57" s="38" t="s">
        <v>3536</v>
      </c>
      <c r="BB57" s="38" t="s">
        <v>3530</v>
      </c>
      <c r="BC57" s="38" t="s">
        <v>3534</v>
      </c>
      <c r="BD57" s="38" t="s">
        <v>3530</v>
      </c>
      <c r="BE57" s="38" t="s">
        <v>3525</v>
      </c>
      <c r="BF57" s="38" t="s">
        <v>3538</v>
      </c>
      <c r="BG57" s="38" t="s">
        <v>3529</v>
      </c>
      <c r="BH57" s="38" t="s">
        <v>3536</v>
      </c>
      <c r="BI57" s="38" t="s">
        <v>3536</v>
      </c>
      <c r="BJ57" s="38" t="s">
        <v>3527</v>
      </c>
      <c r="BK57" s="38" t="s">
        <v>3533</v>
      </c>
      <c r="BL57" s="38" t="s">
        <v>3532</v>
      </c>
      <c r="BM57" s="38" t="s">
        <v>3539</v>
      </c>
      <c r="BO57" s="52" t="s">
        <v>3193</v>
      </c>
      <c r="BP57" s="52" t="s">
        <v>3540</v>
      </c>
      <c r="BQ57" t="s">
        <v>3417</v>
      </c>
      <c r="BR57" s="53" t="s">
        <v>2815</v>
      </c>
      <c r="BS57" s="54" t="s">
        <v>3541</v>
      </c>
      <c r="BT57" s="3" t="s">
        <v>3542</v>
      </c>
      <c r="BU57" s="3"/>
      <c r="BV57" s="3"/>
      <c r="BW57" s="3"/>
      <c r="BX57" s="3"/>
      <c r="BY57" s="3"/>
      <c r="BZ57" s="3"/>
      <c r="CA57" s="3"/>
      <c r="CB57" s="3"/>
      <c r="CC57" s="3"/>
      <c r="CD57" s="3"/>
      <c r="CX57" s="38" t="s">
        <v>3543</v>
      </c>
      <c r="CY57" s="51" t="s">
        <v>3544</v>
      </c>
      <c r="CZ57">
        <v>56</v>
      </c>
    </row>
    <row r="58" ht="14.25" customHeight="1" spans="3:104">
      <c r="C58" s="30" t="s">
        <v>269</v>
      </c>
      <c r="D58" t="s">
        <v>281</v>
      </c>
      <c r="E58" s="1" t="s">
        <v>281</v>
      </c>
      <c r="M58" s="38"/>
      <c r="O58">
        <v>2</v>
      </c>
      <c r="P58" t="s">
        <v>2158</v>
      </c>
      <c r="U58" s="30" t="s">
        <v>2213</v>
      </c>
      <c r="V58" s="30">
        <f>10+主要情况!G10+主要情况!G16</f>
        <v>14</v>
      </c>
      <c r="W58" s="30" t="s">
        <v>74</v>
      </c>
      <c r="X58" s="30">
        <v>0</v>
      </c>
      <c r="Y58" s="30"/>
      <c r="Z58" s="30"/>
      <c r="AB58" s="30" t="s">
        <v>3545</v>
      </c>
      <c r="AC58" s="49" t="s">
        <v>132</v>
      </c>
      <c r="AD58" s="30" t="s">
        <v>3546</v>
      </c>
      <c r="AE58" s="30">
        <v>25</v>
      </c>
      <c r="AH58" s="38" t="s">
        <v>2170</v>
      </c>
      <c r="AI58" s="38" t="s">
        <v>2196</v>
      </c>
      <c r="AJ58" s="38" t="s">
        <v>2242</v>
      </c>
      <c r="AK58" s="38" t="s">
        <v>2289</v>
      </c>
      <c r="AL58" s="38" t="s">
        <v>2332</v>
      </c>
      <c r="AM58" s="38" t="s">
        <v>2374</v>
      </c>
      <c r="AN58" s="38" t="s">
        <v>2418</v>
      </c>
      <c r="AO58" s="38" t="s">
        <v>2458</v>
      </c>
      <c r="AP58" s="38" t="s">
        <v>2492</v>
      </c>
      <c r="AQ58" s="38" t="s">
        <v>2523</v>
      </c>
      <c r="AR58" s="38" t="s">
        <v>2555</v>
      </c>
      <c r="AS58" s="38" t="s">
        <v>2586</v>
      </c>
      <c r="AT58" s="38" t="s">
        <v>2616</v>
      </c>
      <c r="AU58" s="38" t="s">
        <v>2646</v>
      </c>
      <c r="AV58" s="38" t="s">
        <v>2669</v>
      </c>
      <c r="AW58" s="38" t="s">
        <v>2687</v>
      </c>
      <c r="AX58" s="38" t="s">
        <v>2708</v>
      </c>
      <c r="AY58" s="38" t="s">
        <v>2729</v>
      </c>
      <c r="AZ58" s="38" t="s">
        <v>2749</v>
      </c>
      <c r="BA58" s="38" t="s">
        <v>2768</v>
      </c>
      <c r="BB58" s="38" t="s">
        <v>2787</v>
      </c>
      <c r="BC58" s="38" t="s">
        <v>2806</v>
      </c>
      <c r="BD58" s="38" t="s">
        <v>2823</v>
      </c>
      <c r="BE58" s="38" t="s">
        <v>2841</v>
      </c>
      <c r="BF58" s="38" t="s">
        <v>2859</v>
      </c>
      <c r="BG58" s="38" t="s">
        <v>2879</v>
      </c>
      <c r="BH58" s="38" t="s">
        <v>2898</v>
      </c>
      <c r="BI58" s="38" t="s">
        <v>2915</v>
      </c>
      <c r="BJ58" s="38" t="s">
        <v>2932</v>
      </c>
      <c r="BK58" s="38" t="s">
        <v>2952</v>
      </c>
      <c r="BL58" s="38" t="s">
        <v>2970</v>
      </c>
      <c r="BM58" s="38" t="s">
        <v>2991</v>
      </c>
      <c r="BO58" s="52" t="s">
        <v>3194</v>
      </c>
      <c r="BP58" s="52" t="s">
        <v>3547</v>
      </c>
      <c r="BQ58" t="s">
        <v>3417</v>
      </c>
      <c r="BR58" s="53" t="s">
        <v>2832</v>
      </c>
      <c r="BS58" s="54" t="s">
        <v>2832</v>
      </c>
      <c r="BT58" s="3"/>
      <c r="BU58" s="3"/>
      <c r="BV58" s="3"/>
      <c r="BW58" s="3"/>
      <c r="BX58" s="3"/>
      <c r="BY58" s="3"/>
      <c r="BZ58" s="3"/>
      <c r="CA58" s="3"/>
      <c r="CB58" s="3"/>
      <c r="CC58" s="3"/>
      <c r="CD58" s="3"/>
      <c r="CX58" s="38" t="s">
        <v>3548</v>
      </c>
      <c r="CY58" s="51" t="s">
        <v>3549</v>
      </c>
      <c r="CZ58">
        <v>57</v>
      </c>
    </row>
    <row r="59" ht="14.25" customHeight="1" spans="3:104">
      <c r="C59" s="30" t="s">
        <v>270</v>
      </c>
      <c r="D59" t="s">
        <v>281</v>
      </c>
      <c r="E59" s="1">
        <f>G107</f>
        <v>4</v>
      </c>
      <c r="M59" s="38"/>
      <c r="O59">
        <v>3</v>
      </c>
      <c r="P59" t="s">
        <v>2158</v>
      </c>
      <c r="U59" s="30" t="s">
        <v>646</v>
      </c>
      <c r="V59" s="30">
        <f>13+主要情况!G10</f>
        <v>16</v>
      </c>
      <c r="W59" s="30" t="s">
        <v>74</v>
      </c>
      <c r="X59" s="30">
        <v>0</v>
      </c>
      <c r="Y59" s="30"/>
      <c r="Z59" s="30"/>
      <c r="AB59" s="30" t="s">
        <v>3550</v>
      </c>
      <c r="AC59" s="49" t="s">
        <v>3551</v>
      </c>
      <c r="AD59" s="30" t="s">
        <v>2764</v>
      </c>
      <c r="AE59" s="30">
        <v>1</v>
      </c>
      <c r="AH59" s="38" t="s">
        <v>3552</v>
      </c>
      <c r="AI59" s="38" t="s">
        <v>3553</v>
      </c>
      <c r="AJ59" s="51" t="s">
        <v>3554</v>
      </c>
      <c r="AK59" s="51" t="s">
        <v>3554</v>
      </c>
      <c r="AL59" s="51" t="s">
        <v>3555</v>
      </c>
      <c r="AM59" s="51" t="s">
        <v>3555</v>
      </c>
      <c r="AN59" s="51" t="s">
        <v>3556</v>
      </c>
      <c r="AO59" s="51" t="s">
        <v>3557</v>
      </c>
      <c r="AP59" s="38" t="s">
        <v>3557</v>
      </c>
      <c r="AQ59" s="51" t="s">
        <v>3558</v>
      </c>
      <c r="AR59" s="51" t="s">
        <v>3559</v>
      </c>
      <c r="AS59" s="51" t="s">
        <v>3559</v>
      </c>
      <c r="AT59" s="51" t="s">
        <v>3560</v>
      </c>
      <c r="AU59" s="51" t="s">
        <v>3561</v>
      </c>
      <c r="AV59" s="51" t="s">
        <v>3562</v>
      </c>
      <c r="AW59" s="38" t="s">
        <v>3562</v>
      </c>
      <c r="AX59" s="51" t="s">
        <v>3563</v>
      </c>
      <c r="AY59" s="51" t="s">
        <v>3564</v>
      </c>
      <c r="AZ59" s="51" t="s">
        <v>3563</v>
      </c>
      <c r="BA59" s="51" t="s">
        <v>3563</v>
      </c>
      <c r="BB59" s="51" t="s">
        <v>3557</v>
      </c>
      <c r="BC59" s="51" t="s">
        <v>3561</v>
      </c>
      <c r="BD59" s="51" t="s">
        <v>3557</v>
      </c>
      <c r="BE59" s="38" t="s">
        <v>3552</v>
      </c>
      <c r="BF59" s="38" t="s">
        <v>3565</v>
      </c>
      <c r="BG59" s="51" t="s">
        <v>3556</v>
      </c>
      <c r="BH59" s="51" t="s">
        <v>3563</v>
      </c>
      <c r="BI59" s="51" t="s">
        <v>3563</v>
      </c>
      <c r="BJ59" s="51" t="s">
        <v>3554</v>
      </c>
      <c r="BK59" s="51" t="s">
        <v>3560</v>
      </c>
      <c r="BL59" s="51" t="s">
        <v>3559</v>
      </c>
      <c r="BM59" s="38" t="s">
        <v>3566</v>
      </c>
      <c r="BO59" s="52" t="s">
        <v>3195</v>
      </c>
      <c r="BP59" s="52" t="s">
        <v>3567</v>
      </c>
      <c r="BQ59" t="s">
        <v>3417</v>
      </c>
      <c r="BR59" s="53" t="s">
        <v>2850</v>
      </c>
      <c r="BS59" s="54" t="s">
        <v>2850</v>
      </c>
      <c r="BT59" s="3"/>
      <c r="BU59" s="3"/>
      <c r="BV59" s="3"/>
      <c r="BW59" s="3"/>
      <c r="BX59" s="3"/>
      <c r="BY59" s="3"/>
      <c r="BZ59" s="3"/>
      <c r="CA59" s="3"/>
      <c r="CB59" s="3"/>
      <c r="CC59" s="3"/>
      <c r="CD59" s="3"/>
      <c r="CX59" s="2" t="s">
        <v>3568</v>
      </c>
      <c r="CY59" s="43" t="s">
        <v>3569</v>
      </c>
      <c r="CZ59">
        <v>58</v>
      </c>
    </row>
    <row r="60" ht="14.25" customHeight="1" spans="3:104">
      <c r="C60" s="30" t="s">
        <v>2180</v>
      </c>
      <c r="D60" t="s">
        <v>281</v>
      </c>
      <c r="E60" s="1" t="s">
        <v>281</v>
      </c>
      <c r="M60" s="38"/>
      <c r="O60">
        <v>4</v>
      </c>
      <c r="P60" t="s">
        <v>2158</v>
      </c>
      <c r="AB60" s="30" t="s">
        <v>3570</v>
      </c>
      <c r="AC60" s="49" t="s">
        <v>3571</v>
      </c>
      <c r="AD60" s="30" t="s">
        <v>2488</v>
      </c>
      <c r="AE60" s="30">
        <v>2</v>
      </c>
      <c r="AH60" s="38" t="s">
        <v>3572</v>
      </c>
      <c r="AI60" s="38" t="s">
        <v>3573</v>
      </c>
      <c r="AJ60" s="38" t="s">
        <v>3574</v>
      </c>
      <c r="AK60" s="38" t="s">
        <v>3574</v>
      </c>
      <c r="AL60" s="38" t="s">
        <v>3575</v>
      </c>
      <c r="AM60" s="38" t="s">
        <v>3575</v>
      </c>
      <c r="AN60" s="38" t="s">
        <v>3576</v>
      </c>
      <c r="AO60" s="38" t="s">
        <v>3577</v>
      </c>
      <c r="AP60" s="38" t="s">
        <v>3577</v>
      </c>
      <c r="AQ60" s="38" t="s">
        <v>3578</v>
      </c>
      <c r="AR60" s="38" t="s">
        <v>3579</v>
      </c>
      <c r="AS60" s="38" t="s">
        <v>3579</v>
      </c>
      <c r="AT60" s="38" t="s">
        <v>3580</v>
      </c>
      <c r="AU60" s="38" t="s">
        <v>3581</v>
      </c>
      <c r="AV60" s="38" t="s">
        <v>3582</v>
      </c>
      <c r="AW60" s="38" t="s">
        <v>3582</v>
      </c>
      <c r="AX60" s="38" t="s">
        <v>3583</v>
      </c>
      <c r="AY60" s="38" t="s">
        <v>3584</v>
      </c>
      <c r="AZ60" s="38" t="s">
        <v>3583</v>
      </c>
      <c r="BA60" s="38" t="s">
        <v>3583</v>
      </c>
      <c r="BB60" s="38" t="s">
        <v>3577</v>
      </c>
      <c r="BC60" s="38" t="s">
        <v>3581</v>
      </c>
      <c r="BD60" s="38" t="s">
        <v>3577</v>
      </c>
      <c r="BE60" s="38" t="s">
        <v>3572</v>
      </c>
      <c r="BF60" s="38" t="s">
        <v>3585</v>
      </c>
      <c r="BG60" s="38" t="s">
        <v>3576</v>
      </c>
      <c r="BH60" s="38" t="s">
        <v>3583</v>
      </c>
      <c r="BI60" s="38" t="s">
        <v>3583</v>
      </c>
      <c r="BJ60" s="38" t="s">
        <v>3574</v>
      </c>
      <c r="BK60" s="38" t="s">
        <v>3580</v>
      </c>
      <c r="BL60" s="38" t="s">
        <v>3579</v>
      </c>
      <c r="BM60" s="38" t="s">
        <v>3586</v>
      </c>
      <c r="BO60" s="52" t="s">
        <v>3196</v>
      </c>
      <c r="BP60" s="52" t="s">
        <v>3587</v>
      </c>
      <c r="BQ60" t="s">
        <v>3417</v>
      </c>
      <c r="BR60" s="53" t="s">
        <v>2868</v>
      </c>
      <c r="BS60" s="54" t="s">
        <v>2868</v>
      </c>
      <c r="BT60" s="3"/>
      <c r="BU60" s="3"/>
      <c r="BV60" s="3"/>
      <c r="BW60" s="3"/>
      <c r="BX60" s="3"/>
      <c r="BY60" s="3"/>
      <c r="BZ60" s="3"/>
      <c r="CA60" s="3"/>
      <c r="CB60" s="3"/>
      <c r="CC60" s="3"/>
      <c r="CD60" s="3"/>
      <c r="CX60" s="52" t="s">
        <v>3588</v>
      </c>
      <c r="CY60" s="43" t="s">
        <v>3589</v>
      </c>
      <c r="CZ60">
        <v>59</v>
      </c>
    </row>
    <row r="61" ht="14.25" customHeight="1" spans="3:104">
      <c r="C61" s="38"/>
      <c r="D61" s="38">
        <f>VLOOKUP(B48,C48:D60,2,0)</f>
        <v>3</v>
      </c>
      <c r="E61" s="38">
        <f>VLOOKUP(B48,C48:E60,3,0)</f>
        <v>6</v>
      </c>
      <c r="M61" s="38"/>
      <c r="O61">
        <v>5</v>
      </c>
      <c r="P61" t="s">
        <v>2184</v>
      </c>
      <c r="AB61" s="30" t="s">
        <v>3590</v>
      </c>
      <c r="AC61" s="49" t="s">
        <v>3591</v>
      </c>
      <c r="AD61" s="30" t="s">
        <v>2282</v>
      </c>
      <c r="AE61" s="30">
        <v>2</v>
      </c>
      <c r="AH61" s="38" t="s">
        <v>3592</v>
      </c>
      <c r="AI61" s="38" t="s">
        <v>3593</v>
      </c>
      <c r="AJ61" s="38" t="s">
        <v>3594</v>
      </c>
      <c r="AK61" s="38" t="s">
        <v>3594</v>
      </c>
      <c r="AL61" s="38" t="s">
        <v>3595</v>
      </c>
      <c r="AM61" s="38" t="s">
        <v>3595</v>
      </c>
      <c r="AN61" s="38" t="s">
        <v>3596</v>
      </c>
      <c r="AO61" s="38" t="s">
        <v>3597</v>
      </c>
      <c r="AP61" s="38" t="s">
        <v>3597</v>
      </c>
      <c r="AQ61" s="38" t="s">
        <v>3598</v>
      </c>
      <c r="AR61" s="38" t="s">
        <v>3599</v>
      </c>
      <c r="AS61" s="38" t="s">
        <v>3599</v>
      </c>
      <c r="AT61" s="38" t="s">
        <v>3600</v>
      </c>
      <c r="AU61" s="38" t="s">
        <v>3601</v>
      </c>
      <c r="AV61" s="38" t="s">
        <v>3602</v>
      </c>
      <c r="AW61" s="38" t="s">
        <v>3602</v>
      </c>
      <c r="AX61" s="38" t="s">
        <v>3603</v>
      </c>
      <c r="AY61" s="38" t="s">
        <v>3604</v>
      </c>
      <c r="AZ61" s="38" t="s">
        <v>3603</v>
      </c>
      <c r="BA61" s="38" t="s">
        <v>3603</v>
      </c>
      <c r="BB61" s="38" t="s">
        <v>3597</v>
      </c>
      <c r="BC61" s="38" t="s">
        <v>3601</v>
      </c>
      <c r="BD61" s="38" t="s">
        <v>3597</v>
      </c>
      <c r="BE61" s="38" t="s">
        <v>3592</v>
      </c>
      <c r="BF61" s="38" t="s">
        <v>3605</v>
      </c>
      <c r="BG61" s="38" t="s">
        <v>3596</v>
      </c>
      <c r="BH61" s="38" t="s">
        <v>3603</v>
      </c>
      <c r="BI61" s="38" t="s">
        <v>3603</v>
      </c>
      <c r="BJ61" s="38" t="s">
        <v>3594</v>
      </c>
      <c r="BK61" s="38" t="s">
        <v>3600</v>
      </c>
      <c r="BL61" s="38" t="s">
        <v>3599</v>
      </c>
      <c r="BM61" s="38" t="s">
        <v>3606</v>
      </c>
      <c r="BO61" s="55" t="s">
        <v>2409</v>
      </c>
      <c r="BP61" s="55" t="s">
        <v>3607</v>
      </c>
      <c r="BQ61" t="s">
        <v>3608</v>
      </c>
      <c r="BR61" s="53" t="s">
        <v>3609</v>
      </c>
      <c r="BS61" s="54" t="s">
        <v>3609</v>
      </c>
      <c r="BT61" s="3"/>
      <c r="BU61" s="3"/>
      <c r="BV61" s="3"/>
      <c r="BW61" s="3"/>
      <c r="BX61" s="3"/>
      <c r="BY61" s="3"/>
      <c r="BZ61" s="3"/>
      <c r="CA61" s="3"/>
      <c r="CB61" s="3"/>
      <c r="CC61" s="3"/>
      <c r="CD61" s="3"/>
      <c r="CX61" s="52" t="s">
        <v>3610</v>
      </c>
      <c r="CY61" s="43" t="s">
        <v>3611</v>
      </c>
      <c r="CZ61">
        <v>60</v>
      </c>
    </row>
    <row r="62" ht="14.25" customHeight="1" spans="3:104">
      <c r="C62" s="38"/>
      <c r="D62" s="38"/>
      <c r="M62" s="38"/>
      <c r="O62">
        <v>6</v>
      </c>
      <c r="P62" t="s">
        <v>2184</v>
      </c>
      <c r="AB62" s="30" t="s">
        <v>3612</v>
      </c>
      <c r="AC62" s="49" t="s">
        <v>3613</v>
      </c>
      <c r="AD62" s="30" t="s">
        <v>2488</v>
      </c>
      <c r="AE62" s="30">
        <v>1</v>
      </c>
      <c r="AH62" s="38" t="s">
        <v>3614</v>
      </c>
      <c r="AI62" s="38" t="s">
        <v>3615</v>
      </c>
      <c r="AJ62" s="38" t="s">
        <v>3616</v>
      </c>
      <c r="AK62" s="38" t="s">
        <v>3616</v>
      </c>
      <c r="AL62" s="38" t="s">
        <v>3617</v>
      </c>
      <c r="AM62" s="38" t="s">
        <v>3617</v>
      </c>
      <c r="AN62" s="38" t="s">
        <v>3618</v>
      </c>
      <c r="AO62" s="38" t="s">
        <v>3619</v>
      </c>
      <c r="AP62" s="38" t="s">
        <v>3619</v>
      </c>
      <c r="AQ62" s="38" t="s">
        <v>3620</v>
      </c>
      <c r="AR62" s="38" t="s">
        <v>3621</v>
      </c>
      <c r="AS62" s="38" t="s">
        <v>3621</v>
      </c>
      <c r="AT62" s="38" t="s">
        <v>3622</v>
      </c>
      <c r="AU62" s="38" t="s">
        <v>3623</v>
      </c>
      <c r="AV62" s="38" t="s">
        <v>3624</v>
      </c>
      <c r="AW62" s="38" t="s">
        <v>3624</v>
      </c>
      <c r="AX62" s="38" t="s">
        <v>3625</v>
      </c>
      <c r="AY62" s="38" t="s">
        <v>3626</v>
      </c>
      <c r="AZ62" s="38" t="s">
        <v>3625</v>
      </c>
      <c r="BA62" s="38" t="s">
        <v>3625</v>
      </c>
      <c r="BB62" s="38" t="s">
        <v>3619</v>
      </c>
      <c r="BC62" s="38" t="s">
        <v>3623</v>
      </c>
      <c r="BD62" s="38" t="s">
        <v>3619</v>
      </c>
      <c r="BE62" s="38" t="s">
        <v>3614</v>
      </c>
      <c r="BF62" s="38" t="s">
        <v>3627</v>
      </c>
      <c r="BG62" s="38" t="s">
        <v>3618</v>
      </c>
      <c r="BH62" s="38" t="s">
        <v>3625</v>
      </c>
      <c r="BI62" s="38" t="s">
        <v>3625</v>
      </c>
      <c r="BJ62" s="38" t="s">
        <v>3616</v>
      </c>
      <c r="BK62" s="38" t="s">
        <v>3622</v>
      </c>
      <c r="BL62" s="38" t="s">
        <v>3621</v>
      </c>
      <c r="BM62" s="38" t="s">
        <v>3628</v>
      </c>
      <c r="BO62" s="55" t="s">
        <v>2447</v>
      </c>
      <c r="BP62" s="55" t="s">
        <v>3629</v>
      </c>
      <c r="BQ62" t="s">
        <v>3630</v>
      </c>
      <c r="BR62" s="53" t="s">
        <v>2907</v>
      </c>
      <c r="BS62" s="54" t="s">
        <v>2907</v>
      </c>
      <c r="BT62" s="3"/>
      <c r="BU62" s="3"/>
      <c r="BV62" s="3"/>
      <c r="BW62" s="3"/>
      <c r="BX62" s="3"/>
      <c r="BY62" s="3"/>
      <c r="BZ62" s="3"/>
      <c r="CA62" s="3"/>
      <c r="CB62" s="3"/>
      <c r="CC62" s="3"/>
      <c r="CD62" s="3"/>
      <c r="CX62" s="52" t="s">
        <v>3631</v>
      </c>
      <c r="CY62" s="43" t="s">
        <v>3632</v>
      </c>
      <c r="CZ62">
        <v>61</v>
      </c>
    </row>
    <row r="63" ht="14.25" customHeight="1" spans="3:104">
      <c r="C63" s="38"/>
      <c r="D63" s="38"/>
      <c r="M63" s="38"/>
      <c r="O63">
        <v>7</v>
      </c>
      <c r="P63" t="s">
        <v>2184</v>
      </c>
      <c r="AB63" s="30" t="s">
        <v>3633</v>
      </c>
      <c r="AC63" s="49" t="s">
        <v>3634</v>
      </c>
      <c r="AD63" s="30" t="s">
        <v>3106</v>
      </c>
      <c r="AE63" s="30">
        <v>0</v>
      </c>
      <c r="AH63" s="38" t="s">
        <v>3635</v>
      </c>
      <c r="AI63" s="38" t="s">
        <v>3636</v>
      </c>
      <c r="AJ63" s="38" t="s">
        <v>3637</v>
      </c>
      <c r="AK63" s="38" t="s">
        <v>3637</v>
      </c>
      <c r="AL63" s="38" t="s">
        <v>3638</v>
      </c>
      <c r="AM63" s="38" t="s">
        <v>3638</v>
      </c>
      <c r="AN63" s="38" t="s">
        <v>3639</v>
      </c>
      <c r="AO63" s="38" t="s">
        <v>3640</v>
      </c>
      <c r="AP63" s="38" t="s">
        <v>3640</v>
      </c>
      <c r="AQ63" s="38" t="s">
        <v>3641</v>
      </c>
      <c r="AR63" s="38" t="s">
        <v>3642</v>
      </c>
      <c r="AS63" s="38" t="s">
        <v>3642</v>
      </c>
      <c r="AT63" s="38" t="s">
        <v>3643</v>
      </c>
      <c r="AU63" s="38" t="s">
        <v>3644</v>
      </c>
      <c r="AV63" s="38" t="s">
        <v>3645</v>
      </c>
      <c r="AW63" s="38" t="s">
        <v>3645</v>
      </c>
      <c r="AX63" s="38" t="s">
        <v>3646</v>
      </c>
      <c r="AY63" s="38" t="s">
        <v>3647</v>
      </c>
      <c r="AZ63" s="38" t="s">
        <v>3646</v>
      </c>
      <c r="BA63" s="38" t="s">
        <v>3646</v>
      </c>
      <c r="BB63" s="38" t="s">
        <v>3640</v>
      </c>
      <c r="BC63" s="38" t="s">
        <v>3644</v>
      </c>
      <c r="BD63" s="38" t="s">
        <v>3640</v>
      </c>
      <c r="BE63" s="38" t="s">
        <v>3635</v>
      </c>
      <c r="BF63" s="38" t="s">
        <v>3648</v>
      </c>
      <c r="BG63" s="38" t="s">
        <v>3639</v>
      </c>
      <c r="BH63" s="38" t="s">
        <v>3646</v>
      </c>
      <c r="BI63" s="38" t="s">
        <v>3646</v>
      </c>
      <c r="BJ63" s="38" t="s">
        <v>3637</v>
      </c>
      <c r="BK63" s="38" t="s">
        <v>3643</v>
      </c>
      <c r="BL63" s="38" t="s">
        <v>3642</v>
      </c>
      <c r="BM63" s="38" t="s">
        <v>3649</v>
      </c>
      <c r="BO63" s="55" t="s">
        <v>2483</v>
      </c>
      <c r="BP63" s="55" t="s">
        <v>3650</v>
      </c>
      <c r="BQ63" t="s">
        <v>3630</v>
      </c>
      <c r="BR63" s="53" t="s">
        <v>2924</v>
      </c>
      <c r="BS63" s="54" t="s">
        <v>2924</v>
      </c>
      <c r="BT63" s="3"/>
      <c r="BU63" s="3"/>
      <c r="BV63" s="3"/>
      <c r="BW63" s="3"/>
      <c r="BX63" s="3"/>
      <c r="BY63" s="3"/>
      <c r="BZ63" s="3"/>
      <c r="CA63" s="3"/>
      <c r="CB63" s="3"/>
      <c r="CC63" s="3"/>
      <c r="CD63" s="3"/>
      <c r="CX63" s="52" t="s">
        <v>3651</v>
      </c>
      <c r="CY63" s="43" t="s">
        <v>3652</v>
      </c>
      <c r="CZ63">
        <v>62</v>
      </c>
    </row>
    <row r="64" ht="14.25" customHeight="1" spans="3:104">
      <c r="C64" s="4"/>
      <c r="D64" s="4" t="s">
        <v>3653</v>
      </c>
      <c r="E64" s="4" t="s">
        <v>3654</v>
      </c>
      <c r="F64" s="4" t="s">
        <v>3655</v>
      </c>
      <c r="G64" s="4" t="s">
        <v>3656</v>
      </c>
      <c r="H64" s="4" t="s">
        <v>3657</v>
      </c>
      <c r="I64" s="4" t="s">
        <v>3658</v>
      </c>
      <c r="J64" s="4" t="s">
        <v>3659</v>
      </c>
      <c r="K64" s="38"/>
      <c r="L64" s="38"/>
      <c r="M64" s="38"/>
      <c r="O64">
        <v>8</v>
      </c>
      <c r="P64" t="s">
        <v>2184</v>
      </c>
      <c r="AB64" s="30" t="s">
        <v>3660</v>
      </c>
      <c r="AC64" s="49" t="s">
        <v>3661</v>
      </c>
      <c r="AD64" s="30" t="s">
        <v>2165</v>
      </c>
      <c r="AE64" s="30">
        <v>6</v>
      </c>
      <c r="AH64" s="38" t="s">
        <v>3662</v>
      </c>
      <c r="AI64" s="38" t="s">
        <v>3663</v>
      </c>
      <c r="AJ64" s="38" t="s">
        <v>3664</v>
      </c>
      <c r="AK64" s="38" t="s">
        <v>3664</v>
      </c>
      <c r="AL64" s="38" t="s">
        <v>3665</v>
      </c>
      <c r="AM64" s="38" t="s">
        <v>3665</v>
      </c>
      <c r="AN64" s="38" t="s">
        <v>3666</v>
      </c>
      <c r="AO64" s="38" t="s">
        <v>3667</v>
      </c>
      <c r="AP64" s="38" t="s">
        <v>3667</v>
      </c>
      <c r="AQ64" s="38" t="s">
        <v>3668</v>
      </c>
      <c r="AR64" s="38" t="s">
        <v>3669</v>
      </c>
      <c r="AS64" s="38" t="s">
        <v>3669</v>
      </c>
      <c r="AT64" s="38" t="s">
        <v>3670</v>
      </c>
      <c r="AU64" s="38" t="s">
        <v>3671</v>
      </c>
      <c r="AV64" s="38" t="s">
        <v>3672</v>
      </c>
      <c r="AW64" s="38" t="s">
        <v>3672</v>
      </c>
      <c r="AX64" s="38" t="s">
        <v>3673</v>
      </c>
      <c r="AY64" s="38" t="s">
        <v>3674</v>
      </c>
      <c r="AZ64" s="38" t="s">
        <v>3673</v>
      </c>
      <c r="BA64" s="38" t="s">
        <v>3673</v>
      </c>
      <c r="BB64" s="38" t="s">
        <v>3667</v>
      </c>
      <c r="BC64" s="38" t="s">
        <v>3671</v>
      </c>
      <c r="BD64" s="38" t="s">
        <v>3667</v>
      </c>
      <c r="BE64" s="38" t="s">
        <v>3662</v>
      </c>
      <c r="BF64" s="38" t="s">
        <v>3675</v>
      </c>
      <c r="BG64" s="38" t="s">
        <v>3666</v>
      </c>
      <c r="BH64" s="38" t="s">
        <v>3673</v>
      </c>
      <c r="BI64" s="38" t="s">
        <v>3673</v>
      </c>
      <c r="BJ64" s="38" t="s">
        <v>3664</v>
      </c>
      <c r="BK64" s="38" t="s">
        <v>3670</v>
      </c>
      <c r="BL64" s="38" t="s">
        <v>3669</v>
      </c>
      <c r="BM64" s="38" t="s">
        <v>3676</v>
      </c>
      <c r="BO64" s="55" t="s">
        <v>2513</v>
      </c>
      <c r="BP64" s="55" t="s">
        <v>3677</v>
      </c>
      <c r="BQ64" t="s">
        <v>3678</v>
      </c>
      <c r="BR64" s="53" t="s">
        <v>2941</v>
      </c>
      <c r="BS64" s="54" t="s">
        <v>2941</v>
      </c>
      <c r="BT64" s="3"/>
      <c r="BU64" s="3"/>
      <c r="BV64" s="3"/>
      <c r="BW64" s="3"/>
      <c r="BX64" s="3"/>
      <c r="BY64" s="3"/>
      <c r="BZ64" s="3"/>
      <c r="CA64" s="3"/>
      <c r="CB64" s="3"/>
      <c r="CC64" s="3"/>
      <c r="CD64" s="3"/>
      <c r="CX64" s="52" t="s">
        <v>3679</v>
      </c>
      <c r="CY64" s="43" t="s">
        <v>3680</v>
      </c>
      <c r="CZ64">
        <v>63</v>
      </c>
    </row>
    <row r="65" ht="14.25" customHeight="1" spans="2:104">
      <c r="B65">
        <f>主要情况!W3</f>
        <v>5</v>
      </c>
      <c r="C65" s="4">
        <v>1</v>
      </c>
      <c r="D65" s="57">
        <v>3</v>
      </c>
      <c r="E65" s="57">
        <v>4</v>
      </c>
      <c r="F65" s="57">
        <v>2</v>
      </c>
      <c r="G65" s="57">
        <v>3</v>
      </c>
      <c r="H65" s="57">
        <v>2</v>
      </c>
      <c r="I65" s="57">
        <v>2</v>
      </c>
      <c r="J65" s="57">
        <v>2</v>
      </c>
      <c r="K65" s="38"/>
      <c r="L65" s="38"/>
      <c r="M65" s="38"/>
      <c r="O65">
        <v>9</v>
      </c>
      <c r="P65" t="s">
        <v>2184</v>
      </c>
      <c r="AB65" s="30" t="s">
        <v>3681</v>
      </c>
      <c r="AC65" s="49" t="s">
        <v>3682</v>
      </c>
      <c r="AD65" s="30" t="s">
        <v>3683</v>
      </c>
      <c r="AE65" s="30">
        <v>1</v>
      </c>
      <c r="BM65" s="38"/>
      <c r="BO65" s="52" t="s">
        <v>3265</v>
      </c>
      <c r="BP65" s="52" t="s">
        <v>3684</v>
      </c>
      <c r="BQ65" t="s">
        <v>3685</v>
      </c>
      <c r="BR65" s="53" t="s">
        <v>2961</v>
      </c>
      <c r="BS65" s="54" t="s">
        <v>3686</v>
      </c>
      <c r="BT65" s="3" t="s">
        <v>3687</v>
      </c>
      <c r="BU65" s="3" t="s">
        <v>3688</v>
      </c>
      <c r="BV65" s="3" t="s">
        <v>3689</v>
      </c>
      <c r="BW65" s="3"/>
      <c r="BX65" s="3"/>
      <c r="BY65" s="3"/>
      <c r="BZ65" s="3"/>
      <c r="CA65" s="3"/>
      <c r="CB65" s="3"/>
      <c r="CC65" s="3"/>
      <c r="CD65" s="3"/>
      <c r="CX65" s="52" t="s">
        <v>3690</v>
      </c>
      <c r="CY65" s="43" t="s">
        <v>3691</v>
      </c>
      <c r="CZ65">
        <v>64</v>
      </c>
    </row>
    <row r="66" ht="14.25" customHeight="1" spans="1:104">
      <c r="A66" s="38"/>
      <c r="B66" s="38"/>
      <c r="C66" s="4">
        <v>2</v>
      </c>
      <c r="D66" s="57">
        <v>3</v>
      </c>
      <c r="E66" s="57">
        <v>4</v>
      </c>
      <c r="F66" s="57">
        <v>2</v>
      </c>
      <c r="G66" s="57">
        <v>3</v>
      </c>
      <c r="H66" s="57">
        <v>2</v>
      </c>
      <c r="I66" s="57">
        <v>2</v>
      </c>
      <c r="J66" s="57">
        <v>2</v>
      </c>
      <c r="K66" s="38"/>
      <c r="L66" s="38"/>
      <c r="M66" s="38"/>
      <c r="O66">
        <v>10</v>
      </c>
      <c r="P66" t="s">
        <v>2231</v>
      </c>
      <c r="V66" t="e">
        <f>VLOOKUP(T1,U1:Z41,2,0)&amp;"+"&amp;VLOOKUP(主要情况!AA25,主要情况!C8:H19,5,0)+'BUY点计算器&amp;武器调整栏'!C16</f>
        <v>#N/A</v>
      </c>
      <c r="W66" t="e">
        <f>VLOOKUP(T1,U1:Z64,3,0)</f>
        <v>#N/A</v>
      </c>
      <c r="X66" t="e">
        <f>VLOOKUP(T1,U1:Z64,4,0)</f>
        <v>#N/A</v>
      </c>
      <c r="Y66" t="e">
        <f>VLOOKUP(T1,U1:Z64,5,0)</f>
        <v>#N/A</v>
      </c>
      <c r="Z66" t="e">
        <f>VLOOKUP(T1,U1:Z64,6,0)</f>
        <v>#N/A</v>
      </c>
      <c r="AB66" s="30" t="s">
        <v>3692</v>
      </c>
      <c r="AC66" s="49" t="s">
        <v>132</v>
      </c>
      <c r="AD66" s="30" t="s">
        <v>2282</v>
      </c>
      <c r="AE66" s="30">
        <v>0.5</v>
      </c>
      <c r="AH66" s="38" t="s">
        <v>2172</v>
      </c>
      <c r="AI66" s="38" t="s">
        <v>2198</v>
      </c>
      <c r="AJ66" s="38" t="s">
        <v>2244</v>
      </c>
      <c r="AK66" s="38" t="s">
        <v>2291</v>
      </c>
      <c r="AL66" s="38" t="s">
        <v>2334</v>
      </c>
      <c r="AM66" s="38" t="s">
        <v>2376</v>
      </c>
      <c r="AN66" s="38" t="s">
        <v>2420</v>
      </c>
      <c r="AO66" s="38" t="s">
        <v>2460</v>
      </c>
      <c r="AP66" s="38" t="s">
        <v>2494</v>
      </c>
      <c r="AQ66" s="38" t="s">
        <v>2525</v>
      </c>
      <c r="AR66" s="38" t="s">
        <v>2557</v>
      </c>
      <c r="AS66" s="38" t="s">
        <v>2588</v>
      </c>
      <c r="AT66" s="38" t="s">
        <v>2618</v>
      </c>
      <c r="AU66" s="38" t="s">
        <v>2648</v>
      </c>
      <c r="AV66" s="38" t="s">
        <v>2671</v>
      </c>
      <c r="AW66" s="38" t="s">
        <v>2689</v>
      </c>
      <c r="AX66" s="38" t="s">
        <v>2710</v>
      </c>
      <c r="AY66" s="38" t="s">
        <v>2731</v>
      </c>
      <c r="AZ66" s="38" t="s">
        <v>2751</v>
      </c>
      <c r="BA66" s="38" t="s">
        <v>2770</v>
      </c>
      <c r="BB66" s="38" t="s">
        <v>2789</v>
      </c>
      <c r="BC66" s="38" t="s">
        <v>2808</v>
      </c>
      <c r="BD66" s="38" t="s">
        <v>2825</v>
      </c>
      <c r="BE66" s="38" t="s">
        <v>2843</v>
      </c>
      <c r="BF66" s="38" t="s">
        <v>2861</v>
      </c>
      <c r="BG66" s="38" t="s">
        <v>2881</v>
      </c>
      <c r="BH66" s="38" t="s">
        <v>2900</v>
      </c>
      <c r="BI66" s="38" t="s">
        <v>2917</v>
      </c>
      <c r="BJ66" s="38" t="s">
        <v>2934</v>
      </c>
      <c r="BK66" s="38" t="s">
        <v>2954</v>
      </c>
      <c r="BL66" s="38" t="s">
        <v>2972</v>
      </c>
      <c r="BM66" s="38" t="s">
        <v>2993</v>
      </c>
      <c r="BO66" s="52" t="s">
        <v>3266</v>
      </c>
      <c r="BP66" s="52" t="s">
        <v>3693</v>
      </c>
      <c r="BQ66" t="s">
        <v>3694</v>
      </c>
      <c r="BR66" s="53" t="s">
        <v>2979</v>
      </c>
      <c r="BS66" s="54" t="s">
        <v>2979</v>
      </c>
      <c r="BT66" s="3"/>
      <c r="BU66" s="3"/>
      <c r="BV66" s="3"/>
      <c r="BW66" s="3"/>
      <c r="BX66" s="3"/>
      <c r="BY66" s="3"/>
      <c r="BZ66" s="3"/>
      <c r="CA66" s="3"/>
      <c r="CB66" s="3"/>
      <c r="CC66" s="3"/>
      <c r="CD66" s="3"/>
      <c r="CX66" s="52" t="s">
        <v>3695</v>
      </c>
      <c r="CY66" s="43" t="s">
        <v>3696</v>
      </c>
      <c r="CZ66">
        <v>65</v>
      </c>
    </row>
    <row r="67" ht="14.25" customHeight="1" spans="1:104">
      <c r="A67" s="38"/>
      <c r="B67" s="38"/>
      <c r="C67" s="4">
        <v>3</v>
      </c>
      <c r="D67" s="57">
        <v>3</v>
      </c>
      <c r="E67" s="57">
        <v>4</v>
      </c>
      <c r="F67" s="57">
        <v>2</v>
      </c>
      <c r="G67" s="57">
        <v>3</v>
      </c>
      <c r="H67" s="57">
        <v>2</v>
      </c>
      <c r="I67" s="57">
        <v>2</v>
      </c>
      <c r="J67" s="57">
        <v>2</v>
      </c>
      <c r="K67" s="38"/>
      <c r="L67" s="38"/>
      <c r="M67" s="38"/>
      <c r="O67">
        <v>11</v>
      </c>
      <c r="P67" t="s">
        <v>2231</v>
      </c>
      <c r="V67" t="e">
        <f>VLOOKUP(T2,U1:Z64,2,0)&amp;"+"&amp;VLOOKUP(主要情况!AA26,主要情况!C8:H19,5,0)+'BUY点计算器&amp;武器调整栏'!C19</f>
        <v>#N/A</v>
      </c>
      <c r="W67" t="e">
        <f>VLOOKUP(T2,U1:Z64,3,0)</f>
        <v>#N/A</v>
      </c>
      <c r="X67" t="e">
        <f>VLOOKUP(T2,U1:Z64,4,0)</f>
        <v>#N/A</v>
      </c>
      <c r="Y67" t="e">
        <f>VLOOKUP(T2,U1:Z64,5,0)</f>
        <v>#N/A</v>
      </c>
      <c r="Z67" t="e">
        <f>VLOOKUP(T2,U1:Z64,6,0)</f>
        <v>#N/A</v>
      </c>
      <c r="AB67" s="30" t="s">
        <v>3697</v>
      </c>
      <c r="AC67" s="49" t="s">
        <v>3698</v>
      </c>
      <c r="AD67" s="30" t="s">
        <v>3546</v>
      </c>
      <c r="AE67" s="30">
        <v>1</v>
      </c>
      <c r="AH67" s="38" t="s">
        <v>3699</v>
      </c>
      <c r="AI67" s="38" t="s">
        <v>3700</v>
      </c>
      <c r="AJ67" s="38" t="s">
        <v>3701</v>
      </c>
      <c r="AK67" s="38" t="s">
        <v>3701</v>
      </c>
      <c r="AL67" s="38" t="s">
        <v>3702</v>
      </c>
      <c r="AM67" s="38" t="s">
        <v>3702</v>
      </c>
      <c r="AN67" s="38" t="s">
        <v>3703</v>
      </c>
      <c r="AO67" s="38" t="s">
        <v>3704</v>
      </c>
      <c r="AP67" s="38" t="s">
        <v>3704</v>
      </c>
      <c r="AQ67" s="38" t="s">
        <v>3705</v>
      </c>
      <c r="AR67" s="38" t="s">
        <v>3706</v>
      </c>
      <c r="AS67" s="38" t="s">
        <v>3706</v>
      </c>
      <c r="AT67" s="38" t="s">
        <v>3707</v>
      </c>
      <c r="AU67" s="38" t="s">
        <v>3708</v>
      </c>
      <c r="AV67" s="38" t="s">
        <v>3709</v>
      </c>
      <c r="AW67" s="38" t="s">
        <v>3709</v>
      </c>
      <c r="AX67" s="38" t="s">
        <v>3710</v>
      </c>
      <c r="AY67" s="38" t="s">
        <v>3711</v>
      </c>
      <c r="AZ67" s="38" t="s">
        <v>3712</v>
      </c>
      <c r="BA67" s="38" t="s">
        <v>3712</v>
      </c>
      <c r="BB67" s="38" t="s">
        <v>3713</v>
      </c>
      <c r="BC67" s="38" t="s">
        <v>3714</v>
      </c>
      <c r="BD67" s="38" t="s">
        <v>3715</v>
      </c>
      <c r="BE67" s="38" t="s">
        <v>3716</v>
      </c>
      <c r="BF67" s="38" t="s">
        <v>3717</v>
      </c>
      <c r="BG67" s="38" t="s">
        <v>3718</v>
      </c>
      <c r="BH67" s="38" t="s">
        <v>3719</v>
      </c>
      <c r="BI67" s="38" t="s">
        <v>3720</v>
      </c>
      <c r="BJ67" s="38" t="s">
        <v>3721</v>
      </c>
      <c r="BK67" s="38" t="s">
        <v>3707</v>
      </c>
      <c r="BL67" s="38" t="s">
        <v>3706</v>
      </c>
      <c r="BM67" s="38" t="s">
        <v>3722</v>
      </c>
      <c r="BO67" s="55" t="s">
        <v>3288</v>
      </c>
      <c r="BP67" s="55" t="s">
        <v>3723</v>
      </c>
      <c r="BQ67" t="s">
        <v>3724</v>
      </c>
      <c r="BR67" s="53" t="s">
        <v>3000</v>
      </c>
      <c r="BS67" s="54" t="s">
        <v>3000</v>
      </c>
      <c r="BT67" s="3"/>
      <c r="BU67" s="3"/>
      <c r="BV67" s="3"/>
      <c r="BW67" s="3"/>
      <c r="BX67" s="3"/>
      <c r="BY67" s="3"/>
      <c r="BZ67" s="3"/>
      <c r="CA67" s="3"/>
      <c r="CB67" s="3"/>
      <c r="CC67" s="3"/>
      <c r="CD67" s="3"/>
      <c r="CX67" s="52" t="s">
        <v>3725</v>
      </c>
      <c r="CY67" s="43" t="s">
        <v>3726</v>
      </c>
      <c r="CZ67">
        <v>66</v>
      </c>
    </row>
    <row r="68" ht="14.25" customHeight="1" spans="1:104">
      <c r="A68" s="38"/>
      <c r="B68" s="38"/>
      <c r="C68" s="4">
        <v>4</v>
      </c>
      <c r="D68" s="4">
        <v>4</v>
      </c>
      <c r="E68" s="4">
        <v>5</v>
      </c>
      <c r="F68" s="4">
        <v>3</v>
      </c>
      <c r="G68" s="4">
        <v>4</v>
      </c>
      <c r="H68" s="4">
        <v>3</v>
      </c>
      <c r="I68" s="4">
        <v>3</v>
      </c>
      <c r="J68" s="57">
        <v>2</v>
      </c>
      <c r="K68" s="38"/>
      <c r="L68" s="38"/>
      <c r="M68" s="38"/>
      <c r="O68">
        <v>12</v>
      </c>
      <c r="P68" t="s">
        <v>2231</v>
      </c>
      <c r="V68" t="e">
        <f>VLOOKUP(T3,U1:Z64,2,0)&amp;"+"&amp;VLOOKUP(主要情况!AA27,主要情况!C8:H19,5,0)+'BUY点计算器&amp;武器调整栏'!C22</f>
        <v>#N/A</v>
      </c>
      <c r="W68" t="str">
        <f>VLOOKUP(T3,U1:Z64,3,0)</f>
        <v>-</v>
      </c>
      <c r="X68" t="str">
        <f>VLOOKUP(T3,U1:Z64,4,0)</f>
        <v>-</v>
      </c>
      <c r="Y68" t="str">
        <f>VLOOKUP(T3,U1:Z64,5,0)</f>
        <v>-</v>
      </c>
      <c r="Z68" t="str">
        <f>VLOOKUP(T3,U1:Z64,6,0)</f>
        <v>-</v>
      </c>
      <c r="AB68" s="30" t="s">
        <v>3727</v>
      </c>
      <c r="AC68" s="49" t="s">
        <v>132</v>
      </c>
      <c r="AD68" s="30" t="s">
        <v>3683</v>
      </c>
      <c r="AE68" s="30">
        <v>0</v>
      </c>
      <c r="AH68" s="38" t="s">
        <v>2173</v>
      </c>
      <c r="AI68" s="38" t="s">
        <v>2199</v>
      </c>
      <c r="AJ68" s="38" t="s">
        <v>2245</v>
      </c>
      <c r="AK68" s="38" t="s">
        <v>2292</v>
      </c>
      <c r="AL68" s="38" t="s">
        <v>2335</v>
      </c>
      <c r="AM68" s="38" t="s">
        <v>2377</v>
      </c>
      <c r="AN68" s="38" t="s">
        <v>2421</v>
      </c>
      <c r="AO68" s="38" t="s">
        <v>2461</v>
      </c>
      <c r="AP68" s="38" t="s">
        <v>2495</v>
      </c>
      <c r="AQ68" s="38" t="s">
        <v>2526</v>
      </c>
      <c r="AR68" s="38" t="s">
        <v>2558</v>
      </c>
      <c r="AS68" s="38" t="s">
        <v>2589</v>
      </c>
      <c r="AT68" s="38" t="s">
        <v>2619</v>
      </c>
      <c r="AU68" s="38" t="s">
        <v>2649</v>
      </c>
      <c r="AV68" s="38" t="s">
        <v>2672</v>
      </c>
      <c r="AW68" s="38" t="s">
        <v>2690</v>
      </c>
      <c r="AX68" s="38" t="s">
        <v>2711</v>
      </c>
      <c r="AY68" s="38" t="s">
        <v>2732</v>
      </c>
      <c r="AZ68" s="38" t="s">
        <v>2752</v>
      </c>
      <c r="BA68" s="38" t="s">
        <v>2771</v>
      </c>
      <c r="BB68" s="38" t="s">
        <v>2790</v>
      </c>
      <c r="BC68" s="38" t="s">
        <v>2809</v>
      </c>
      <c r="BD68" s="38" t="s">
        <v>2826</v>
      </c>
      <c r="BE68" s="38" t="s">
        <v>2844</v>
      </c>
      <c r="BF68" s="38" t="s">
        <v>2862</v>
      </c>
      <c r="BG68" s="38" t="s">
        <v>2882</v>
      </c>
      <c r="BH68" s="38" t="s">
        <v>2901</v>
      </c>
      <c r="BI68" s="38" t="s">
        <v>2918</v>
      </c>
      <c r="BJ68" s="38" t="s">
        <v>2935</v>
      </c>
      <c r="BK68" s="38" t="s">
        <v>2955</v>
      </c>
      <c r="BL68" s="38" t="s">
        <v>2973</v>
      </c>
      <c r="BM68" s="38" t="s">
        <v>2994</v>
      </c>
      <c r="BO68" s="52" t="s">
        <v>3289</v>
      </c>
      <c r="BP68" s="52" t="s">
        <v>3728</v>
      </c>
      <c r="BQ68" t="s">
        <v>3729</v>
      </c>
      <c r="BR68" s="30" t="s">
        <v>3730</v>
      </c>
      <c r="BS68" t="s">
        <v>3730</v>
      </c>
      <c r="CX68" s="52" t="s">
        <v>3731</v>
      </c>
      <c r="CY68" s="43" t="s">
        <v>3732</v>
      </c>
      <c r="CZ68">
        <v>67</v>
      </c>
    </row>
    <row r="69" ht="14.25" customHeight="1" spans="1:104">
      <c r="A69" s="38"/>
      <c r="B69" s="38"/>
      <c r="C69" s="4">
        <v>5</v>
      </c>
      <c r="D69" s="4">
        <v>4</v>
      </c>
      <c r="E69" s="4">
        <v>5</v>
      </c>
      <c r="F69" s="4">
        <v>3</v>
      </c>
      <c r="G69" s="4">
        <v>4</v>
      </c>
      <c r="H69" s="4">
        <v>3</v>
      </c>
      <c r="I69" s="4">
        <v>3</v>
      </c>
      <c r="J69" s="57">
        <v>2</v>
      </c>
      <c r="K69" s="38"/>
      <c r="L69" s="38"/>
      <c r="M69" s="38"/>
      <c r="O69">
        <v>13</v>
      </c>
      <c r="P69" t="s">
        <v>2231</v>
      </c>
      <c r="AB69" s="30" t="s">
        <v>3733</v>
      </c>
      <c r="AC69" s="49" t="s">
        <v>132</v>
      </c>
      <c r="AD69" s="30" t="s">
        <v>3546</v>
      </c>
      <c r="AE69" s="30">
        <v>0</v>
      </c>
      <c r="AH69" s="38" t="s">
        <v>2945</v>
      </c>
      <c r="AI69" s="38" t="s">
        <v>3734</v>
      </c>
      <c r="AJ69" s="38" t="s">
        <v>3735</v>
      </c>
      <c r="AK69" s="38" t="s">
        <v>3735</v>
      </c>
      <c r="AL69" s="38" t="s">
        <v>3736</v>
      </c>
      <c r="AM69" s="38" t="s">
        <v>3736</v>
      </c>
      <c r="AN69" s="38" t="s">
        <v>3737</v>
      </c>
      <c r="AO69" s="38" t="s">
        <v>3738</v>
      </c>
      <c r="AP69" s="38" t="s">
        <v>3739</v>
      </c>
      <c r="AQ69" s="38" t="s">
        <v>3740</v>
      </c>
      <c r="AR69" s="38" t="s">
        <v>3741</v>
      </c>
      <c r="AS69" s="38" t="s">
        <v>3741</v>
      </c>
      <c r="AT69" s="38" t="s">
        <v>3742</v>
      </c>
      <c r="AU69" s="38" t="s">
        <v>2945</v>
      </c>
      <c r="AV69" s="38" t="s">
        <v>3743</v>
      </c>
      <c r="AW69" s="38" t="s">
        <v>3743</v>
      </c>
      <c r="AX69" s="38" t="s">
        <v>3744</v>
      </c>
      <c r="AY69" s="38" t="s">
        <v>3745</v>
      </c>
      <c r="AZ69" s="38" t="s">
        <v>2945</v>
      </c>
      <c r="BA69" s="38" t="s">
        <v>2945</v>
      </c>
      <c r="BB69" s="38" t="s">
        <v>3746</v>
      </c>
      <c r="BC69" s="38" t="s">
        <v>2945</v>
      </c>
      <c r="BD69" s="38" t="s">
        <v>2945</v>
      </c>
      <c r="BE69" s="38" t="s">
        <v>2945</v>
      </c>
      <c r="BF69" s="38" t="s">
        <v>3747</v>
      </c>
      <c r="BG69" s="38" t="s">
        <v>3748</v>
      </c>
      <c r="BH69" s="38" t="s">
        <v>3749</v>
      </c>
      <c r="BI69" s="38" t="s">
        <v>3750</v>
      </c>
      <c r="BJ69" s="51" t="s">
        <v>3751</v>
      </c>
      <c r="BK69" s="38" t="s">
        <v>3752</v>
      </c>
      <c r="BL69" s="38" t="s">
        <v>3753</v>
      </c>
      <c r="BM69" s="51" t="s">
        <v>3754</v>
      </c>
      <c r="BO69" s="52" t="s">
        <v>3290</v>
      </c>
      <c r="BP69" s="52" t="s">
        <v>3755</v>
      </c>
      <c r="BQ69" t="s">
        <v>3756</v>
      </c>
      <c r="BR69" s="30" t="s">
        <v>3757</v>
      </c>
      <c r="BS69" t="s">
        <v>3757</v>
      </c>
      <c r="CX69" s="52" t="s">
        <v>3758</v>
      </c>
      <c r="CY69" s="43" t="s">
        <v>3759</v>
      </c>
      <c r="CZ69">
        <v>68</v>
      </c>
    </row>
    <row r="70" ht="14.25" customHeight="1" spans="1:104">
      <c r="A70" s="38"/>
      <c r="B70" s="38"/>
      <c r="C70" s="4">
        <v>6</v>
      </c>
      <c r="D70" s="4">
        <v>4</v>
      </c>
      <c r="E70" s="4">
        <v>5</v>
      </c>
      <c r="F70" s="4">
        <v>3</v>
      </c>
      <c r="G70" s="4">
        <v>4</v>
      </c>
      <c r="H70" s="4">
        <v>3</v>
      </c>
      <c r="I70" s="4">
        <v>3</v>
      </c>
      <c r="J70" s="57">
        <v>2</v>
      </c>
      <c r="K70" s="38"/>
      <c r="L70" s="38"/>
      <c r="M70" s="38"/>
      <c r="O70">
        <v>14</v>
      </c>
      <c r="P70" t="s">
        <v>2231</v>
      </c>
      <c r="AB70" s="30" t="s">
        <v>3760</v>
      </c>
      <c r="AC70" s="49" t="s">
        <v>132</v>
      </c>
      <c r="AD70" s="30" t="s">
        <v>2282</v>
      </c>
      <c r="AE70" s="30">
        <v>0</v>
      </c>
      <c r="AH70" s="38" t="s">
        <v>2174</v>
      </c>
      <c r="AI70" s="38" t="s">
        <v>2200</v>
      </c>
      <c r="AJ70" s="38" t="s">
        <v>2246</v>
      </c>
      <c r="AK70" s="38" t="s">
        <v>2293</v>
      </c>
      <c r="AL70" s="38" t="s">
        <v>2336</v>
      </c>
      <c r="AM70" s="38" t="s">
        <v>2378</v>
      </c>
      <c r="AN70" s="38" t="s">
        <v>2422</v>
      </c>
      <c r="AO70" s="38" t="s">
        <v>2462</v>
      </c>
      <c r="AP70" s="38" t="s">
        <v>2496</v>
      </c>
      <c r="AQ70" s="38" t="s">
        <v>2527</v>
      </c>
      <c r="AR70" s="38" t="s">
        <v>2559</v>
      </c>
      <c r="AS70" s="38" t="s">
        <v>2590</v>
      </c>
      <c r="AT70" s="38" t="s">
        <v>2620</v>
      </c>
      <c r="AU70" s="38" t="s">
        <v>2650</v>
      </c>
      <c r="AV70" s="38" t="s">
        <v>2673</v>
      </c>
      <c r="AW70" s="38" t="s">
        <v>2691</v>
      </c>
      <c r="AX70" s="38" t="s">
        <v>2712</v>
      </c>
      <c r="AY70" s="38" t="s">
        <v>2733</v>
      </c>
      <c r="AZ70" s="38" t="s">
        <v>2753</v>
      </c>
      <c r="BA70" s="38" t="s">
        <v>2772</v>
      </c>
      <c r="BB70" s="38" t="s">
        <v>2791</v>
      </c>
      <c r="BC70" s="38" t="s">
        <v>2810</v>
      </c>
      <c r="BD70" s="38" t="s">
        <v>2827</v>
      </c>
      <c r="BE70" s="38" t="s">
        <v>2845</v>
      </c>
      <c r="BF70" s="38" t="s">
        <v>2863</v>
      </c>
      <c r="BG70" s="38" t="s">
        <v>2883</v>
      </c>
      <c r="BH70" s="38" t="s">
        <v>2902</v>
      </c>
      <c r="BI70" s="38" t="s">
        <v>2919</v>
      </c>
      <c r="BJ70" s="38" t="s">
        <v>2936</v>
      </c>
      <c r="BK70" s="38" t="s">
        <v>2956</v>
      </c>
      <c r="BL70" s="38" t="s">
        <v>2974</v>
      </c>
      <c r="BM70" s="38" t="s">
        <v>2995</v>
      </c>
      <c r="BO70" s="55" t="s">
        <v>3312</v>
      </c>
      <c r="BP70" s="55" t="s">
        <v>3761</v>
      </c>
      <c r="BQ70" t="s">
        <v>3762</v>
      </c>
      <c r="CX70" s="52" t="s">
        <v>3763</v>
      </c>
      <c r="CY70" s="43" t="s">
        <v>3764</v>
      </c>
      <c r="CZ70">
        <v>69</v>
      </c>
    </row>
    <row r="71" ht="14.25" customHeight="1" spans="1:104">
      <c r="A71" s="38"/>
      <c r="B71" s="38"/>
      <c r="C71" s="4">
        <v>7</v>
      </c>
      <c r="D71" s="4">
        <v>4</v>
      </c>
      <c r="E71" s="4">
        <v>5</v>
      </c>
      <c r="F71" s="4">
        <v>3</v>
      </c>
      <c r="G71" s="4">
        <v>4</v>
      </c>
      <c r="H71" s="4">
        <v>3</v>
      </c>
      <c r="I71" s="4">
        <v>3</v>
      </c>
      <c r="J71" s="57">
        <v>2</v>
      </c>
      <c r="K71" s="38"/>
      <c r="L71" s="38"/>
      <c r="M71" s="38"/>
      <c r="O71">
        <v>15</v>
      </c>
      <c r="P71" t="s">
        <v>2278</v>
      </c>
      <c r="AB71" s="30" t="s">
        <v>3765</v>
      </c>
      <c r="AC71" s="49" t="s">
        <v>132</v>
      </c>
      <c r="AD71" s="30" t="s">
        <v>2165</v>
      </c>
      <c r="AE71" s="30">
        <v>10</v>
      </c>
      <c r="AH71" s="38" t="s">
        <v>3766</v>
      </c>
      <c r="AI71" s="38" t="s">
        <v>2945</v>
      </c>
      <c r="AJ71" s="38" t="s">
        <v>2945</v>
      </c>
      <c r="AK71" s="38" t="s">
        <v>2945</v>
      </c>
      <c r="AL71" s="38" t="s">
        <v>2945</v>
      </c>
      <c r="AM71" s="38" t="s">
        <v>2945</v>
      </c>
      <c r="AN71" s="38" t="s">
        <v>2945</v>
      </c>
      <c r="AO71" s="38" t="s">
        <v>3767</v>
      </c>
      <c r="AP71" s="38" t="s">
        <v>3767</v>
      </c>
      <c r="AQ71" s="38" t="s">
        <v>3768</v>
      </c>
      <c r="AR71" s="38" t="s">
        <v>3768</v>
      </c>
      <c r="AS71" s="38" t="s">
        <v>3768</v>
      </c>
      <c r="AT71" s="38" t="s">
        <v>3768</v>
      </c>
      <c r="AU71" s="38" t="s">
        <v>3769</v>
      </c>
      <c r="AV71" s="38" t="s">
        <v>2945</v>
      </c>
      <c r="AW71" s="38" t="s">
        <v>2945</v>
      </c>
      <c r="AX71" s="38" t="s">
        <v>2945</v>
      </c>
      <c r="AY71" s="38" t="s">
        <v>2945</v>
      </c>
      <c r="AZ71" s="38" t="s">
        <v>3770</v>
      </c>
      <c r="BA71" s="38" t="s">
        <v>3770</v>
      </c>
      <c r="BB71" s="38" t="s">
        <v>3771</v>
      </c>
      <c r="BC71" s="38" t="s">
        <v>3772</v>
      </c>
      <c r="BD71" s="38" t="s">
        <v>3773</v>
      </c>
      <c r="BE71" s="38" t="s">
        <v>3774</v>
      </c>
      <c r="BF71" s="38" t="s">
        <v>3775</v>
      </c>
      <c r="BG71" s="38" t="s">
        <v>3775</v>
      </c>
      <c r="BH71" s="38" t="s">
        <v>3776</v>
      </c>
      <c r="BI71" s="38" t="s">
        <v>2945</v>
      </c>
      <c r="BJ71" s="38" t="s">
        <v>2945</v>
      </c>
      <c r="BK71" s="38" t="s">
        <v>3768</v>
      </c>
      <c r="BL71" s="38" t="s">
        <v>3768</v>
      </c>
      <c r="BM71" s="38" t="s">
        <v>2945</v>
      </c>
      <c r="BO71" s="52" t="s">
        <v>3313</v>
      </c>
      <c r="BP71" s="52" t="s">
        <v>3777</v>
      </c>
      <c r="BQ71" t="s">
        <v>3778</v>
      </c>
      <c r="CX71" s="52" t="s">
        <v>3779</v>
      </c>
      <c r="CY71" s="43" t="s">
        <v>3780</v>
      </c>
      <c r="CZ71">
        <v>70</v>
      </c>
    </row>
    <row r="72" ht="14.25" customHeight="1" spans="1:104">
      <c r="A72" s="38"/>
      <c r="B72" s="38"/>
      <c r="C72" s="4">
        <v>8</v>
      </c>
      <c r="D72" s="4">
        <v>4</v>
      </c>
      <c r="E72" s="4">
        <v>5</v>
      </c>
      <c r="F72" s="4">
        <v>3</v>
      </c>
      <c r="G72" s="4">
        <v>4</v>
      </c>
      <c r="H72" s="4">
        <v>3</v>
      </c>
      <c r="I72" s="4">
        <v>3</v>
      </c>
      <c r="J72" s="57">
        <v>2</v>
      </c>
      <c r="K72" s="38"/>
      <c r="L72" s="38"/>
      <c r="M72" s="38"/>
      <c r="O72">
        <v>16</v>
      </c>
      <c r="P72" t="s">
        <v>2278</v>
      </c>
      <c r="U72" s="1"/>
      <c r="AB72" s="30" t="s">
        <v>3781</v>
      </c>
      <c r="AC72" s="49" t="s">
        <v>132</v>
      </c>
      <c r="AD72" s="30" t="s">
        <v>2836</v>
      </c>
      <c r="AE72" s="30">
        <v>0.25</v>
      </c>
      <c r="AH72" s="38" t="s">
        <v>2175</v>
      </c>
      <c r="AI72" s="38" t="s">
        <v>2201</v>
      </c>
      <c r="AJ72" s="38" t="s">
        <v>2247</v>
      </c>
      <c r="AK72" s="38" t="s">
        <v>2294</v>
      </c>
      <c r="AL72" s="38" t="s">
        <v>2337</v>
      </c>
      <c r="AM72" s="38" t="s">
        <v>2379</v>
      </c>
      <c r="AN72" s="38" t="s">
        <v>2423</v>
      </c>
      <c r="AO72" s="38" t="s">
        <v>2463</v>
      </c>
      <c r="AP72" s="38" t="s">
        <v>2497</v>
      </c>
      <c r="AQ72" s="38" t="s">
        <v>2528</v>
      </c>
      <c r="AR72" s="38" t="s">
        <v>2560</v>
      </c>
      <c r="AS72" s="38" t="s">
        <v>2591</v>
      </c>
      <c r="AT72" s="38" t="s">
        <v>2621</v>
      </c>
      <c r="AU72" s="38" t="s">
        <v>2651</v>
      </c>
      <c r="AV72" s="38" t="s">
        <v>2674</v>
      </c>
      <c r="AW72" s="38" t="s">
        <v>2692</v>
      </c>
      <c r="AX72" s="38" t="s">
        <v>2713</v>
      </c>
      <c r="AY72" s="38" t="s">
        <v>2734</v>
      </c>
      <c r="AZ72" s="38" t="s">
        <v>2754</v>
      </c>
      <c r="BA72" s="38" t="s">
        <v>2773</v>
      </c>
      <c r="BB72" s="38" t="s">
        <v>2792</v>
      </c>
      <c r="BC72" s="38" t="s">
        <v>2811</v>
      </c>
      <c r="BD72" s="38" t="s">
        <v>2828</v>
      </c>
      <c r="BE72" s="38" t="s">
        <v>2846</v>
      </c>
      <c r="BF72" s="38" t="s">
        <v>2864</v>
      </c>
      <c r="BG72" s="38" t="s">
        <v>2884</v>
      </c>
      <c r="BH72" s="38" t="s">
        <v>2903</v>
      </c>
      <c r="BI72" s="38" t="s">
        <v>2920</v>
      </c>
      <c r="BJ72" s="38" t="s">
        <v>2937</v>
      </c>
      <c r="BK72" s="38" t="s">
        <v>2957</v>
      </c>
      <c r="BL72" s="38" t="s">
        <v>2975</v>
      </c>
      <c r="BM72" s="38" t="s">
        <v>2996</v>
      </c>
      <c r="BO72" s="52" t="s">
        <v>3314</v>
      </c>
      <c r="BP72" s="52" t="s">
        <v>3782</v>
      </c>
      <c r="BQ72" t="s">
        <v>3762</v>
      </c>
      <c r="CX72" s="52" t="s">
        <v>3783</v>
      </c>
      <c r="CY72" s="43" t="s">
        <v>3784</v>
      </c>
      <c r="CZ72">
        <v>71</v>
      </c>
    </row>
    <row r="73" ht="14.25" customHeight="1" spans="1:104">
      <c r="A73" s="38"/>
      <c r="B73" s="38"/>
      <c r="C73" s="4">
        <v>9</v>
      </c>
      <c r="D73" s="4">
        <v>4</v>
      </c>
      <c r="E73" s="4">
        <v>5</v>
      </c>
      <c r="F73" s="4">
        <v>3</v>
      </c>
      <c r="G73" s="4">
        <v>4</v>
      </c>
      <c r="H73" s="4">
        <v>3</v>
      </c>
      <c r="I73" s="4">
        <v>3</v>
      </c>
      <c r="J73" s="57">
        <v>2</v>
      </c>
      <c r="K73" s="38"/>
      <c r="L73" s="38"/>
      <c r="M73" s="38"/>
      <c r="O73">
        <v>17</v>
      </c>
      <c r="P73" t="s">
        <v>2278</v>
      </c>
      <c r="U73" s="1" t="s">
        <v>104</v>
      </c>
      <c r="AB73" s="30" t="s">
        <v>3785</v>
      </c>
      <c r="AC73" s="49" t="s">
        <v>3786</v>
      </c>
      <c r="AD73" s="30" t="s">
        <v>3106</v>
      </c>
      <c r="AE73" s="30">
        <v>0</v>
      </c>
      <c r="AH73" s="38" t="s">
        <v>3787</v>
      </c>
      <c r="AI73" s="38" t="s">
        <v>3788</v>
      </c>
      <c r="AJ73" s="38" t="s">
        <v>3789</v>
      </c>
      <c r="AK73" s="38" t="s">
        <v>3789</v>
      </c>
      <c r="AL73" s="38" t="s">
        <v>3790</v>
      </c>
      <c r="AM73" s="38" t="s">
        <v>3791</v>
      </c>
      <c r="AN73" s="51" t="s">
        <v>3792</v>
      </c>
      <c r="AO73" s="38" t="s">
        <v>3793</v>
      </c>
      <c r="AP73" s="38" t="s">
        <v>3794</v>
      </c>
      <c r="AQ73" s="38" t="s">
        <v>3795</v>
      </c>
      <c r="AR73" s="38" t="s">
        <v>3796</v>
      </c>
      <c r="AS73" s="38" t="s">
        <v>3796</v>
      </c>
      <c r="AT73" s="38" t="s">
        <v>3797</v>
      </c>
      <c r="AU73" s="38" t="s">
        <v>3798</v>
      </c>
      <c r="AV73" s="51" t="s">
        <v>3799</v>
      </c>
      <c r="AW73" s="51" t="s">
        <v>3799</v>
      </c>
      <c r="AX73" s="38" t="s">
        <v>3800</v>
      </c>
      <c r="AY73" s="38" t="s">
        <v>3801</v>
      </c>
      <c r="AZ73" s="38" t="s">
        <v>3802</v>
      </c>
      <c r="BA73" s="38" t="s">
        <v>3802</v>
      </c>
      <c r="BB73" s="38" t="s">
        <v>3803</v>
      </c>
      <c r="BC73" s="51" t="s">
        <v>3804</v>
      </c>
      <c r="BD73" s="38" t="s">
        <v>3805</v>
      </c>
      <c r="BE73" s="38" t="s">
        <v>3806</v>
      </c>
      <c r="BF73" s="38" t="s">
        <v>3807</v>
      </c>
      <c r="BG73" s="38" t="s">
        <v>3808</v>
      </c>
      <c r="BH73" s="38" t="s">
        <v>3809</v>
      </c>
      <c r="BI73" s="51" t="s">
        <v>3810</v>
      </c>
      <c r="BJ73" s="51" t="s">
        <v>3811</v>
      </c>
      <c r="BK73" s="38" t="s">
        <v>3812</v>
      </c>
      <c r="BL73" s="51" t="s">
        <v>3813</v>
      </c>
      <c r="BM73" s="38" t="s">
        <v>3814</v>
      </c>
      <c r="BO73" s="55" t="s">
        <v>3338</v>
      </c>
      <c r="BP73" s="55" t="s">
        <v>3815</v>
      </c>
      <c r="CX73" s="52" t="s">
        <v>3816</v>
      </c>
      <c r="CY73" s="43" t="s">
        <v>3817</v>
      </c>
      <c r="CZ73">
        <v>72</v>
      </c>
    </row>
    <row r="74" spans="1:68">
      <c r="A74" s="38"/>
      <c r="B74" s="38"/>
      <c r="C74" s="4">
        <v>10</v>
      </c>
      <c r="D74" s="57">
        <v>5</v>
      </c>
      <c r="E74" s="57">
        <v>6</v>
      </c>
      <c r="F74" s="57">
        <v>4</v>
      </c>
      <c r="G74" s="57">
        <v>5</v>
      </c>
      <c r="H74" s="57">
        <v>4</v>
      </c>
      <c r="I74" s="57">
        <v>4</v>
      </c>
      <c r="J74" s="4">
        <v>3</v>
      </c>
      <c r="K74" s="38"/>
      <c r="L74" s="38"/>
      <c r="M74" s="38"/>
      <c r="O74">
        <v>18</v>
      </c>
      <c r="P74" t="s">
        <v>2278</v>
      </c>
      <c r="U74" s="1" t="s">
        <v>3818</v>
      </c>
      <c r="AB74" s="30" t="s">
        <v>3819</v>
      </c>
      <c r="AC74" s="49" t="s">
        <v>132</v>
      </c>
      <c r="AD74" s="30" t="s">
        <v>2836</v>
      </c>
      <c r="AE74" s="30">
        <v>7</v>
      </c>
      <c r="AH74" s="38" t="s">
        <v>2176</v>
      </c>
      <c r="AI74" s="38" t="s">
        <v>2202</v>
      </c>
      <c r="AJ74" s="38" t="s">
        <v>2248</v>
      </c>
      <c r="AK74" s="38" t="s">
        <v>2295</v>
      </c>
      <c r="AL74" s="38" t="s">
        <v>2338</v>
      </c>
      <c r="AM74" s="38" t="s">
        <v>2380</v>
      </c>
      <c r="AN74" s="38" t="s">
        <v>2424</v>
      </c>
      <c r="AO74" s="38" t="s">
        <v>2464</v>
      </c>
      <c r="AP74" s="38" t="s">
        <v>2498</v>
      </c>
      <c r="AQ74" s="38" t="s">
        <v>2529</v>
      </c>
      <c r="AR74" s="38" t="s">
        <v>2561</v>
      </c>
      <c r="AS74" s="38" t="s">
        <v>2592</v>
      </c>
      <c r="AT74" s="38" t="s">
        <v>2622</v>
      </c>
      <c r="AU74" s="38" t="s">
        <v>2652</v>
      </c>
      <c r="AV74" s="38" t="s">
        <v>2675</v>
      </c>
      <c r="AW74" s="38" t="s">
        <v>2693</v>
      </c>
      <c r="AX74" s="38" t="s">
        <v>2714</v>
      </c>
      <c r="AY74" s="38" t="s">
        <v>2735</v>
      </c>
      <c r="AZ74" s="38" t="s">
        <v>2755</v>
      </c>
      <c r="BA74" s="38" t="s">
        <v>2774</v>
      </c>
      <c r="BB74" s="38" t="s">
        <v>2793</v>
      </c>
      <c r="BC74" s="38" t="s">
        <v>2812</v>
      </c>
      <c r="BD74" s="38" t="s">
        <v>2829</v>
      </c>
      <c r="BE74" s="38" t="s">
        <v>2847</v>
      </c>
      <c r="BF74" s="38" t="s">
        <v>2865</v>
      </c>
      <c r="BG74" s="38" t="s">
        <v>2885</v>
      </c>
      <c r="BH74" s="38" t="s">
        <v>2904</v>
      </c>
      <c r="BI74" s="38" t="s">
        <v>2921</v>
      </c>
      <c r="BJ74" s="38" t="s">
        <v>2938</v>
      </c>
      <c r="BK74" s="38" t="s">
        <v>2958</v>
      </c>
      <c r="BL74" s="38" t="s">
        <v>2976</v>
      </c>
      <c r="BM74" s="38" t="s">
        <v>2997</v>
      </c>
      <c r="BO74" s="52" t="s">
        <v>2607</v>
      </c>
      <c r="BP74" s="52" t="s">
        <v>3820</v>
      </c>
    </row>
    <row r="75" spans="1:104">
      <c r="A75" s="38"/>
      <c r="B75" s="38"/>
      <c r="C75" s="38">
        <v>11</v>
      </c>
      <c r="D75" s="58">
        <v>5</v>
      </c>
      <c r="E75" s="58">
        <v>6</v>
      </c>
      <c r="F75" s="58">
        <v>4</v>
      </c>
      <c r="G75" s="58">
        <v>5</v>
      </c>
      <c r="H75" s="58">
        <v>4</v>
      </c>
      <c r="I75" s="58">
        <v>4</v>
      </c>
      <c r="J75" s="38">
        <v>3</v>
      </c>
      <c r="K75" s="38"/>
      <c r="L75" s="38"/>
      <c r="M75" s="38"/>
      <c r="N75" s="38"/>
      <c r="O75" s="60">
        <v>19</v>
      </c>
      <c r="P75" s="52" t="s">
        <v>2278</v>
      </c>
      <c r="Q75" s="38"/>
      <c r="R75" s="38"/>
      <c r="S75" s="38"/>
      <c r="T75" s="38"/>
      <c r="U75" s="1" t="s">
        <v>3821</v>
      </c>
      <c r="V75" s="38"/>
      <c r="W75" s="38"/>
      <c r="X75" s="38"/>
      <c r="Y75" s="38"/>
      <c r="Z75" s="38"/>
      <c r="AA75" s="38"/>
      <c r="AB75" s="49" t="s">
        <v>3822</v>
      </c>
      <c r="AC75" s="49" t="s">
        <v>132</v>
      </c>
      <c r="AD75" s="49" t="s">
        <v>2165</v>
      </c>
      <c r="AE75" s="49">
        <v>10</v>
      </c>
      <c r="AF75" s="38"/>
      <c r="AG75" s="38"/>
      <c r="AH75" s="38" t="s">
        <v>3823</v>
      </c>
      <c r="AI75" s="51" t="s">
        <v>3824</v>
      </c>
      <c r="AJ75" s="51" t="s">
        <v>3825</v>
      </c>
      <c r="AK75" s="51" t="s">
        <v>3825</v>
      </c>
      <c r="AL75" s="51" t="s">
        <v>3826</v>
      </c>
      <c r="AM75" s="51" t="s">
        <v>3826</v>
      </c>
      <c r="AN75" s="51" t="s">
        <v>3827</v>
      </c>
      <c r="AO75" s="51" t="s">
        <v>3828</v>
      </c>
      <c r="AP75" s="51" t="s">
        <v>3828</v>
      </c>
      <c r="AQ75" s="51" t="s">
        <v>3829</v>
      </c>
      <c r="AR75" s="51" t="s">
        <v>3830</v>
      </c>
      <c r="AS75" s="51" t="s">
        <v>3830</v>
      </c>
      <c r="AT75" s="51" t="s">
        <v>3831</v>
      </c>
      <c r="AU75" s="51" t="s">
        <v>3832</v>
      </c>
      <c r="AV75" s="51" t="s">
        <v>3833</v>
      </c>
      <c r="AW75" s="51" t="s">
        <v>3833</v>
      </c>
      <c r="AX75" s="51" t="s">
        <v>3834</v>
      </c>
      <c r="AY75" s="38" t="s">
        <v>3835</v>
      </c>
      <c r="AZ75" s="38"/>
      <c r="BA75" s="38"/>
      <c r="BB75" s="38"/>
      <c r="BC75" s="38"/>
      <c r="BD75" s="38"/>
      <c r="BE75" s="38"/>
      <c r="BF75" s="38"/>
      <c r="BG75" s="38"/>
      <c r="BH75" s="38"/>
      <c r="BI75" s="38"/>
      <c r="BJ75" s="38"/>
      <c r="BK75" s="38"/>
      <c r="BL75" s="38"/>
      <c r="BM75" s="38"/>
      <c r="BN75" s="38"/>
      <c r="BO75" s="52" t="s">
        <v>3339</v>
      </c>
      <c r="BP75" s="52" t="s">
        <v>3836</v>
      </c>
      <c r="BQ75" s="38"/>
      <c r="BR75" s="38"/>
      <c r="BS75" s="38"/>
      <c r="BT75" s="38"/>
      <c r="BU75" s="38"/>
      <c r="BV75" s="38"/>
      <c r="BW75" s="38"/>
      <c r="BX75" s="38"/>
      <c r="BY75" s="38"/>
      <c r="BZ75" s="38"/>
      <c r="CA75" s="38"/>
      <c r="CB75" s="38"/>
      <c r="CC75" s="38"/>
      <c r="CD75" s="38"/>
      <c r="CE75" s="38"/>
      <c r="CF75" s="38"/>
      <c r="CG75" s="38"/>
      <c r="CH75" s="38"/>
      <c r="CI75" s="38"/>
      <c r="CJ75" s="38"/>
      <c r="CK75" s="38"/>
      <c r="CL75" s="38"/>
      <c r="CM75" s="38"/>
      <c r="CN75" s="38"/>
      <c r="CO75" s="38"/>
      <c r="CP75" s="38"/>
      <c r="CQ75" s="38"/>
      <c r="CR75" s="38"/>
      <c r="CS75" s="38"/>
      <c r="CT75" s="38"/>
      <c r="CU75" s="38"/>
      <c r="CV75" s="38"/>
      <c r="CW75" s="38"/>
      <c r="CX75" s="38"/>
      <c r="CY75" s="38"/>
      <c r="CZ75" s="38"/>
    </row>
    <row r="76" spans="1:69">
      <c r="A76" s="38"/>
      <c r="B76" s="38"/>
      <c r="C76" s="4">
        <v>12</v>
      </c>
      <c r="D76" s="57">
        <v>5</v>
      </c>
      <c r="E76" s="57">
        <v>6</v>
      </c>
      <c r="F76" s="57">
        <v>4</v>
      </c>
      <c r="G76" s="57">
        <v>5</v>
      </c>
      <c r="H76" s="57">
        <v>4</v>
      </c>
      <c r="I76" s="57">
        <v>4</v>
      </c>
      <c r="J76" s="4">
        <v>3</v>
      </c>
      <c r="K76" s="38"/>
      <c r="L76" s="38"/>
      <c r="M76" s="38"/>
      <c r="O76">
        <v>20</v>
      </c>
      <c r="P76" t="s">
        <v>2278</v>
      </c>
      <c r="U76" s="1" t="s">
        <v>3837</v>
      </c>
      <c r="AB76" s="30" t="s">
        <v>3838</v>
      </c>
      <c r="AC76" s="49" t="s">
        <v>3839</v>
      </c>
      <c r="AD76" s="30" t="s">
        <v>2237</v>
      </c>
      <c r="AE76" s="30">
        <v>0.5</v>
      </c>
      <c r="BO76" s="55" t="s">
        <v>2637</v>
      </c>
      <c r="BP76" s="55" t="s">
        <v>3840</v>
      </c>
      <c r="BQ76" t="s">
        <v>3841</v>
      </c>
    </row>
    <row r="77" spans="1:68">
      <c r="A77" s="38"/>
      <c r="B77" s="38"/>
      <c r="C77" s="4">
        <v>13</v>
      </c>
      <c r="D77" s="57">
        <v>5</v>
      </c>
      <c r="E77" s="57">
        <v>6</v>
      </c>
      <c r="F77" s="57">
        <v>4</v>
      </c>
      <c r="G77" s="57">
        <v>5</v>
      </c>
      <c r="H77" s="57">
        <v>4</v>
      </c>
      <c r="I77" s="57">
        <v>4</v>
      </c>
      <c r="J77" s="4">
        <v>3</v>
      </c>
      <c r="K77" s="38"/>
      <c r="L77" s="38"/>
      <c r="M77" s="38"/>
      <c r="N77" t="s">
        <v>3842</v>
      </c>
      <c r="P77" t="str">
        <f>VLOOKUP(N57,O57:P76,2,0)</f>
        <v>1d8</v>
      </c>
      <c r="AB77" s="30" t="s">
        <v>3843</v>
      </c>
      <c r="AC77" s="49" t="s">
        <v>3844</v>
      </c>
      <c r="AD77" s="30" t="s">
        <v>2764</v>
      </c>
      <c r="AE77" s="30">
        <v>1</v>
      </c>
      <c r="BO77" s="55" t="s">
        <v>2659</v>
      </c>
      <c r="BP77" s="55" t="s">
        <v>3845</v>
      </c>
    </row>
    <row r="78" spans="1:69">
      <c r="A78" s="38"/>
      <c r="B78" s="38"/>
      <c r="C78" s="4">
        <v>14</v>
      </c>
      <c r="D78" s="57">
        <v>5</v>
      </c>
      <c r="E78" s="57">
        <v>6</v>
      </c>
      <c r="F78" s="57">
        <v>4</v>
      </c>
      <c r="G78" s="57">
        <v>5</v>
      </c>
      <c r="H78" s="57">
        <v>4</v>
      </c>
      <c r="I78" s="57">
        <v>4</v>
      </c>
      <c r="J78" s="57">
        <v>4</v>
      </c>
      <c r="K78" s="38"/>
      <c r="L78" s="38"/>
      <c r="M78" s="38"/>
      <c r="N78">
        <f>主要情况!W3</f>
        <v>5</v>
      </c>
      <c r="O78">
        <v>1</v>
      </c>
      <c r="P78">
        <v>2</v>
      </c>
      <c r="Q78" t="s">
        <v>2319</v>
      </c>
      <c r="AB78" s="30" t="s">
        <v>3846</v>
      </c>
      <c r="AC78" s="49" t="s">
        <v>3847</v>
      </c>
      <c r="AD78" s="30" t="s">
        <v>2285</v>
      </c>
      <c r="AE78" s="30">
        <v>1</v>
      </c>
      <c r="BO78" s="55" t="s">
        <v>2680</v>
      </c>
      <c r="BP78" s="55" t="s">
        <v>3848</v>
      </c>
      <c r="BQ78" t="s">
        <v>3361</v>
      </c>
    </row>
    <row r="79" spans="1:68">
      <c r="A79" s="38"/>
      <c r="B79" s="38"/>
      <c r="C79" s="4">
        <v>15</v>
      </c>
      <c r="D79" s="57">
        <v>5</v>
      </c>
      <c r="E79" s="57">
        <v>6</v>
      </c>
      <c r="F79" s="57">
        <v>4</v>
      </c>
      <c r="G79" s="57">
        <v>5</v>
      </c>
      <c r="H79" s="57">
        <v>4</v>
      </c>
      <c r="I79" s="57">
        <v>4</v>
      </c>
      <c r="J79" s="57">
        <v>4</v>
      </c>
      <c r="K79" s="38"/>
      <c r="L79" s="38"/>
      <c r="M79" s="38"/>
      <c r="O79">
        <v>2</v>
      </c>
      <c r="P79">
        <v>2</v>
      </c>
      <c r="AB79" s="30" t="s">
        <v>3849</v>
      </c>
      <c r="AC79" s="49" t="s">
        <v>3850</v>
      </c>
      <c r="AD79" s="30" t="s">
        <v>3851</v>
      </c>
      <c r="AE79" s="30">
        <v>35</v>
      </c>
      <c r="BO79" s="55" t="s">
        <v>2698</v>
      </c>
      <c r="BP79" s="55" t="s">
        <v>3852</v>
      </c>
    </row>
    <row r="80" spans="1:68">
      <c r="A80" s="38"/>
      <c r="B80" s="38"/>
      <c r="C80" s="4">
        <v>16</v>
      </c>
      <c r="D80" s="57">
        <v>5</v>
      </c>
      <c r="E80" s="57">
        <v>6</v>
      </c>
      <c r="F80" s="57">
        <v>4</v>
      </c>
      <c r="G80" s="57">
        <v>5</v>
      </c>
      <c r="H80" s="57">
        <v>4</v>
      </c>
      <c r="I80" s="57">
        <v>4</v>
      </c>
      <c r="J80" s="57">
        <v>4</v>
      </c>
      <c r="K80" s="38"/>
      <c r="O80">
        <v>3</v>
      </c>
      <c r="P80">
        <v>2</v>
      </c>
      <c r="AB80" s="30" t="s">
        <v>3853</v>
      </c>
      <c r="AC80" s="49" t="s">
        <v>3854</v>
      </c>
      <c r="AD80" s="30" t="s">
        <v>2764</v>
      </c>
      <c r="AE80" s="30">
        <v>2</v>
      </c>
      <c r="BO80" s="55" t="s">
        <v>2740</v>
      </c>
      <c r="BP80" s="55" t="s">
        <v>3855</v>
      </c>
    </row>
    <row r="81" spans="1:68">
      <c r="A81" s="38"/>
      <c r="B81" s="38"/>
      <c r="C81" s="4">
        <v>17</v>
      </c>
      <c r="D81" s="57">
        <v>5</v>
      </c>
      <c r="E81" s="57">
        <v>6</v>
      </c>
      <c r="F81" s="57">
        <v>4</v>
      </c>
      <c r="G81" s="57">
        <v>5</v>
      </c>
      <c r="H81" s="57">
        <v>4</v>
      </c>
      <c r="I81" s="57">
        <v>4</v>
      </c>
      <c r="J81" s="57">
        <v>4</v>
      </c>
      <c r="K81" s="38"/>
      <c r="O81">
        <v>4</v>
      </c>
      <c r="P81">
        <v>2</v>
      </c>
      <c r="AB81" s="30" t="s">
        <v>3856</v>
      </c>
      <c r="AC81" s="49" t="s">
        <v>132</v>
      </c>
      <c r="AD81" s="30" t="s">
        <v>2285</v>
      </c>
      <c r="AE81" s="30">
        <v>4</v>
      </c>
      <c r="BO81" s="55" t="s">
        <v>2760</v>
      </c>
      <c r="BP81" s="55" t="s">
        <v>3857</v>
      </c>
    </row>
    <row r="82" spans="1:68">
      <c r="A82" s="38"/>
      <c r="B82" s="38"/>
      <c r="C82" s="4">
        <v>18</v>
      </c>
      <c r="D82" s="57">
        <v>5</v>
      </c>
      <c r="E82" s="57">
        <v>6</v>
      </c>
      <c r="F82" s="57">
        <v>4</v>
      </c>
      <c r="G82" s="57">
        <v>5</v>
      </c>
      <c r="H82" s="57">
        <v>4</v>
      </c>
      <c r="I82" s="57">
        <v>4</v>
      </c>
      <c r="J82" s="57">
        <v>4</v>
      </c>
      <c r="K82" s="38"/>
      <c r="O82">
        <v>5</v>
      </c>
      <c r="P82">
        <v>2</v>
      </c>
      <c r="AB82" s="30" t="s">
        <v>3858</v>
      </c>
      <c r="AC82" s="49" t="s">
        <v>3859</v>
      </c>
      <c r="AD82" s="30" t="s">
        <v>2285</v>
      </c>
      <c r="AE82" s="30">
        <v>10</v>
      </c>
      <c r="BO82" s="55" t="s">
        <v>2777</v>
      </c>
      <c r="BP82" s="55" t="s">
        <v>3860</v>
      </c>
    </row>
    <row r="83" spans="1:69">
      <c r="A83" s="38"/>
      <c r="B83" s="38"/>
      <c r="C83" s="4">
        <v>19</v>
      </c>
      <c r="D83" s="57">
        <v>5</v>
      </c>
      <c r="E83" s="57">
        <v>6</v>
      </c>
      <c r="F83" s="57">
        <v>4</v>
      </c>
      <c r="G83" s="57">
        <v>5</v>
      </c>
      <c r="H83" s="57">
        <v>4</v>
      </c>
      <c r="I83" s="57">
        <v>4</v>
      </c>
      <c r="J83" s="57">
        <v>4</v>
      </c>
      <c r="K83" s="38"/>
      <c r="O83">
        <v>6</v>
      </c>
      <c r="P83">
        <v>2</v>
      </c>
      <c r="AB83" s="30" t="s">
        <v>3861</v>
      </c>
      <c r="AC83" s="49" t="s">
        <v>3862</v>
      </c>
      <c r="AD83" s="30" t="s">
        <v>2488</v>
      </c>
      <c r="AE83" s="30">
        <v>5</v>
      </c>
      <c r="BO83" s="55" t="s">
        <v>2795</v>
      </c>
      <c r="BP83" s="55" t="s">
        <v>3863</v>
      </c>
      <c r="BQ83" t="s">
        <v>3864</v>
      </c>
    </row>
    <row r="84" spans="1:69">
      <c r="A84" s="38"/>
      <c r="B84" s="38"/>
      <c r="C84" s="4">
        <v>20</v>
      </c>
      <c r="D84" s="57">
        <v>5</v>
      </c>
      <c r="E84" s="57">
        <v>6</v>
      </c>
      <c r="F84" s="57">
        <v>4</v>
      </c>
      <c r="G84" s="57">
        <v>5</v>
      </c>
      <c r="H84" s="57">
        <v>4</v>
      </c>
      <c r="I84" s="57">
        <v>4</v>
      </c>
      <c r="J84" s="57">
        <v>4</v>
      </c>
      <c r="K84" s="38"/>
      <c r="O84">
        <v>7</v>
      </c>
      <c r="P84">
        <v>2</v>
      </c>
      <c r="AB84" s="30" t="s">
        <v>3865</v>
      </c>
      <c r="AC84" s="49" t="s">
        <v>132</v>
      </c>
      <c r="AD84" s="30" t="s">
        <v>2874</v>
      </c>
      <c r="AE84" s="30">
        <v>0.5</v>
      </c>
      <c r="BO84" s="55" t="s">
        <v>3541</v>
      </c>
      <c r="BP84" s="55" t="s">
        <v>3866</v>
      </c>
      <c r="BQ84" t="s">
        <v>3867</v>
      </c>
    </row>
    <row r="85" spans="1:69">
      <c r="A85" s="38"/>
      <c r="B85" s="38"/>
      <c r="D85">
        <f>VLOOKUP(B65,C65:D84,2,0)</f>
        <v>4</v>
      </c>
      <c r="E85">
        <f>VLOOKUP(B65,C65:E84,3,0)</f>
        <v>5</v>
      </c>
      <c r="F85">
        <f>VLOOKUP(B65,C65:F84,4,0)</f>
        <v>3</v>
      </c>
      <c r="G85">
        <f>VLOOKUP(B65,C65:G84,5,0)</f>
        <v>4</v>
      </c>
      <c r="H85">
        <f>VLOOKUP(B65,C65:H84,6,0)</f>
        <v>3</v>
      </c>
      <c r="I85">
        <f>VLOOKUP(B65,C65:I84,7,0)</f>
        <v>3</v>
      </c>
      <c r="J85">
        <f>VLOOKUP(B65,C65:J84,8,0)</f>
        <v>2</v>
      </c>
      <c r="K85" s="38"/>
      <c r="O85">
        <v>8</v>
      </c>
      <c r="P85">
        <v>2</v>
      </c>
      <c r="AB85" s="30" t="s">
        <v>3868</v>
      </c>
      <c r="AC85" s="49" t="s">
        <v>3869</v>
      </c>
      <c r="AD85" s="30" t="s">
        <v>2282</v>
      </c>
      <c r="AE85" s="30">
        <v>3</v>
      </c>
      <c r="BO85" s="52" t="s">
        <v>3542</v>
      </c>
      <c r="BP85" s="52" t="s">
        <v>3870</v>
      </c>
      <c r="BQ85" t="s">
        <v>3871</v>
      </c>
    </row>
    <row r="86" spans="1:68">
      <c r="A86" s="38"/>
      <c r="B86" s="38"/>
      <c r="C86" s="4"/>
      <c r="D86" s="4" t="s">
        <v>3872</v>
      </c>
      <c r="E86" s="4" t="s">
        <v>3873</v>
      </c>
      <c r="F86" s="4" t="s">
        <v>3874</v>
      </c>
      <c r="G86" s="4" t="s">
        <v>3875</v>
      </c>
      <c r="H86" s="4"/>
      <c r="I86" s="4"/>
      <c r="J86" s="38"/>
      <c r="K86" s="38"/>
      <c r="O86">
        <v>9</v>
      </c>
      <c r="P86">
        <v>2</v>
      </c>
      <c r="AB86" s="30" t="s">
        <v>3876</v>
      </c>
      <c r="AC86" s="49" t="s">
        <v>132</v>
      </c>
      <c r="AD86" s="30" t="s">
        <v>2764</v>
      </c>
      <c r="AE86" s="30">
        <v>0</v>
      </c>
      <c r="BO86" s="55" t="s">
        <v>2832</v>
      </c>
      <c r="BP86" s="55" t="s">
        <v>3877</v>
      </c>
    </row>
    <row r="87" spans="1:68">
      <c r="A87" s="38"/>
      <c r="B87">
        <f>主要情况!W3</f>
        <v>5</v>
      </c>
      <c r="C87" s="4">
        <v>1</v>
      </c>
      <c r="D87" s="4">
        <v>2</v>
      </c>
      <c r="E87" s="4">
        <v>4</v>
      </c>
      <c r="F87" s="4">
        <v>2</v>
      </c>
      <c r="G87" s="4" t="s">
        <v>3878</v>
      </c>
      <c r="H87" s="4"/>
      <c r="I87" s="4"/>
      <c r="J87" s="38"/>
      <c r="K87" s="38"/>
      <c r="O87">
        <v>10</v>
      </c>
      <c r="P87">
        <v>2</v>
      </c>
      <c r="AB87" s="30" t="s">
        <v>3879</v>
      </c>
      <c r="AC87" s="49" t="s">
        <v>132</v>
      </c>
      <c r="AD87" s="30" t="s">
        <v>2165</v>
      </c>
      <c r="AE87" s="30">
        <v>5</v>
      </c>
      <c r="BO87" s="55" t="s">
        <v>2850</v>
      </c>
      <c r="BP87" s="55" t="s">
        <v>3880</v>
      </c>
    </row>
    <row r="88" spans="1:68">
      <c r="A88" s="38"/>
      <c r="B88" s="38"/>
      <c r="C88" s="4">
        <v>2</v>
      </c>
      <c r="D88" s="4">
        <v>3</v>
      </c>
      <c r="E88" s="4">
        <v>5</v>
      </c>
      <c r="F88" s="4">
        <v>3</v>
      </c>
      <c r="G88" s="4">
        <v>2</v>
      </c>
      <c r="H88" s="4"/>
      <c r="I88" s="4"/>
      <c r="J88" s="38"/>
      <c r="K88" s="38"/>
      <c r="O88">
        <v>11</v>
      </c>
      <c r="P88">
        <v>2</v>
      </c>
      <c r="AB88" s="30" t="s">
        <v>3881</v>
      </c>
      <c r="AC88" s="49" t="s">
        <v>132</v>
      </c>
      <c r="AD88" s="30" t="s">
        <v>2836</v>
      </c>
      <c r="AE88" s="30">
        <v>0</v>
      </c>
      <c r="BO88" s="55" t="s">
        <v>2868</v>
      </c>
      <c r="BP88" s="55" t="s">
        <v>3882</v>
      </c>
    </row>
    <row r="89" spans="1:68">
      <c r="A89" s="38"/>
      <c r="B89" s="38"/>
      <c r="C89" s="4">
        <v>3</v>
      </c>
      <c r="D89" s="4">
        <v>4</v>
      </c>
      <c r="E89" s="4">
        <v>6</v>
      </c>
      <c r="F89" s="4">
        <v>4</v>
      </c>
      <c r="G89" s="4">
        <v>3</v>
      </c>
      <c r="H89" s="4"/>
      <c r="I89" s="4"/>
      <c r="J89" s="38"/>
      <c r="K89" s="38"/>
      <c r="O89">
        <v>12</v>
      </c>
      <c r="P89">
        <v>2</v>
      </c>
      <c r="AB89" s="30" t="s">
        <v>3883</v>
      </c>
      <c r="AC89" s="49" t="s">
        <v>132</v>
      </c>
      <c r="AD89" s="30" t="s">
        <v>2282</v>
      </c>
      <c r="AE89" s="30">
        <v>0</v>
      </c>
      <c r="BO89" s="55" t="s">
        <v>3609</v>
      </c>
      <c r="BP89" s="55" t="s">
        <v>3884</v>
      </c>
    </row>
    <row r="90" spans="1:68">
      <c r="A90" s="38"/>
      <c r="B90" s="38"/>
      <c r="C90" s="4">
        <v>4</v>
      </c>
      <c r="D90" s="4">
        <v>5</v>
      </c>
      <c r="E90" s="4">
        <v>7</v>
      </c>
      <c r="F90" s="4">
        <v>5</v>
      </c>
      <c r="G90" s="4">
        <v>3</v>
      </c>
      <c r="H90" s="4"/>
      <c r="I90" s="4"/>
      <c r="J90" s="38"/>
      <c r="K90" s="38"/>
      <c r="O90">
        <v>13</v>
      </c>
      <c r="P90">
        <v>2</v>
      </c>
      <c r="AB90" s="30" t="s">
        <v>3885</v>
      </c>
      <c r="AC90" s="49" t="s">
        <v>132</v>
      </c>
      <c r="AD90" s="30" t="s">
        <v>3263</v>
      </c>
      <c r="AE90" s="30">
        <v>0</v>
      </c>
      <c r="BO90" s="55" t="s">
        <v>2907</v>
      </c>
      <c r="BP90" s="55" t="s">
        <v>3886</v>
      </c>
    </row>
    <row r="91" spans="1:68">
      <c r="A91" s="38"/>
      <c r="B91" s="38"/>
      <c r="C91" s="4">
        <v>5</v>
      </c>
      <c r="D91" s="4">
        <v>6</v>
      </c>
      <c r="E91" s="4">
        <v>8</v>
      </c>
      <c r="F91" s="4">
        <v>6</v>
      </c>
      <c r="G91" s="4">
        <v>4</v>
      </c>
      <c r="H91" s="4"/>
      <c r="I91" s="4"/>
      <c r="J91" s="38"/>
      <c r="K91" s="38"/>
      <c r="O91">
        <v>14</v>
      </c>
      <c r="P91">
        <v>2</v>
      </c>
      <c r="AB91" s="30" t="s">
        <v>3887</v>
      </c>
      <c r="AC91" s="49" t="s">
        <v>3888</v>
      </c>
      <c r="AD91" s="30" t="s">
        <v>2237</v>
      </c>
      <c r="AE91" s="30">
        <v>3</v>
      </c>
      <c r="BO91" s="55" t="s">
        <v>2924</v>
      </c>
      <c r="BP91" s="55" t="s">
        <v>3889</v>
      </c>
    </row>
    <row r="92" spans="1:68">
      <c r="A92" s="38"/>
      <c r="B92" s="38"/>
      <c r="C92" s="4">
        <v>6</v>
      </c>
      <c r="D92" s="4">
        <v>7</v>
      </c>
      <c r="E92" s="4">
        <v>9</v>
      </c>
      <c r="F92" s="4">
        <v>7</v>
      </c>
      <c r="G92" s="4">
        <v>4</v>
      </c>
      <c r="H92" s="4"/>
      <c r="I92" s="4"/>
      <c r="J92" s="38"/>
      <c r="K92" s="38"/>
      <c r="O92">
        <v>15</v>
      </c>
      <c r="P92">
        <v>2</v>
      </c>
      <c r="AB92" s="30" t="s">
        <v>3890</v>
      </c>
      <c r="AC92" s="49" t="s">
        <v>132</v>
      </c>
      <c r="AD92" s="30" t="s">
        <v>2285</v>
      </c>
      <c r="AE92" s="30">
        <v>5</v>
      </c>
      <c r="BO92" s="55" t="s">
        <v>2941</v>
      </c>
      <c r="BP92" s="55" t="s">
        <v>3891</v>
      </c>
    </row>
    <row r="93" spans="1:68">
      <c r="A93" s="38"/>
      <c r="B93" s="38"/>
      <c r="C93" s="4">
        <v>7</v>
      </c>
      <c r="D93" s="4">
        <v>8</v>
      </c>
      <c r="E93" s="4">
        <v>10</v>
      </c>
      <c r="F93" s="4">
        <v>8</v>
      </c>
      <c r="G93" s="4">
        <v>5</v>
      </c>
      <c r="H93" s="4"/>
      <c r="I93" s="4"/>
      <c r="J93" s="38"/>
      <c r="K93" s="38"/>
      <c r="O93">
        <v>16</v>
      </c>
      <c r="P93">
        <v>2</v>
      </c>
      <c r="AB93" s="30" t="s">
        <v>3892</v>
      </c>
      <c r="AC93" s="49" t="s">
        <v>3893</v>
      </c>
      <c r="AD93" s="30" t="s">
        <v>3894</v>
      </c>
      <c r="AE93" s="30">
        <v>1</v>
      </c>
      <c r="BO93" s="55" t="s">
        <v>3686</v>
      </c>
      <c r="BP93" s="55" t="s">
        <v>3895</v>
      </c>
    </row>
    <row r="94" spans="1:68">
      <c r="A94" s="38"/>
      <c r="B94" s="38"/>
      <c r="C94" s="4">
        <v>8</v>
      </c>
      <c r="D94" s="4">
        <v>9</v>
      </c>
      <c r="E94" s="4">
        <v>11</v>
      </c>
      <c r="F94" s="4">
        <v>9</v>
      </c>
      <c r="G94" s="4">
        <v>5</v>
      </c>
      <c r="H94" s="4"/>
      <c r="I94" s="4"/>
      <c r="J94" s="38"/>
      <c r="K94" s="38"/>
      <c r="O94">
        <v>17</v>
      </c>
      <c r="P94">
        <v>2</v>
      </c>
      <c r="AB94" s="30" t="s">
        <v>3896</v>
      </c>
      <c r="AC94" s="49" t="s">
        <v>3897</v>
      </c>
      <c r="AD94" s="30" t="s">
        <v>2165</v>
      </c>
      <c r="AE94" s="30">
        <v>20</v>
      </c>
      <c r="BO94" s="52" t="s">
        <v>3687</v>
      </c>
      <c r="BP94" s="52" t="s">
        <v>3898</v>
      </c>
    </row>
    <row r="95" spans="1:68">
      <c r="A95" s="38"/>
      <c r="B95" s="38"/>
      <c r="C95" s="4">
        <v>9</v>
      </c>
      <c r="D95" s="4">
        <v>10</v>
      </c>
      <c r="E95" s="4">
        <v>12</v>
      </c>
      <c r="F95" s="4">
        <v>10</v>
      </c>
      <c r="G95" s="4">
        <v>6</v>
      </c>
      <c r="H95" s="4"/>
      <c r="I95" s="4"/>
      <c r="J95" s="38"/>
      <c r="K95" s="38"/>
      <c r="O95">
        <v>18</v>
      </c>
      <c r="P95">
        <v>2</v>
      </c>
      <c r="AB95" s="30" t="s">
        <v>3899</v>
      </c>
      <c r="AC95" s="49" t="s">
        <v>3900</v>
      </c>
      <c r="AD95" s="30" t="s">
        <v>2764</v>
      </c>
      <c r="AE95" s="30">
        <v>1</v>
      </c>
      <c r="BO95" s="52" t="s">
        <v>3688</v>
      </c>
      <c r="BP95" s="52" t="s">
        <v>3901</v>
      </c>
    </row>
    <row r="96" spans="1:68">
      <c r="A96" s="38"/>
      <c r="B96" s="38"/>
      <c r="C96" s="4">
        <v>10</v>
      </c>
      <c r="D96" s="4">
        <v>11</v>
      </c>
      <c r="E96" s="4">
        <v>14</v>
      </c>
      <c r="F96" s="4">
        <v>10</v>
      </c>
      <c r="G96" s="4">
        <v>6</v>
      </c>
      <c r="H96" s="4"/>
      <c r="I96" s="4"/>
      <c r="J96" s="38"/>
      <c r="K96" s="38"/>
      <c r="O96">
        <v>19</v>
      </c>
      <c r="P96">
        <v>2</v>
      </c>
      <c r="AB96" s="30" t="s">
        <v>3902</v>
      </c>
      <c r="AC96" s="49" t="s">
        <v>3903</v>
      </c>
      <c r="AD96" s="30" t="s">
        <v>2874</v>
      </c>
      <c r="AE96" s="30">
        <v>1</v>
      </c>
      <c r="BO96" s="52" t="s">
        <v>3689</v>
      </c>
      <c r="BP96" s="52" t="s">
        <v>3904</v>
      </c>
    </row>
    <row r="97" spans="1:68">
      <c r="A97" s="38"/>
      <c r="B97" s="38"/>
      <c r="C97" s="4">
        <v>11</v>
      </c>
      <c r="D97" s="4">
        <v>12</v>
      </c>
      <c r="E97" s="4">
        <v>15</v>
      </c>
      <c r="F97" s="4">
        <v>11</v>
      </c>
      <c r="G97" s="4">
        <v>7</v>
      </c>
      <c r="H97" s="4"/>
      <c r="I97" s="4"/>
      <c r="J97" s="38"/>
      <c r="K97" s="38"/>
      <c r="O97">
        <v>20</v>
      </c>
      <c r="P97" t="s">
        <v>234</v>
      </c>
      <c r="AB97" s="30" t="s">
        <v>3905</v>
      </c>
      <c r="AC97" s="49" t="s">
        <v>132</v>
      </c>
      <c r="AD97" s="30" t="s">
        <v>2285</v>
      </c>
      <c r="AE97" s="30">
        <v>0</v>
      </c>
      <c r="BO97" s="55" t="s">
        <v>2979</v>
      </c>
      <c r="BP97" s="55" t="s">
        <v>3906</v>
      </c>
    </row>
    <row r="98" spans="1:68">
      <c r="A98" s="38"/>
      <c r="B98" s="38"/>
      <c r="C98" s="4">
        <v>12</v>
      </c>
      <c r="D98" s="4">
        <v>12</v>
      </c>
      <c r="E98" s="4">
        <v>15</v>
      </c>
      <c r="F98" s="4">
        <v>11</v>
      </c>
      <c r="G98" s="4">
        <v>7</v>
      </c>
      <c r="H98" s="4"/>
      <c r="I98" s="4"/>
      <c r="J98" s="38"/>
      <c r="K98" s="38"/>
      <c r="N98" t="s">
        <v>3907</v>
      </c>
      <c r="P98">
        <f>VLOOKUP(N78,O78:P97,2,0)</f>
        <v>2</v>
      </c>
      <c r="AB98" s="30" t="s">
        <v>3908</v>
      </c>
      <c r="AC98" s="49" t="s">
        <v>132</v>
      </c>
      <c r="AD98" s="30" t="s">
        <v>3683</v>
      </c>
      <c r="AE98" s="30">
        <v>5</v>
      </c>
      <c r="BO98" s="55" t="s">
        <v>3000</v>
      </c>
      <c r="BP98" s="55" t="s">
        <v>3909</v>
      </c>
    </row>
    <row r="99" spans="1:69">
      <c r="A99" s="38"/>
      <c r="B99" s="38"/>
      <c r="C99" s="4">
        <v>13</v>
      </c>
      <c r="D99" s="4">
        <v>13</v>
      </c>
      <c r="E99" s="4">
        <v>16</v>
      </c>
      <c r="F99" s="4">
        <v>12</v>
      </c>
      <c r="G99" s="4">
        <v>8</v>
      </c>
      <c r="H99" s="4"/>
      <c r="I99" s="4"/>
      <c r="J99" s="38"/>
      <c r="K99" s="38"/>
      <c r="N99">
        <f>主要情况!W3</f>
        <v>5</v>
      </c>
      <c r="O99">
        <v>1</v>
      </c>
      <c r="P99">
        <v>1</v>
      </c>
      <c r="Q99" t="s">
        <v>2279</v>
      </c>
      <c r="AB99" s="30" t="s">
        <v>3910</v>
      </c>
      <c r="AC99" s="49" t="s">
        <v>132</v>
      </c>
      <c r="AD99" s="30" t="s">
        <v>2874</v>
      </c>
      <c r="AE99" s="30">
        <v>1</v>
      </c>
      <c r="BO99" s="55" t="s">
        <v>3439</v>
      </c>
      <c r="BP99" s="55" t="s">
        <v>3911</v>
      </c>
      <c r="BQ99" t="s">
        <v>3912</v>
      </c>
    </row>
    <row r="100" spans="1:69">
      <c r="A100" s="38"/>
      <c r="B100" s="38"/>
      <c r="C100" s="4">
        <v>14</v>
      </c>
      <c r="D100" s="4">
        <v>13</v>
      </c>
      <c r="E100" s="4">
        <v>18</v>
      </c>
      <c r="F100" s="4">
        <v>12</v>
      </c>
      <c r="G100" s="4">
        <v>8</v>
      </c>
      <c r="H100" s="4"/>
      <c r="I100" s="4"/>
      <c r="J100" s="38"/>
      <c r="K100" s="38"/>
      <c r="O100">
        <v>2</v>
      </c>
      <c r="P100">
        <v>1</v>
      </c>
      <c r="AB100" s="30" t="s">
        <v>3913</v>
      </c>
      <c r="AC100" s="49" t="s">
        <v>3914</v>
      </c>
      <c r="AD100" s="30" t="s">
        <v>2237</v>
      </c>
      <c r="AE100" s="30">
        <v>8</v>
      </c>
      <c r="BO100" s="55" t="s">
        <v>3440</v>
      </c>
      <c r="BP100" s="55" t="s">
        <v>3915</v>
      </c>
      <c r="BQ100" t="s">
        <v>3912</v>
      </c>
    </row>
    <row r="101" spans="1:69">
      <c r="A101" s="38"/>
      <c r="B101" s="38"/>
      <c r="C101" s="4">
        <v>15</v>
      </c>
      <c r="D101" s="4">
        <v>14</v>
      </c>
      <c r="E101" s="4">
        <v>19</v>
      </c>
      <c r="F101" s="4">
        <v>13</v>
      </c>
      <c r="G101" s="4">
        <v>9</v>
      </c>
      <c r="H101" s="4"/>
      <c r="I101" s="4"/>
      <c r="J101" s="38"/>
      <c r="K101" s="38"/>
      <c r="O101">
        <v>3</v>
      </c>
      <c r="P101">
        <v>1</v>
      </c>
      <c r="AB101" s="30" t="s">
        <v>3916</v>
      </c>
      <c r="AC101" s="49" t="s">
        <v>3917</v>
      </c>
      <c r="AD101" s="30" t="s">
        <v>2518</v>
      </c>
      <c r="AE101" s="30">
        <v>9</v>
      </c>
      <c r="BO101" t="s">
        <v>3757</v>
      </c>
      <c r="BP101" t="s">
        <v>3918</v>
      </c>
      <c r="BQ101" t="s">
        <v>3919</v>
      </c>
    </row>
    <row r="102" spans="1:69">
      <c r="A102" s="38"/>
      <c r="B102" s="38"/>
      <c r="C102" s="4">
        <v>16</v>
      </c>
      <c r="D102" s="4">
        <v>14</v>
      </c>
      <c r="E102" s="4">
        <v>19</v>
      </c>
      <c r="F102" s="4">
        <v>13</v>
      </c>
      <c r="G102" s="4">
        <v>9</v>
      </c>
      <c r="H102" s="4"/>
      <c r="I102" s="4"/>
      <c r="J102" s="38"/>
      <c r="K102" s="38"/>
      <c r="O102">
        <v>4</v>
      </c>
      <c r="P102">
        <v>1</v>
      </c>
      <c r="AB102" s="30" t="s">
        <v>3920</v>
      </c>
      <c r="AC102" s="49" t="s">
        <v>3921</v>
      </c>
      <c r="AD102" s="30" t="s">
        <v>2488</v>
      </c>
      <c r="AE102" s="30">
        <v>5</v>
      </c>
      <c r="BO102" t="s">
        <v>3730</v>
      </c>
      <c r="BP102" t="s">
        <v>3922</v>
      </c>
      <c r="BQ102" t="s">
        <v>3411</v>
      </c>
    </row>
    <row r="103" spans="1:68">
      <c r="A103" s="38"/>
      <c r="B103" s="38"/>
      <c r="C103" s="4">
        <v>17</v>
      </c>
      <c r="D103" s="57">
        <v>15</v>
      </c>
      <c r="E103" s="4">
        <v>20</v>
      </c>
      <c r="F103" s="4">
        <v>14</v>
      </c>
      <c r="G103" s="4">
        <v>10</v>
      </c>
      <c r="H103" s="4"/>
      <c r="I103" s="4"/>
      <c r="J103" s="38"/>
      <c r="K103" s="38"/>
      <c r="O103">
        <v>5</v>
      </c>
      <c r="P103">
        <v>1</v>
      </c>
      <c r="AB103" s="30" t="s">
        <v>3923</v>
      </c>
      <c r="AC103" s="49" t="s">
        <v>3924</v>
      </c>
      <c r="AD103" s="30" t="s">
        <v>3925</v>
      </c>
      <c r="AE103" s="30">
        <v>6</v>
      </c>
      <c r="BO103" s="52">
        <v>0</v>
      </c>
      <c r="BP103" s="52" t="s">
        <v>3926</v>
      </c>
    </row>
    <row r="104" spans="1:68">
      <c r="A104" s="38"/>
      <c r="B104" s="38"/>
      <c r="C104" s="4">
        <v>18</v>
      </c>
      <c r="D104" s="57">
        <v>15</v>
      </c>
      <c r="E104" s="57">
        <v>22</v>
      </c>
      <c r="F104" s="4">
        <v>14</v>
      </c>
      <c r="G104" s="4">
        <v>10</v>
      </c>
      <c r="H104" s="4"/>
      <c r="I104" s="4"/>
      <c r="J104" s="38"/>
      <c r="K104" s="38"/>
      <c r="O104">
        <v>6</v>
      </c>
      <c r="P104">
        <v>2</v>
      </c>
      <c r="AB104" s="30" t="s">
        <v>3927</v>
      </c>
      <c r="AC104" s="49" t="s">
        <v>3928</v>
      </c>
      <c r="AD104" s="30" t="s">
        <v>2798</v>
      </c>
      <c r="AE104" s="30">
        <v>6</v>
      </c>
      <c r="BP104" s="52" t="e">
        <f>VLOOKUP(BN35,BO35:BP103,2,0)</f>
        <v>#N/A</v>
      </c>
    </row>
    <row r="105" spans="1:31">
      <c r="A105" s="38"/>
      <c r="B105" s="38"/>
      <c r="C105" s="4">
        <v>19</v>
      </c>
      <c r="D105" s="57">
        <v>15</v>
      </c>
      <c r="E105" s="57">
        <v>22</v>
      </c>
      <c r="F105" s="57">
        <v>15</v>
      </c>
      <c r="G105" s="57">
        <v>11</v>
      </c>
      <c r="H105" s="4"/>
      <c r="I105" s="4"/>
      <c r="J105" s="38"/>
      <c r="K105" s="38"/>
      <c r="O105">
        <v>7</v>
      </c>
      <c r="P105">
        <v>2</v>
      </c>
      <c r="AB105" s="30" t="s">
        <v>3929</v>
      </c>
      <c r="AC105" s="49" t="s">
        <v>3930</v>
      </c>
      <c r="AD105" s="30" t="s">
        <v>2282</v>
      </c>
      <c r="AE105" s="30">
        <v>5</v>
      </c>
    </row>
    <row r="106" spans="1:31">
      <c r="A106" s="38"/>
      <c r="B106" s="38"/>
      <c r="C106" s="4">
        <v>20</v>
      </c>
      <c r="D106" s="57">
        <v>15</v>
      </c>
      <c r="E106" s="57">
        <v>22</v>
      </c>
      <c r="F106" s="57">
        <v>15</v>
      </c>
      <c r="G106" s="57">
        <v>11</v>
      </c>
      <c r="H106" s="4"/>
      <c r="I106" s="38"/>
      <c r="J106" s="38"/>
      <c r="K106" s="38"/>
      <c r="O106">
        <v>8</v>
      </c>
      <c r="P106">
        <v>2</v>
      </c>
      <c r="AB106" s="30" t="s">
        <v>3931</v>
      </c>
      <c r="AC106" s="49" t="s">
        <v>3932</v>
      </c>
      <c r="AD106" s="30" t="s">
        <v>2285</v>
      </c>
      <c r="AE106" s="30">
        <v>8</v>
      </c>
    </row>
    <row r="107" spans="1:31">
      <c r="A107" s="38"/>
      <c r="B107" s="38"/>
      <c r="C107" s="38"/>
      <c r="D107" s="38">
        <f>VLOOKUP(B87,C87:D106,2,0)</f>
        <v>6</v>
      </c>
      <c r="E107" s="38">
        <f>VLOOKUP(B87,C87:E106,3,0)</f>
        <v>8</v>
      </c>
      <c r="F107" s="38">
        <f>VLOOKUP(B87,C87:F106,4,0)</f>
        <v>6</v>
      </c>
      <c r="G107" s="59">
        <f>VLOOKUP(B87,C87:G106,5,0)</f>
        <v>4</v>
      </c>
      <c r="H107" s="59"/>
      <c r="I107" s="59"/>
      <c r="J107" s="59"/>
      <c r="K107" s="59"/>
      <c r="O107">
        <v>9</v>
      </c>
      <c r="P107">
        <v>2</v>
      </c>
      <c r="AB107" s="30" t="s">
        <v>3933</v>
      </c>
      <c r="AC107" s="49" t="s">
        <v>3934</v>
      </c>
      <c r="AD107" s="30" t="s">
        <v>2722</v>
      </c>
      <c r="AE107" s="30">
        <v>5</v>
      </c>
    </row>
    <row r="108" spans="15:31">
      <c r="O108">
        <v>10</v>
      </c>
      <c r="P108">
        <v>2</v>
      </c>
      <c r="AB108" s="30" t="s">
        <v>3935</v>
      </c>
      <c r="AC108" s="49" t="s">
        <v>3936</v>
      </c>
      <c r="AD108" s="30" t="s">
        <v>2191</v>
      </c>
      <c r="AE108" s="30">
        <v>2</v>
      </c>
    </row>
    <row r="109" spans="15:31">
      <c r="O109">
        <v>11</v>
      </c>
      <c r="P109">
        <v>2</v>
      </c>
      <c r="AB109" s="30" t="s">
        <v>3937</v>
      </c>
      <c r="AC109" s="49" t="s">
        <v>3938</v>
      </c>
      <c r="AD109" s="30" t="s">
        <v>2282</v>
      </c>
      <c r="AE109" s="30">
        <v>5</v>
      </c>
    </row>
    <row r="110" spans="15:31">
      <c r="O110">
        <v>12</v>
      </c>
      <c r="P110">
        <v>2</v>
      </c>
      <c r="AB110" s="30" t="s">
        <v>3939</v>
      </c>
      <c r="AC110" s="49" t="s">
        <v>3940</v>
      </c>
      <c r="AD110" s="30" t="s">
        <v>2488</v>
      </c>
      <c r="AE110" s="30">
        <v>8</v>
      </c>
    </row>
    <row r="111" spans="15:31">
      <c r="O111">
        <v>13</v>
      </c>
      <c r="P111">
        <v>2</v>
      </c>
      <c r="AB111" s="30" t="s">
        <v>3941</v>
      </c>
      <c r="AC111" s="49" t="s">
        <v>3942</v>
      </c>
      <c r="AD111" s="30" t="s">
        <v>2488</v>
      </c>
      <c r="AE111" s="30">
        <v>5</v>
      </c>
    </row>
    <row r="112" spans="15:31">
      <c r="O112">
        <v>14</v>
      </c>
      <c r="P112">
        <v>2</v>
      </c>
      <c r="AB112" s="30" t="s">
        <v>3943</v>
      </c>
      <c r="AC112" s="49" t="s">
        <v>3944</v>
      </c>
      <c r="AD112" s="30" t="s">
        <v>2488</v>
      </c>
      <c r="AE112" s="30">
        <v>3</v>
      </c>
    </row>
    <row r="113" spans="15:31">
      <c r="O113">
        <v>15</v>
      </c>
      <c r="P113">
        <v>2</v>
      </c>
      <c r="AB113" s="30" t="s">
        <v>3945</v>
      </c>
      <c r="AC113" s="49" t="s">
        <v>3946</v>
      </c>
      <c r="AD113" s="30" t="s">
        <v>2518</v>
      </c>
      <c r="AE113" s="30">
        <v>8</v>
      </c>
    </row>
    <row r="114" spans="15:31">
      <c r="O114">
        <v>16</v>
      </c>
      <c r="P114">
        <v>2</v>
      </c>
      <c r="AB114" s="30" t="s">
        <v>3947</v>
      </c>
      <c r="AC114" s="49" t="s">
        <v>3948</v>
      </c>
      <c r="AD114" s="30" t="s">
        <v>2237</v>
      </c>
      <c r="AE114" s="30">
        <v>10</v>
      </c>
    </row>
    <row r="115" spans="15:31">
      <c r="O115">
        <v>17</v>
      </c>
      <c r="P115">
        <v>2</v>
      </c>
      <c r="AB115" s="30" t="s">
        <v>3949</v>
      </c>
      <c r="AC115" s="49" t="s">
        <v>3950</v>
      </c>
      <c r="AD115" s="30" t="s">
        <v>2285</v>
      </c>
      <c r="AE115" s="30">
        <v>5</v>
      </c>
    </row>
    <row r="116" spans="15:31">
      <c r="O116">
        <v>18</v>
      </c>
      <c r="P116">
        <v>3</v>
      </c>
      <c r="AB116" s="30" t="s">
        <v>3951</v>
      </c>
      <c r="AC116" s="49" t="s">
        <v>3952</v>
      </c>
      <c r="AD116" s="30" t="s">
        <v>2285</v>
      </c>
      <c r="AE116" s="30">
        <v>5</v>
      </c>
    </row>
    <row r="117" spans="15:31">
      <c r="O117">
        <v>19</v>
      </c>
      <c r="P117">
        <v>3</v>
      </c>
      <c r="AB117" s="30" t="s">
        <v>3953</v>
      </c>
      <c r="AC117" s="49" t="s">
        <v>3954</v>
      </c>
      <c r="AD117" s="30" t="s">
        <v>2191</v>
      </c>
      <c r="AE117" s="30">
        <v>3</v>
      </c>
    </row>
    <row r="118" spans="15:31">
      <c r="O118">
        <v>20</v>
      </c>
      <c r="P118">
        <v>3</v>
      </c>
      <c r="AB118" s="30" t="s">
        <v>3955</v>
      </c>
      <c r="AC118" s="49" t="s">
        <v>3956</v>
      </c>
      <c r="AD118" s="30" t="s">
        <v>2798</v>
      </c>
      <c r="AE118" s="30">
        <v>5</v>
      </c>
    </row>
    <row r="119" spans="14:31">
      <c r="N119" t="s">
        <v>3957</v>
      </c>
      <c r="P119">
        <f>VLOOKUP(N99,O99:P118,2,0)</f>
        <v>1</v>
      </c>
      <c r="AB119" s="30" t="s">
        <v>3958</v>
      </c>
      <c r="AC119" s="49" t="s">
        <v>132</v>
      </c>
      <c r="AD119" s="30" t="s">
        <v>3546</v>
      </c>
      <c r="AE119" s="30">
        <v>0</v>
      </c>
    </row>
    <row r="120" spans="14:31">
      <c r="N120">
        <f>主要情况!W3</f>
        <v>5</v>
      </c>
      <c r="O120">
        <v>1</v>
      </c>
      <c r="P120" t="s">
        <v>2158</v>
      </c>
      <c r="Q120" t="s">
        <v>2261</v>
      </c>
      <c r="AB120" s="30" t="s">
        <v>3959</v>
      </c>
      <c r="AC120" s="49" t="s">
        <v>132</v>
      </c>
      <c r="AD120" s="30" t="s">
        <v>2764</v>
      </c>
      <c r="AE120" s="30">
        <v>0.5</v>
      </c>
    </row>
    <row r="121" spans="15:31">
      <c r="O121">
        <v>2</v>
      </c>
      <c r="P121" t="s">
        <v>2158</v>
      </c>
      <c r="AB121" s="30" t="s">
        <v>3960</v>
      </c>
      <c r="AC121" s="49" t="s">
        <v>132</v>
      </c>
      <c r="AD121" s="30" t="s">
        <v>2764</v>
      </c>
      <c r="AE121" s="30">
        <v>0</v>
      </c>
    </row>
    <row r="122" spans="15:31">
      <c r="O122">
        <v>3</v>
      </c>
      <c r="P122" t="s">
        <v>2743</v>
      </c>
      <c r="AB122" s="30" t="s">
        <v>3961</v>
      </c>
      <c r="AC122" s="49" t="s">
        <v>132</v>
      </c>
      <c r="AD122" s="30" t="s">
        <v>2282</v>
      </c>
      <c r="AE122" s="30">
        <v>3</v>
      </c>
    </row>
    <row r="123" spans="15:31">
      <c r="O123">
        <v>4</v>
      </c>
      <c r="P123" t="s">
        <v>2743</v>
      </c>
      <c r="AB123" s="30" t="s">
        <v>3740</v>
      </c>
      <c r="AC123" s="49" t="s">
        <v>3962</v>
      </c>
      <c r="AD123" s="30" t="s">
        <v>2282</v>
      </c>
      <c r="AE123" s="30">
        <v>3</v>
      </c>
    </row>
    <row r="124" spans="15:31">
      <c r="O124">
        <v>5</v>
      </c>
      <c r="P124" t="s">
        <v>3963</v>
      </c>
      <c r="AB124" s="30" t="s">
        <v>3964</v>
      </c>
      <c r="AC124" s="49" t="s">
        <v>132</v>
      </c>
      <c r="AD124" s="30" t="s">
        <v>2722</v>
      </c>
      <c r="AE124" s="30">
        <v>6</v>
      </c>
    </row>
    <row r="125" spans="15:31">
      <c r="O125">
        <v>6</v>
      </c>
      <c r="P125" t="s">
        <v>3963</v>
      </c>
      <c r="AB125" s="30" t="s">
        <v>3965</v>
      </c>
      <c r="AC125" s="49" t="s">
        <v>132</v>
      </c>
      <c r="AD125" s="30" t="s">
        <v>3966</v>
      </c>
      <c r="AE125" s="30">
        <v>3</v>
      </c>
    </row>
    <row r="126" spans="15:31">
      <c r="O126">
        <v>7</v>
      </c>
      <c r="P126" t="s">
        <v>3967</v>
      </c>
      <c r="AB126" s="30" t="s">
        <v>3968</v>
      </c>
      <c r="AC126" s="49" t="s">
        <v>132</v>
      </c>
      <c r="AD126" s="30" t="s">
        <v>2191</v>
      </c>
      <c r="AE126" s="30">
        <v>10</v>
      </c>
    </row>
    <row r="127" spans="15:31">
      <c r="O127">
        <v>8</v>
      </c>
      <c r="P127" t="s">
        <v>3967</v>
      </c>
      <c r="AB127" s="30" t="s">
        <v>3969</v>
      </c>
      <c r="AC127" s="49" t="s">
        <v>132</v>
      </c>
      <c r="AD127" s="30" t="s">
        <v>2165</v>
      </c>
      <c r="AE127" s="30">
        <v>1</v>
      </c>
    </row>
    <row r="128" spans="15:31">
      <c r="O128">
        <v>9</v>
      </c>
      <c r="P128" t="s">
        <v>3970</v>
      </c>
      <c r="AB128" s="30" t="s">
        <v>3971</v>
      </c>
      <c r="AC128" s="49" t="s">
        <v>132</v>
      </c>
      <c r="AD128" s="30" t="s">
        <v>3972</v>
      </c>
      <c r="AE128" s="30">
        <v>2</v>
      </c>
    </row>
    <row r="129" spans="15:31">
      <c r="O129">
        <v>10</v>
      </c>
      <c r="P129" t="s">
        <v>3970</v>
      </c>
      <c r="AB129" s="30" t="s">
        <v>3973</v>
      </c>
      <c r="AC129" s="49" t="s">
        <v>132</v>
      </c>
      <c r="AD129" s="30" t="s">
        <v>2722</v>
      </c>
      <c r="AE129" s="30">
        <v>2</v>
      </c>
    </row>
    <row r="130" spans="15:31">
      <c r="O130">
        <v>11</v>
      </c>
      <c r="P130" t="s">
        <v>3974</v>
      </c>
      <c r="AB130" s="30" t="s">
        <v>3975</v>
      </c>
      <c r="AC130" s="49" t="s">
        <v>132</v>
      </c>
      <c r="AD130" s="30" t="s">
        <v>3976</v>
      </c>
      <c r="AE130" s="30">
        <v>2</v>
      </c>
    </row>
    <row r="131" spans="15:31">
      <c r="O131">
        <v>12</v>
      </c>
      <c r="P131" t="s">
        <v>3974</v>
      </c>
      <c r="AB131" s="30" t="s">
        <v>3977</v>
      </c>
      <c r="AC131" s="49" t="s">
        <v>132</v>
      </c>
      <c r="AD131" s="30" t="s">
        <v>3978</v>
      </c>
      <c r="AE131" s="30">
        <v>2</v>
      </c>
    </row>
    <row r="132" spans="15:31">
      <c r="O132">
        <v>13</v>
      </c>
      <c r="P132" t="s">
        <v>3979</v>
      </c>
      <c r="AB132" s="30" t="s">
        <v>3980</v>
      </c>
      <c r="AC132" s="49" t="s">
        <v>132</v>
      </c>
      <c r="AD132" s="30" t="s">
        <v>2165</v>
      </c>
      <c r="AE132" s="30">
        <v>1</v>
      </c>
    </row>
    <row r="133" spans="15:31">
      <c r="O133">
        <v>14</v>
      </c>
      <c r="P133" t="s">
        <v>3979</v>
      </c>
      <c r="AB133" s="30" t="s">
        <v>3981</v>
      </c>
      <c r="AC133" s="49" t="s">
        <v>132</v>
      </c>
      <c r="AD133" s="30" t="s">
        <v>2722</v>
      </c>
      <c r="AE133" s="30">
        <v>1</v>
      </c>
    </row>
    <row r="134" spans="15:31">
      <c r="O134">
        <v>15</v>
      </c>
      <c r="P134" t="s">
        <v>3982</v>
      </c>
      <c r="AB134" s="30" t="s">
        <v>3983</v>
      </c>
      <c r="AC134" s="49" t="s">
        <v>3984</v>
      </c>
      <c r="AD134" s="30" t="s">
        <v>2191</v>
      </c>
      <c r="AE134" s="30">
        <v>2</v>
      </c>
    </row>
    <row r="135" spans="15:31">
      <c r="O135">
        <v>16</v>
      </c>
      <c r="P135" t="s">
        <v>3982</v>
      </c>
      <c r="AB135" s="30" t="s">
        <v>3985</v>
      </c>
      <c r="AC135" s="49" t="s">
        <v>3986</v>
      </c>
      <c r="AD135" s="30" t="s">
        <v>2237</v>
      </c>
      <c r="AE135" s="30">
        <v>2</v>
      </c>
    </row>
    <row r="136" spans="15:31">
      <c r="O136">
        <v>17</v>
      </c>
      <c r="P136" t="s">
        <v>3987</v>
      </c>
      <c r="AB136" s="30" t="s">
        <v>3988</v>
      </c>
      <c r="AC136" s="49" t="s">
        <v>3989</v>
      </c>
      <c r="AD136" s="30" t="s">
        <v>2191</v>
      </c>
      <c r="AE136" s="30">
        <v>1</v>
      </c>
    </row>
    <row r="137" spans="15:31">
      <c r="O137">
        <v>18</v>
      </c>
      <c r="P137" t="s">
        <v>3987</v>
      </c>
      <c r="AB137" s="30" t="s">
        <v>3990</v>
      </c>
      <c r="AC137" s="50" t="s">
        <v>3991</v>
      </c>
      <c r="AD137" s="30" t="s">
        <v>3992</v>
      </c>
      <c r="AE137" s="30">
        <v>47.5</v>
      </c>
    </row>
    <row r="138" spans="15:31">
      <c r="O138">
        <v>19</v>
      </c>
      <c r="P138" t="s">
        <v>3993</v>
      </c>
      <c r="AB138" s="30" t="s">
        <v>3994</v>
      </c>
      <c r="AC138" s="50" t="s">
        <v>3995</v>
      </c>
      <c r="AD138" s="30" t="s">
        <v>3996</v>
      </c>
      <c r="AE138" s="30">
        <v>46</v>
      </c>
    </row>
    <row r="139" spans="15:31">
      <c r="O139">
        <v>20</v>
      </c>
      <c r="P139" t="s">
        <v>3993</v>
      </c>
      <c r="AB139" s="30" t="s">
        <v>3997</v>
      </c>
      <c r="AC139" s="50" t="s">
        <v>3998</v>
      </c>
      <c r="AD139" s="30" t="s">
        <v>3992</v>
      </c>
      <c r="AE139" s="30">
        <v>61.5</v>
      </c>
    </row>
    <row r="140" spans="14:31">
      <c r="N140" t="s">
        <v>3999</v>
      </c>
      <c r="P140" t="str">
        <f>VLOOKUP(N120,O120:P139,2,0)</f>
        <v>3d6</v>
      </c>
      <c r="AB140" s="30" t="s">
        <v>4000</v>
      </c>
      <c r="AC140" s="50" t="s">
        <v>4001</v>
      </c>
      <c r="AD140" s="30" t="s">
        <v>4002</v>
      </c>
      <c r="AE140" s="30">
        <v>38</v>
      </c>
    </row>
    <row r="141" spans="14:31">
      <c r="N141">
        <f>主要情况!W3</f>
        <v>5</v>
      </c>
      <c r="O141">
        <v>1</v>
      </c>
      <c r="P141">
        <v>0</v>
      </c>
      <c r="Q141" t="s">
        <v>2449</v>
      </c>
      <c r="AB141" s="30" t="s">
        <v>4003</v>
      </c>
      <c r="AC141" s="50" t="s">
        <v>4004</v>
      </c>
      <c r="AD141" s="30" t="s">
        <v>3996</v>
      </c>
      <c r="AE141" s="30">
        <v>59</v>
      </c>
    </row>
    <row r="142" spans="15:31">
      <c r="O142">
        <v>2</v>
      </c>
      <c r="P142">
        <v>2</v>
      </c>
      <c r="AB142" s="30" t="s">
        <v>4005</v>
      </c>
      <c r="AC142" s="50" t="s">
        <v>4006</v>
      </c>
      <c r="AD142" s="30" t="s">
        <v>4007</v>
      </c>
      <c r="AE142" s="30">
        <v>18</v>
      </c>
    </row>
    <row r="143" spans="15:31">
      <c r="O143">
        <v>3</v>
      </c>
      <c r="P143">
        <v>2</v>
      </c>
      <c r="AB143" s="30" t="s">
        <v>4008</v>
      </c>
      <c r="AC143" s="50" t="s">
        <v>4009</v>
      </c>
      <c r="AD143" s="30" t="s">
        <v>3996</v>
      </c>
      <c r="AE143" s="30">
        <v>11</v>
      </c>
    </row>
    <row r="144" spans="15:31">
      <c r="O144">
        <v>4</v>
      </c>
      <c r="P144">
        <v>2</v>
      </c>
      <c r="AB144" s="30">
        <v>0</v>
      </c>
      <c r="AC144" s="49" t="s">
        <v>132</v>
      </c>
      <c r="AD144" s="30">
        <v>0</v>
      </c>
      <c r="AE144" s="30">
        <v>0</v>
      </c>
    </row>
    <row r="145" spans="15:31">
      <c r="O145">
        <v>5</v>
      </c>
      <c r="P145">
        <v>3</v>
      </c>
      <c r="AE145">
        <f>VLOOKUP(AA1,AB1:AE144,4,0)</f>
        <v>0</v>
      </c>
    </row>
    <row r="146" spans="15:31">
      <c r="O146">
        <v>6</v>
      </c>
      <c r="P146">
        <v>3</v>
      </c>
      <c r="AE146">
        <f>VLOOKUP(AA2,AB1:AE144,4,0)</f>
        <v>0</v>
      </c>
    </row>
    <row r="147" spans="15:31">
      <c r="O147">
        <v>7</v>
      </c>
      <c r="P147">
        <v>4</v>
      </c>
      <c r="AE147">
        <f>VLOOKUP(AA3,AB1:AE144,4,0)</f>
        <v>0</v>
      </c>
    </row>
    <row r="148" spans="15:31">
      <c r="O148">
        <v>8</v>
      </c>
      <c r="P148">
        <v>4</v>
      </c>
      <c r="AE148">
        <f>VLOOKUP(AA4,AB1:AE144,4,0)</f>
        <v>0</v>
      </c>
    </row>
    <row r="149" spans="15:31">
      <c r="O149">
        <v>9</v>
      </c>
      <c r="P149">
        <v>5</v>
      </c>
      <c r="AE149">
        <f>VLOOKUP(AA5,AB1:AE144,4,0)</f>
        <v>0</v>
      </c>
    </row>
    <row r="150" spans="15:31">
      <c r="O150">
        <v>10</v>
      </c>
      <c r="P150">
        <v>5</v>
      </c>
      <c r="AE150">
        <f>VLOOKUP(AA6,AB1:AE144,4,0)</f>
        <v>0</v>
      </c>
    </row>
    <row r="151" spans="15:31">
      <c r="O151">
        <v>11</v>
      </c>
      <c r="P151">
        <v>5</v>
      </c>
      <c r="AE151">
        <f>VLOOKUP(AA7,AB1:AE144,4,0)</f>
        <v>0</v>
      </c>
    </row>
    <row r="152" spans="15:31">
      <c r="O152">
        <v>12</v>
      </c>
      <c r="P152">
        <v>6</v>
      </c>
      <c r="AE152">
        <f>VLOOKUP(AA8,AB1:AE144,4,0)</f>
        <v>0</v>
      </c>
    </row>
    <row r="153" spans="15:31">
      <c r="O153">
        <v>13</v>
      </c>
      <c r="P153">
        <v>6</v>
      </c>
      <c r="AE153">
        <f>VLOOKUP(AA9,AB1:AE144,4,0)</f>
        <v>0</v>
      </c>
    </row>
    <row r="154" spans="15:31">
      <c r="O154">
        <v>14</v>
      </c>
      <c r="P154">
        <v>6</v>
      </c>
      <c r="AE154">
        <f>VLOOKUP(AA10,AB1:AE144,4,0)</f>
        <v>0</v>
      </c>
    </row>
    <row r="155" spans="15:16">
      <c r="O155">
        <v>15</v>
      </c>
      <c r="P155">
        <v>7</v>
      </c>
    </row>
    <row r="156" spans="15:31">
      <c r="O156">
        <v>16</v>
      </c>
      <c r="P156">
        <v>7</v>
      </c>
      <c r="AE156">
        <f>VLOOKUP(AA11,AB1:AE144,4,0)</f>
        <v>0</v>
      </c>
    </row>
    <row r="157" spans="15:31">
      <c r="O157">
        <v>17</v>
      </c>
      <c r="P157">
        <v>7</v>
      </c>
      <c r="AE157">
        <f>VLOOKUP(AA12,AB1:AE144,4,0)</f>
        <v>0</v>
      </c>
    </row>
    <row r="158" spans="15:31">
      <c r="O158">
        <v>18</v>
      </c>
      <c r="P158">
        <v>8</v>
      </c>
      <c r="AE158">
        <f>VLOOKUP(AA13,AB1:AE144,4,0)</f>
        <v>0</v>
      </c>
    </row>
    <row r="159" spans="15:31">
      <c r="O159">
        <v>19</v>
      </c>
      <c r="P159">
        <v>8</v>
      </c>
      <c r="AE159">
        <f>VLOOKUP(AA14,AB1:AE144,4,0)</f>
        <v>0</v>
      </c>
    </row>
    <row r="160" spans="15:31">
      <c r="O160">
        <v>20</v>
      </c>
      <c r="P160">
        <v>8</v>
      </c>
      <c r="AE160">
        <f>VLOOKUP(AA15,AB1:AE144,4,0)</f>
        <v>0</v>
      </c>
    </row>
    <row r="161" spans="14:31">
      <c r="N161" t="s">
        <v>4010</v>
      </c>
      <c r="P161">
        <f>VLOOKUP(N141,O141:P160,2,0)</f>
        <v>3</v>
      </c>
      <c r="AE161">
        <f>VLOOKUP(AA16,AB1:AE144,4,0)</f>
        <v>0</v>
      </c>
    </row>
    <row r="162" spans="14:31">
      <c r="N162">
        <f>主要情况!W3</f>
        <v>5</v>
      </c>
      <c r="O162">
        <v>1</v>
      </c>
      <c r="P162">
        <v>0</v>
      </c>
      <c r="Q162" t="s">
        <v>2313</v>
      </c>
      <c r="AE162">
        <f>VLOOKUP(AA17,AB1:AE144,4,0)</f>
        <v>0</v>
      </c>
    </row>
    <row r="163" spans="15:31">
      <c r="O163">
        <v>2</v>
      </c>
      <c r="P163">
        <v>1</v>
      </c>
      <c r="AE163">
        <f>VLOOKUP(AA18,AB1:AE144,4,0)</f>
        <v>0</v>
      </c>
    </row>
    <row r="164" spans="15:31">
      <c r="O164">
        <v>3</v>
      </c>
      <c r="P164">
        <v>1</v>
      </c>
      <c r="AE164">
        <f>VLOOKUP(AA19,AB1:AE144,4,0)</f>
        <v>0</v>
      </c>
    </row>
    <row r="165" spans="15:31">
      <c r="O165">
        <v>4</v>
      </c>
      <c r="P165">
        <v>1</v>
      </c>
      <c r="AE165">
        <f>VLOOKUP(AA20,AB1:AE144,4,0)</f>
        <v>0</v>
      </c>
    </row>
    <row r="166" spans="15:16">
      <c r="O166">
        <v>5</v>
      </c>
      <c r="P166">
        <v>1</v>
      </c>
    </row>
    <row r="167" spans="15:16">
      <c r="O167">
        <v>6</v>
      </c>
      <c r="P167">
        <v>1</v>
      </c>
    </row>
    <row r="168" spans="15:16">
      <c r="O168">
        <v>7</v>
      </c>
      <c r="P168">
        <v>1</v>
      </c>
    </row>
    <row r="169" spans="15:16">
      <c r="O169">
        <v>8</v>
      </c>
      <c r="P169">
        <v>1</v>
      </c>
    </row>
    <row r="170" spans="15:16">
      <c r="O170">
        <v>9</v>
      </c>
      <c r="P170">
        <v>1</v>
      </c>
    </row>
    <row r="171" spans="15:16">
      <c r="O171">
        <v>10</v>
      </c>
      <c r="P171">
        <v>1</v>
      </c>
    </row>
    <row r="172" spans="15:16">
      <c r="O172">
        <v>11</v>
      </c>
      <c r="P172">
        <v>1</v>
      </c>
    </row>
    <row r="173" spans="15:16">
      <c r="O173">
        <v>12</v>
      </c>
      <c r="P173">
        <v>1</v>
      </c>
    </row>
    <row r="174" spans="15:16">
      <c r="O174">
        <v>13</v>
      </c>
      <c r="P174">
        <v>1</v>
      </c>
    </row>
    <row r="175" spans="15:16">
      <c r="O175">
        <v>14</v>
      </c>
      <c r="P175">
        <v>1</v>
      </c>
    </row>
    <row r="176" spans="15:16">
      <c r="O176">
        <v>15</v>
      </c>
      <c r="P176">
        <v>1</v>
      </c>
    </row>
    <row r="177" spans="15:16">
      <c r="O177">
        <v>16</v>
      </c>
      <c r="P177">
        <v>1</v>
      </c>
    </row>
    <row r="178" spans="15:16">
      <c r="O178">
        <v>17</v>
      </c>
      <c r="P178">
        <v>2</v>
      </c>
    </row>
    <row r="179" spans="15:16">
      <c r="O179">
        <v>18</v>
      </c>
      <c r="P179">
        <v>2</v>
      </c>
    </row>
    <row r="180" spans="15:16">
      <c r="O180">
        <v>19</v>
      </c>
      <c r="P180">
        <v>2</v>
      </c>
    </row>
    <row r="181" spans="15:16">
      <c r="O181">
        <v>20</v>
      </c>
      <c r="P181">
        <v>2</v>
      </c>
    </row>
    <row r="182" spans="14:16">
      <c r="N182" t="s">
        <v>4011</v>
      </c>
      <c r="P182">
        <f>VLOOKUP(N162,O162:P181,2,0)</f>
        <v>1</v>
      </c>
    </row>
    <row r="183" spans="14:17">
      <c r="N183">
        <f>主要情况!W3</f>
        <v>5</v>
      </c>
      <c r="O183">
        <v>1</v>
      </c>
      <c r="P183">
        <v>5</v>
      </c>
      <c r="Q183" t="s">
        <v>2249</v>
      </c>
    </row>
    <row r="184" spans="15:16">
      <c r="O184">
        <v>2</v>
      </c>
      <c r="P184">
        <v>10</v>
      </c>
    </row>
    <row r="185" spans="15:16">
      <c r="O185">
        <v>3</v>
      </c>
      <c r="P185">
        <v>15</v>
      </c>
    </row>
    <row r="186" spans="15:16">
      <c r="O186">
        <v>4</v>
      </c>
      <c r="P186">
        <v>20</v>
      </c>
    </row>
    <row r="187" spans="15:16">
      <c r="O187">
        <v>5</v>
      </c>
      <c r="P187">
        <v>25</v>
      </c>
    </row>
    <row r="188" spans="15:16">
      <c r="O188">
        <v>6</v>
      </c>
      <c r="P188">
        <v>30</v>
      </c>
    </row>
    <row r="189" spans="15:16">
      <c r="O189">
        <v>7</v>
      </c>
      <c r="P189">
        <v>35</v>
      </c>
    </row>
    <row r="190" spans="15:16">
      <c r="O190">
        <v>8</v>
      </c>
      <c r="P190">
        <v>40</v>
      </c>
    </row>
    <row r="191" spans="15:16">
      <c r="O191">
        <v>9</v>
      </c>
      <c r="P191">
        <v>45</v>
      </c>
    </row>
    <row r="192" spans="15:16">
      <c r="O192">
        <v>10</v>
      </c>
      <c r="P192">
        <v>50</v>
      </c>
    </row>
    <row r="193" spans="15:16">
      <c r="O193">
        <v>11</v>
      </c>
      <c r="P193">
        <v>55</v>
      </c>
    </row>
    <row r="194" spans="15:16">
      <c r="O194">
        <v>12</v>
      </c>
      <c r="P194">
        <v>60</v>
      </c>
    </row>
    <row r="195" spans="15:16">
      <c r="O195">
        <v>13</v>
      </c>
      <c r="P195">
        <v>65</v>
      </c>
    </row>
    <row r="196" spans="15:16">
      <c r="O196">
        <v>14</v>
      </c>
      <c r="P196">
        <v>70</v>
      </c>
    </row>
    <row r="197" spans="15:16">
      <c r="O197">
        <v>15</v>
      </c>
      <c r="P197">
        <v>75</v>
      </c>
    </row>
    <row r="198" spans="15:16">
      <c r="O198">
        <v>16</v>
      </c>
      <c r="P198">
        <v>80</v>
      </c>
    </row>
    <row r="199" spans="15:16">
      <c r="O199">
        <v>17</v>
      </c>
      <c r="P199">
        <v>85</v>
      </c>
    </row>
    <row r="200" spans="15:16">
      <c r="O200">
        <v>18</v>
      </c>
      <c r="P200">
        <v>90</v>
      </c>
    </row>
    <row r="201" spans="15:16">
      <c r="O201">
        <v>19</v>
      </c>
      <c r="P201">
        <v>95</v>
      </c>
    </row>
    <row r="202" spans="15:16">
      <c r="O202">
        <v>20</v>
      </c>
      <c r="P202">
        <v>100</v>
      </c>
    </row>
    <row r="203" spans="14:16">
      <c r="N203" t="s">
        <v>4012</v>
      </c>
      <c r="P203">
        <f>VLOOKUP(N183,O183:P202,2,0)</f>
        <v>25</v>
      </c>
    </row>
    <row r="204" spans="14:17">
      <c r="N204">
        <f>主要情况!W3</f>
        <v>5</v>
      </c>
      <c r="O204">
        <v>1</v>
      </c>
      <c r="P204">
        <v>1</v>
      </c>
      <c r="Q204" t="s">
        <v>2547</v>
      </c>
    </row>
    <row r="205" spans="15:16">
      <c r="O205">
        <v>2</v>
      </c>
      <c r="P205">
        <v>1</v>
      </c>
    </row>
    <row r="206" spans="15:16">
      <c r="O206">
        <v>3</v>
      </c>
      <c r="P206">
        <v>1</v>
      </c>
    </row>
    <row r="207" spans="15:16">
      <c r="O207">
        <v>4</v>
      </c>
      <c r="P207">
        <v>1</v>
      </c>
    </row>
    <row r="208" spans="15:16">
      <c r="O208">
        <v>5</v>
      </c>
      <c r="P208">
        <v>1</v>
      </c>
    </row>
    <row r="209" spans="15:16">
      <c r="O209">
        <v>6</v>
      </c>
      <c r="P209">
        <v>2</v>
      </c>
    </row>
    <row r="210" spans="15:16">
      <c r="O210">
        <v>7</v>
      </c>
      <c r="P210">
        <v>2</v>
      </c>
    </row>
    <row r="211" spans="15:16">
      <c r="O211">
        <v>8</v>
      </c>
      <c r="P211">
        <v>2</v>
      </c>
    </row>
    <row r="212" spans="15:16">
      <c r="O212">
        <v>9</v>
      </c>
      <c r="P212">
        <v>2</v>
      </c>
    </row>
    <row r="213" spans="15:16">
      <c r="O213">
        <v>10</v>
      </c>
      <c r="P213">
        <v>2</v>
      </c>
    </row>
    <row r="214" spans="15:16">
      <c r="O214">
        <v>11</v>
      </c>
      <c r="P214">
        <v>2</v>
      </c>
    </row>
    <row r="215" spans="15:16">
      <c r="O215">
        <v>12</v>
      </c>
      <c r="P215">
        <v>2</v>
      </c>
    </row>
    <row r="216" spans="15:16">
      <c r="O216">
        <v>13</v>
      </c>
      <c r="P216">
        <v>2</v>
      </c>
    </row>
    <row r="217" spans="15:16">
      <c r="O217">
        <v>14</v>
      </c>
      <c r="P217">
        <v>3</v>
      </c>
    </row>
    <row r="218" spans="15:16">
      <c r="O218">
        <v>15</v>
      </c>
      <c r="P218">
        <v>3</v>
      </c>
    </row>
    <row r="219" spans="15:16">
      <c r="O219">
        <v>16</v>
      </c>
      <c r="P219">
        <v>3</v>
      </c>
    </row>
    <row r="220" spans="15:16">
      <c r="O220">
        <v>17</v>
      </c>
      <c r="P220">
        <v>3</v>
      </c>
    </row>
    <row r="221" spans="15:16">
      <c r="O221">
        <v>18</v>
      </c>
      <c r="P221">
        <v>3</v>
      </c>
    </row>
    <row r="222" spans="15:16">
      <c r="O222">
        <v>19</v>
      </c>
      <c r="P222">
        <v>3</v>
      </c>
    </row>
    <row r="223" spans="15:16">
      <c r="O223">
        <v>20</v>
      </c>
      <c r="P223">
        <v>3</v>
      </c>
    </row>
    <row r="224" spans="14:16">
      <c r="N224" t="s">
        <v>4013</v>
      </c>
      <c r="P224">
        <f>VLOOKUP(N204,O204:P223,2,0)</f>
        <v>1</v>
      </c>
    </row>
    <row r="225" spans="14:17">
      <c r="N225">
        <f>主要情况!W3</f>
        <v>5</v>
      </c>
      <c r="O225">
        <v>1</v>
      </c>
      <c r="P225">
        <v>2</v>
      </c>
      <c r="Q225" t="s">
        <v>2579</v>
      </c>
    </row>
    <row r="226" spans="15:16">
      <c r="O226">
        <v>2</v>
      </c>
      <c r="P226">
        <v>2</v>
      </c>
    </row>
    <row r="227" spans="15:16">
      <c r="O227">
        <v>3</v>
      </c>
      <c r="P227">
        <v>3</v>
      </c>
    </row>
    <row r="228" spans="15:16">
      <c r="O228">
        <v>4</v>
      </c>
      <c r="P228">
        <v>3</v>
      </c>
    </row>
    <row r="229" spans="15:16">
      <c r="O229">
        <v>5</v>
      </c>
      <c r="P229">
        <v>3</v>
      </c>
    </row>
    <row r="230" spans="15:16">
      <c r="O230">
        <v>6</v>
      </c>
      <c r="P230">
        <v>4</v>
      </c>
    </row>
    <row r="231" spans="15:16">
      <c r="O231">
        <v>7</v>
      </c>
      <c r="P231">
        <v>4</v>
      </c>
    </row>
    <row r="232" spans="15:16">
      <c r="O232">
        <v>8</v>
      </c>
      <c r="P232">
        <v>4</v>
      </c>
    </row>
    <row r="233" spans="15:16">
      <c r="O233">
        <v>9</v>
      </c>
      <c r="P233">
        <v>4</v>
      </c>
    </row>
    <row r="234" spans="15:16">
      <c r="O234">
        <v>10</v>
      </c>
      <c r="P234">
        <v>4</v>
      </c>
    </row>
    <row r="235" spans="15:16">
      <c r="O235">
        <v>11</v>
      </c>
      <c r="P235">
        <v>4</v>
      </c>
    </row>
    <row r="236" spans="15:16">
      <c r="O236">
        <v>12</v>
      </c>
      <c r="P236">
        <v>5</v>
      </c>
    </row>
    <row r="237" spans="15:16">
      <c r="O237">
        <v>13</v>
      </c>
      <c r="P237">
        <v>5</v>
      </c>
    </row>
    <row r="238" spans="15:16">
      <c r="O238">
        <v>14</v>
      </c>
      <c r="P238">
        <v>5</v>
      </c>
    </row>
    <row r="239" spans="15:16">
      <c r="O239">
        <v>15</v>
      </c>
      <c r="P239">
        <v>5</v>
      </c>
    </row>
    <row r="240" spans="15:16">
      <c r="O240">
        <v>16</v>
      </c>
      <c r="P240">
        <v>5</v>
      </c>
    </row>
    <row r="241" spans="15:16">
      <c r="O241">
        <v>17</v>
      </c>
      <c r="P241">
        <v>6</v>
      </c>
    </row>
    <row r="242" spans="15:16">
      <c r="O242">
        <v>18</v>
      </c>
      <c r="P242">
        <v>6</v>
      </c>
    </row>
    <row r="243" spans="15:16">
      <c r="O243">
        <v>19</v>
      </c>
      <c r="P243">
        <v>6</v>
      </c>
    </row>
    <row r="244" spans="15:16">
      <c r="O244">
        <v>20</v>
      </c>
      <c r="P244" t="s">
        <v>234</v>
      </c>
    </row>
    <row r="245" spans="14:16">
      <c r="N245" t="s">
        <v>4014</v>
      </c>
      <c r="P245">
        <f>VLOOKUP(N225,O225:P244,2,0)</f>
        <v>3</v>
      </c>
    </row>
    <row r="246" spans="14:17">
      <c r="N246">
        <f>主要情况!W3</f>
        <v>5</v>
      </c>
      <c r="O246">
        <v>1</v>
      </c>
      <c r="P246">
        <v>0</v>
      </c>
      <c r="Q246" t="s">
        <v>2608</v>
      </c>
    </row>
    <row r="247" spans="15:16">
      <c r="O247">
        <v>2</v>
      </c>
      <c r="P247">
        <v>2</v>
      </c>
    </row>
    <row r="248" spans="15:16">
      <c r="O248">
        <v>3</v>
      </c>
      <c r="P248">
        <v>2</v>
      </c>
    </row>
    <row r="249" spans="15:16">
      <c r="O249">
        <v>4</v>
      </c>
      <c r="P249">
        <v>2</v>
      </c>
    </row>
    <row r="250" spans="15:16">
      <c r="O250">
        <v>5</v>
      </c>
      <c r="P250">
        <v>2</v>
      </c>
    </row>
    <row r="251" spans="15:16">
      <c r="O251">
        <v>6</v>
      </c>
      <c r="P251">
        <v>3</v>
      </c>
    </row>
    <row r="252" spans="15:16">
      <c r="O252">
        <v>7</v>
      </c>
      <c r="P252">
        <v>3</v>
      </c>
    </row>
    <row r="253" spans="15:16">
      <c r="O253">
        <v>8</v>
      </c>
      <c r="P253">
        <v>3</v>
      </c>
    </row>
    <row r="254" spans="15:16">
      <c r="O254">
        <v>9</v>
      </c>
      <c r="P254">
        <v>3</v>
      </c>
    </row>
    <row r="255" spans="15:16">
      <c r="O255">
        <v>10</v>
      </c>
      <c r="P255">
        <v>4</v>
      </c>
    </row>
    <row r="256" spans="15:16">
      <c r="O256">
        <v>11</v>
      </c>
      <c r="P256">
        <v>4</v>
      </c>
    </row>
    <row r="257" spans="15:16">
      <c r="O257">
        <v>12</v>
      </c>
      <c r="P257">
        <v>4</v>
      </c>
    </row>
    <row r="258" spans="15:16">
      <c r="O258">
        <v>13</v>
      </c>
      <c r="P258">
        <v>4</v>
      </c>
    </row>
    <row r="259" spans="15:16">
      <c r="O259">
        <v>14</v>
      </c>
      <c r="P259">
        <v>5</v>
      </c>
    </row>
    <row r="260" spans="15:16">
      <c r="O260">
        <v>15</v>
      </c>
      <c r="P260">
        <v>5</v>
      </c>
    </row>
    <row r="261" spans="15:16">
      <c r="O261">
        <v>16</v>
      </c>
      <c r="P261">
        <v>5</v>
      </c>
    </row>
    <row r="262" spans="15:16">
      <c r="O262">
        <v>17</v>
      </c>
      <c r="P262">
        <v>6</v>
      </c>
    </row>
    <row r="263" spans="15:16">
      <c r="O263">
        <v>18</v>
      </c>
      <c r="P263">
        <v>6</v>
      </c>
    </row>
    <row r="264" spans="15:16">
      <c r="O264">
        <v>19</v>
      </c>
      <c r="P264">
        <v>6</v>
      </c>
    </row>
    <row r="265" spans="15:16">
      <c r="O265">
        <v>20</v>
      </c>
      <c r="P265" t="s">
        <v>234</v>
      </c>
    </row>
    <row r="266" spans="16:16">
      <c r="P266">
        <f>VLOOKUP(N246,O246:P265,2,0)</f>
        <v>2</v>
      </c>
    </row>
  </sheetData>
  <mergeCells count="44">
    <mergeCell ref="BX1:BY1"/>
    <mergeCell ref="BZ1:CA1"/>
    <mergeCell ref="CB1:CC1"/>
    <mergeCell ref="CD1:CE1"/>
    <mergeCell ref="CF1:CG1"/>
    <mergeCell ref="CH1:CI1"/>
    <mergeCell ref="CJ1:CK1"/>
    <mergeCell ref="CL1:CM1"/>
    <mergeCell ref="CN1:CO1"/>
    <mergeCell ref="CP1:CQ1"/>
    <mergeCell ref="CR1:CS1"/>
    <mergeCell ref="CT1:CU1"/>
    <mergeCell ref="CV1:CW1"/>
    <mergeCell ref="BY7:CC7"/>
    <mergeCell ref="CE7:CG7"/>
    <mergeCell ref="BY8:CC8"/>
    <mergeCell ref="CE8:CG8"/>
    <mergeCell ref="CK8:CM8"/>
    <mergeCell ref="CO8:CQ8"/>
    <mergeCell ref="BY9:CC9"/>
    <mergeCell ref="CE9:CG9"/>
    <mergeCell ref="CK9:CM9"/>
    <mergeCell ref="CO9:CQ9"/>
    <mergeCell ref="BY10:CC10"/>
    <mergeCell ref="CE10:CG10"/>
    <mergeCell ref="CK10:CM10"/>
    <mergeCell ref="CO10:CQ10"/>
    <mergeCell ref="BY11:CC11"/>
    <mergeCell ref="CE11:CG11"/>
    <mergeCell ref="CK11:CM11"/>
    <mergeCell ref="CO11:CQ11"/>
    <mergeCell ref="BY12:CG12"/>
    <mergeCell ref="CK12:CM12"/>
    <mergeCell ref="CO12:CQ12"/>
    <mergeCell ref="BY13:CG13"/>
    <mergeCell ref="CK13:CM13"/>
    <mergeCell ref="CO13:CQ13"/>
    <mergeCell ref="CI14:CS14"/>
    <mergeCell ref="CI15:CO15"/>
    <mergeCell ref="CI16:CO16"/>
    <mergeCell ref="CI17:CO17"/>
    <mergeCell ref="CI18:CO18"/>
    <mergeCell ref="CI19:CO19"/>
    <mergeCell ref="G107:K107"/>
  </mergeCells>
  <pageMargins left="0.7" right="0.7" top="0.75" bottom="0.75"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2"/>
  <sheetViews>
    <sheetView workbookViewId="0">
      <selection activeCell="B6" sqref="B6"/>
    </sheetView>
  </sheetViews>
  <sheetFormatPr defaultColWidth="8.87272727272727" defaultRowHeight="14"/>
  <cols>
    <col min="1" max="1" width="13.4818181818182" customWidth="1"/>
    <col min="2" max="2" width="10.6181818181818" customWidth="1"/>
    <col min="3" max="3" width="14.3636363636364" customWidth="1"/>
    <col min="4" max="7" width="8.87272727272727" hidden="1"/>
    <col min="9" max="9" width="11.3636363636364" customWidth="1"/>
  </cols>
  <sheetData>
    <row r="1" ht="13.5" customHeight="1" spans="1:16">
      <c r="A1" s="24" t="s">
        <v>54</v>
      </c>
      <c r="B1" s="24" t="s">
        <v>4015</v>
      </c>
      <c r="C1" s="24" t="s">
        <v>4016</v>
      </c>
      <c r="D1" t="s">
        <v>57</v>
      </c>
      <c r="E1" t="s">
        <v>4017</v>
      </c>
      <c r="H1" s="25" t="s">
        <v>4018</v>
      </c>
      <c r="I1" s="25"/>
      <c r="J1" s="25"/>
      <c r="K1" s="25"/>
      <c r="L1" s="25"/>
      <c r="M1" s="25"/>
      <c r="N1" s="25"/>
      <c r="O1" s="25"/>
      <c r="P1" s="25"/>
    </row>
    <row r="2" spans="1:16">
      <c r="A2" s="26" t="s">
        <v>64</v>
      </c>
      <c r="B2" s="27">
        <v>10</v>
      </c>
      <c r="C2" s="27">
        <f t="shared" ref="C2:C7" si="0">F2</f>
        <v>2</v>
      </c>
      <c r="D2" s="28">
        <v>8</v>
      </c>
      <c r="E2" s="28">
        <v>0</v>
      </c>
      <c r="F2" s="28">
        <f>VLOOKUP(B2,D2:E12,2,0)</f>
        <v>2</v>
      </c>
      <c r="H2" s="25"/>
      <c r="I2" s="25"/>
      <c r="J2" s="25"/>
      <c r="K2" s="25"/>
      <c r="L2" s="25"/>
      <c r="M2" s="25"/>
      <c r="N2" s="25"/>
      <c r="O2" s="25"/>
      <c r="P2" s="25"/>
    </row>
    <row r="3" spans="1:16">
      <c r="A3" s="26" t="s">
        <v>69</v>
      </c>
      <c r="B3" s="27">
        <v>14</v>
      </c>
      <c r="C3" s="27">
        <f t="shared" si="0"/>
        <v>7</v>
      </c>
      <c r="D3" s="28">
        <v>9</v>
      </c>
      <c r="E3" s="28">
        <v>1</v>
      </c>
      <c r="F3" s="28">
        <f>VLOOKUP(B3,D2:E12,2,0)</f>
        <v>7</v>
      </c>
      <c r="H3" s="25"/>
      <c r="I3" s="25"/>
      <c r="J3" s="25"/>
      <c r="K3" s="25"/>
      <c r="L3" s="25"/>
      <c r="M3" s="25"/>
      <c r="N3" s="25"/>
      <c r="O3" s="25"/>
      <c r="P3" s="25"/>
    </row>
    <row r="4" spans="1:16">
      <c r="A4" s="26" t="s">
        <v>72</v>
      </c>
      <c r="B4" s="27">
        <v>10</v>
      </c>
      <c r="C4" s="27">
        <f t="shared" si="0"/>
        <v>2</v>
      </c>
      <c r="D4" s="28">
        <v>10</v>
      </c>
      <c r="E4" s="28">
        <v>2</v>
      </c>
      <c r="F4" s="28">
        <f>VLOOKUP(B4,D2:E12,2,0)</f>
        <v>2</v>
      </c>
      <c r="H4" s="25"/>
      <c r="I4" s="25"/>
      <c r="J4" s="25"/>
      <c r="K4" s="25"/>
      <c r="L4" s="25"/>
      <c r="M4" s="25"/>
      <c r="N4" s="25"/>
      <c r="O4" s="25"/>
      <c r="P4" s="25"/>
    </row>
    <row r="5" spans="1:16">
      <c r="A5" s="26" t="s">
        <v>79</v>
      </c>
      <c r="B5" s="27">
        <v>14</v>
      </c>
      <c r="C5" s="27">
        <f t="shared" si="0"/>
        <v>7</v>
      </c>
      <c r="D5" s="28">
        <v>11</v>
      </c>
      <c r="E5" s="28">
        <v>3</v>
      </c>
      <c r="F5" s="28">
        <f>VLOOKUP(B5,D2:E12,2,0)</f>
        <v>7</v>
      </c>
      <c r="H5" s="25"/>
      <c r="I5" s="25"/>
      <c r="J5" s="25"/>
      <c r="K5" s="25"/>
      <c r="L5" s="25"/>
      <c r="M5" s="25"/>
      <c r="N5" s="25"/>
      <c r="O5" s="25"/>
      <c r="P5" s="25"/>
    </row>
    <row r="6" spans="1:16">
      <c r="A6" s="26" t="s">
        <v>83</v>
      </c>
      <c r="B6" s="27">
        <v>12</v>
      </c>
      <c r="C6" s="27">
        <f t="shared" si="0"/>
        <v>4</v>
      </c>
      <c r="D6" s="28">
        <v>12</v>
      </c>
      <c r="E6" s="28">
        <v>4</v>
      </c>
      <c r="F6" s="28">
        <f>VLOOKUP(B6,D2:E12,2,0)</f>
        <v>4</v>
      </c>
      <c r="H6" s="25"/>
      <c r="I6" s="25"/>
      <c r="J6" s="25"/>
      <c r="K6" s="25"/>
      <c r="L6" s="25"/>
      <c r="M6" s="25"/>
      <c r="N6" s="25"/>
      <c r="O6" s="25"/>
      <c r="P6" s="25"/>
    </row>
    <row r="7" spans="1:16">
      <c r="A7" s="26" t="s">
        <v>89</v>
      </c>
      <c r="B7" s="27">
        <v>15</v>
      </c>
      <c r="C7" s="27">
        <f t="shared" si="0"/>
        <v>9</v>
      </c>
      <c r="D7" s="28">
        <v>13</v>
      </c>
      <c r="E7" s="28">
        <v>5</v>
      </c>
      <c r="F7" s="28">
        <f>VLOOKUP(B7,D2:E12,2,0)</f>
        <v>9</v>
      </c>
      <c r="H7" s="25"/>
      <c r="I7" s="25"/>
      <c r="J7" s="25"/>
      <c r="K7" s="25"/>
      <c r="L7" s="25"/>
      <c r="M7" s="25"/>
      <c r="N7" s="25"/>
      <c r="O7" s="25"/>
      <c r="P7" s="25"/>
    </row>
    <row r="8" spans="1:16">
      <c r="A8" s="29" t="s">
        <v>4019</v>
      </c>
      <c r="B8" s="27">
        <v>31</v>
      </c>
      <c r="C8" s="29"/>
      <c r="D8" s="28">
        <v>14</v>
      </c>
      <c r="E8" s="28">
        <v>7</v>
      </c>
      <c r="F8" s="28"/>
      <c r="H8" s="25"/>
      <c r="I8" s="25"/>
      <c r="J8" s="25"/>
      <c r="K8" s="25"/>
      <c r="L8" s="25"/>
      <c r="M8" s="25"/>
      <c r="N8" s="25"/>
      <c r="O8" s="25"/>
      <c r="P8" s="25"/>
    </row>
    <row r="9" spans="1:16">
      <c r="A9" s="29" t="s">
        <v>4020</v>
      </c>
      <c r="B9" s="27">
        <f>C2+C3+C4+C5+C6+C7</f>
        <v>31</v>
      </c>
      <c r="C9" s="29"/>
      <c r="D9" s="28">
        <v>15</v>
      </c>
      <c r="E9" s="28">
        <v>9</v>
      </c>
      <c r="F9" s="28"/>
      <c r="H9" s="25"/>
      <c r="I9" s="25"/>
      <c r="J9" s="25"/>
      <c r="K9" s="25"/>
      <c r="L9" s="25"/>
      <c r="M9" s="25"/>
      <c r="N9" s="25"/>
      <c r="O9" s="25"/>
      <c r="P9" s="25"/>
    </row>
    <row r="10" spans="1:16">
      <c r="A10" s="30" t="s">
        <v>4021</v>
      </c>
      <c r="B10" s="24"/>
      <c r="C10" s="30"/>
      <c r="D10" s="28">
        <v>16</v>
      </c>
      <c r="E10" s="28">
        <v>11</v>
      </c>
      <c r="F10" s="28"/>
      <c r="H10" s="25"/>
      <c r="I10" s="25"/>
      <c r="J10" s="25"/>
      <c r="K10" s="25"/>
      <c r="L10" s="25"/>
      <c r="M10" s="25"/>
      <c r="N10" s="25"/>
      <c r="O10" s="25"/>
      <c r="P10" s="25"/>
    </row>
    <row r="11" spans="4:16">
      <c r="D11" s="28">
        <v>17</v>
      </c>
      <c r="E11" s="28">
        <v>13</v>
      </c>
      <c r="F11" s="28"/>
      <c r="H11" s="25"/>
      <c r="I11" s="25"/>
      <c r="J11" s="25"/>
      <c r="K11" s="25"/>
      <c r="L11" s="25"/>
      <c r="M11" s="25"/>
      <c r="N11" s="25"/>
      <c r="O11" s="25"/>
      <c r="P11" s="25"/>
    </row>
    <row r="12" spans="4:9">
      <c r="D12" s="28">
        <v>18</v>
      </c>
      <c r="E12" s="28">
        <v>15</v>
      </c>
      <c r="F12" s="28"/>
      <c r="I12" s="28"/>
    </row>
    <row r="13" ht="14.75"/>
    <row r="14" spans="1:3">
      <c r="A14" s="31" t="s">
        <v>4022</v>
      </c>
      <c r="B14" s="31"/>
      <c r="C14" s="31"/>
    </row>
    <row r="15" spans="1:3">
      <c r="A15" s="32" t="s">
        <v>4023</v>
      </c>
      <c r="B15" s="33" t="s">
        <v>248</v>
      </c>
      <c r="C15" s="34" t="s">
        <v>4024</v>
      </c>
    </row>
    <row r="16" ht="14.75" spans="1:3">
      <c r="A16" s="35" t="s">
        <v>3270</v>
      </c>
      <c r="B16" s="36"/>
      <c r="C16" s="37"/>
    </row>
    <row r="17" spans="1:3">
      <c r="A17" s="31" t="s">
        <v>4025</v>
      </c>
      <c r="B17" s="31"/>
      <c r="C17" s="31"/>
    </row>
    <row r="18" spans="1:3">
      <c r="A18" s="32" t="s">
        <v>4023</v>
      </c>
      <c r="B18" s="33" t="s">
        <v>248</v>
      </c>
      <c r="C18" s="34" t="s">
        <v>4024</v>
      </c>
    </row>
    <row r="19" ht="14.75" spans="1:3">
      <c r="A19" s="35" t="s">
        <v>3270</v>
      </c>
      <c r="B19" s="36"/>
      <c r="C19" s="37"/>
    </row>
    <row r="20" spans="1:3">
      <c r="A20" s="31" t="s">
        <v>4026</v>
      </c>
      <c r="B20" s="31"/>
      <c r="C20" s="31"/>
    </row>
    <row r="21" spans="1:3">
      <c r="A21" s="32" t="s">
        <v>4023</v>
      </c>
      <c r="B21" s="33" t="s">
        <v>248</v>
      </c>
      <c r="C21" s="34" t="s">
        <v>4024</v>
      </c>
    </row>
    <row r="22" ht="14.75" spans="1:3">
      <c r="A22" s="35" t="s">
        <v>3270</v>
      </c>
      <c r="B22" s="36"/>
      <c r="C22" s="37"/>
    </row>
  </sheetData>
  <mergeCells count="4">
    <mergeCell ref="A14:C14"/>
    <mergeCell ref="A17:C17"/>
    <mergeCell ref="A20:C20"/>
    <mergeCell ref="H1:P11"/>
  </mergeCells>
  <pageMargins left="0.75" right="0.75" top="1" bottom="1" header="0.511811023622047" footer="0.511811023622047"/>
  <pageSetup paperSize="9" orientation="portrait" horizontalDpi="300" verticalDpi="300"/>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1"/>
  <sheetViews>
    <sheetView topLeftCell="A22" workbookViewId="0">
      <selection activeCell="A52" sqref="A52"/>
    </sheetView>
  </sheetViews>
  <sheetFormatPr defaultColWidth="8.87272727272727" defaultRowHeight="14"/>
  <sheetData>
    <row r="1" ht="16.5" spans="1:26">
      <c r="A1" t="s">
        <v>4027</v>
      </c>
      <c r="R1" s="5" t="s">
        <v>4028</v>
      </c>
      <c r="S1" s="5"/>
      <c r="T1" s="5"/>
      <c r="U1" s="5"/>
      <c r="V1" s="5"/>
      <c r="W1" s="5"/>
      <c r="X1" s="5"/>
      <c r="Y1" s="5"/>
      <c r="Z1" s="5"/>
    </row>
    <row r="2" ht="14.75" spans="1:26">
      <c r="A2" t="s">
        <v>4029</v>
      </c>
      <c r="R2" s="6" t="s">
        <v>4030</v>
      </c>
      <c r="S2" s="6"/>
      <c r="T2" s="6"/>
      <c r="U2" s="6"/>
      <c r="V2" s="6"/>
      <c r="W2" s="6"/>
      <c r="X2" s="6"/>
      <c r="Y2" s="6"/>
      <c r="Z2" s="6"/>
    </row>
    <row r="3" ht="15.5" spans="1:26">
      <c r="A3" t="s">
        <v>4031</v>
      </c>
      <c r="R3" s="6"/>
      <c r="S3" s="6"/>
      <c r="T3" s="6"/>
      <c r="U3" s="6"/>
      <c r="V3" s="6"/>
      <c r="W3" s="6"/>
      <c r="X3" s="6"/>
      <c r="Y3" s="6"/>
      <c r="Z3" s="6"/>
    </row>
    <row r="4" ht="17.25" spans="1:26">
      <c r="A4" t="s">
        <v>4032</v>
      </c>
      <c r="R4" s="7" t="s">
        <v>4033</v>
      </c>
      <c r="S4" s="7"/>
      <c r="T4" s="7"/>
      <c r="U4" s="7"/>
      <c r="V4" s="7"/>
      <c r="W4" s="7"/>
      <c r="X4" s="7"/>
      <c r="Y4" s="7"/>
      <c r="Z4" s="7"/>
    </row>
    <row r="5" ht="16.5" spans="1:26">
      <c r="A5" t="s">
        <v>4034</v>
      </c>
      <c r="R5" s="8" t="s">
        <v>4035</v>
      </c>
      <c r="S5" s="8"/>
      <c r="T5" s="9" t="str">
        <f>IFERROR(VLOOKUP(AA28,C8:H19,5,0)+IF(更新日志!T17="是",AC3,)+更新日志!T8,"-")</f>
        <v>-</v>
      </c>
      <c r="U5" s="9"/>
      <c r="V5" s="9"/>
      <c r="W5" s="9"/>
      <c r="X5" s="9"/>
      <c r="Y5" s="9"/>
      <c r="Z5" s="9"/>
    </row>
    <row r="6" ht="17.25" spans="1:26">
      <c r="A6" t="s">
        <v>4036</v>
      </c>
      <c r="R6" s="10" t="s">
        <v>4037</v>
      </c>
      <c r="S6" s="10"/>
      <c r="T6" s="11" t="str">
        <f>IFERROR(VLOOKUP(AA29,C8:H19,5,0)+IF(更新日志!T18="是",AC3,)+更新日志!T9,"-")</f>
        <v>-</v>
      </c>
      <c r="U6" s="11"/>
      <c r="V6" s="11"/>
      <c r="W6" s="11"/>
      <c r="X6" s="11"/>
      <c r="Y6" s="11"/>
      <c r="Z6" s="11"/>
    </row>
    <row r="7" ht="18" spans="1:26">
      <c r="A7" t="s">
        <v>4038</v>
      </c>
      <c r="R7" s="12" t="s">
        <v>4039</v>
      </c>
      <c r="S7" s="12"/>
      <c r="T7" s="12"/>
      <c r="U7" s="12"/>
      <c r="V7" s="12"/>
      <c r="W7" s="12"/>
      <c r="X7" s="12"/>
      <c r="Y7" s="12"/>
      <c r="Z7" s="12"/>
    </row>
    <row r="8" ht="17.25" spans="1:26">
      <c r="A8" t="s">
        <v>4040</v>
      </c>
      <c r="R8" s="8" t="s">
        <v>4041</v>
      </c>
      <c r="S8" s="8"/>
      <c r="T8" s="9"/>
      <c r="U8" s="9"/>
      <c r="V8" s="9"/>
      <c r="W8" s="9"/>
      <c r="X8" s="9"/>
      <c r="Y8" s="9"/>
      <c r="Z8" s="9"/>
    </row>
    <row r="9" ht="17.25" spans="1:26">
      <c r="A9" t="s">
        <v>4042</v>
      </c>
      <c r="R9" s="10" t="s">
        <v>4043</v>
      </c>
      <c r="S9" s="10"/>
      <c r="T9" s="11"/>
      <c r="U9" s="11"/>
      <c r="V9" s="11"/>
      <c r="W9" s="11"/>
      <c r="X9" s="11"/>
      <c r="Y9" s="11"/>
      <c r="Z9" s="11"/>
    </row>
    <row r="10" ht="18" spans="1:26">
      <c r="A10" t="s">
        <v>4044</v>
      </c>
      <c r="R10" s="12" t="s">
        <v>4045</v>
      </c>
      <c r="S10" s="12"/>
      <c r="T10" s="12"/>
      <c r="U10" s="12"/>
      <c r="V10" s="12"/>
      <c r="W10" s="12"/>
      <c r="X10" s="12"/>
      <c r="Y10" s="12"/>
      <c r="Z10" s="12"/>
    </row>
    <row r="11" ht="17.25" spans="1:26">
      <c r="A11" t="s">
        <v>4046</v>
      </c>
      <c r="R11" s="13" t="s">
        <v>4047</v>
      </c>
      <c r="S11" s="13"/>
      <c r="T11" s="14"/>
      <c r="U11" s="14"/>
      <c r="V11" s="15" t="s">
        <v>4048</v>
      </c>
      <c r="W11" s="15"/>
      <c r="X11" s="16"/>
      <c r="Y11" s="16"/>
      <c r="Z11" s="16"/>
    </row>
    <row r="12" ht="17.25" spans="1:26">
      <c r="A12" t="s">
        <v>4049</v>
      </c>
      <c r="R12" s="17" t="s">
        <v>4050</v>
      </c>
      <c r="S12" s="17"/>
      <c r="T12" s="18"/>
      <c r="U12" s="18"/>
      <c r="V12" s="19" t="s">
        <v>4051</v>
      </c>
      <c r="W12" s="19"/>
      <c r="X12" s="11"/>
      <c r="Y12" s="11"/>
      <c r="Z12" s="11"/>
    </row>
    <row r="13" ht="18" spans="1:26">
      <c r="A13" t="s">
        <v>4052</v>
      </c>
      <c r="R13" s="12" t="s">
        <v>4053</v>
      </c>
      <c r="S13" s="12"/>
      <c r="T13" s="12"/>
      <c r="U13" s="12"/>
      <c r="V13" s="12"/>
      <c r="W13" s="12"/>
      <c r="X13" s="12"/>
      <c r="Y13" s="12"/>
      <c r="Z13" s="12"/>
    </row>
    <row r="14" ht="17.25" spans="1:26">
      <c r="A14" t="s">
        <v>4054</v>
      </c>
      <c r="R14" s="8" t="s">
        <v>4055</v>
      </c>
      <c r="S14" s="8"/>
      <c r="T14" s="9" t="str">
        <f>IFERROR(更新日志!T11&amp;"+"&amp;VLOOKUP(AA28,C8:H19,5,0)+更新日志!X11,"-")</f>
        <v>-</v>
      </c>
      <c r="U14" s="9"/>
      <c r="V14" s="9"/>
      <c r="W14" s="9"/>
      <c r="X14" s="9"/>
      <c r="Y14" s="9"/>
      <c r="Z14" s="9"/>
    </row>
    <row r="15" ht="17.25" spans="1:26">
      <c r="A15" s="1" t="s">
        <v>4056</v>
      </c>
      <c r="R15" s="10" t="s">
        <v>4057</v>
      </c>
      <c r="S15" s="10"/>
      <c r="T15" s="11" t="str">
        <f>IFERROR(更新日志!T12&amp;"+"&amp;VLOOKUP(AA29,C8:H19,5,0)+更新日志!X12,"-")</f>
        <v>-</v>
      </c>
      <c r="U15" s="11"/>
      <c r="V15" s="11"/>
      <c r="W15" s="11"/>
      <c r="X15" s="11"/>
      <c r="Y15" s="11"/>
      <c r="Z15" s="11"/>
    </row>
    <row r="16" ht="18" spans="1:26">
      <c r="A16" t="s">
        <v>4058</v>
      </c>
      <c r="R16" s="12" t="s">
        <v>4059</v>
      </c>
      <c r="S16" s="12"/>
      <c r="T16" s="12"/>
      <c r="U16" s="12"/>
      <c r="V16" s="12"/>
      <c r="W16" s="12"/>
      <c r="X16" s="12"/>
      <c r="Y16" s="12"/>
      <c r="Z16" s="12"/>
    </row>
    <row r="17" ht="17.25" spans="1:26">
      <c r="A17" t="s">
        <v>4060</v>
      </c>
      <c r="R17" s="8" t="s">
        <v>4061</v>
      </c>
      <c r="S17" s="8"/>
      <c r="T17" s="16" t="s">
        <v>3270</v>
      </c>
      <c r="U17" s="16"/>
      <c r="V17" s="16"/>
      <c r="W17" s="16"/>
      <c r="X17" s="16"/>
      <c r="Y17" s="16"/>
      <c r="Z17" s="16"/>
    </row>
    <row r="18" ht="17.25" spans="1:26">
      <c r="A18" t="s">
        <v>4062</v>
      </c>
      <c r="R18" s="20" t="s">
        <v>4063</v>
      </c>
      <c r="S18" s="20"/>
      <c r="T18" s="21" t="s">
        <v>3270</v>
      </c>
      <c r="U18" s="21"/>
      <c r="V18" s="21"/>
      <c r="W18" s="21"/>
      <c r="X18" s="21"/>
      <c r="Y18" s="21"/>
      <c r="Z18" s="21"/>
    </row>
    <row r="19" spans="1:26">
      <c r="A19" s="2" t="s">
        <v>4064</v>
      </c>
      <c r="R19" s="22" t="s">
        <v>4065</v>
      </c>
      <c r="S19" s="22"/>
      <c r="T19" s="22"/>
      <c r="U19" s="22"/>
      <c r="V19" s="22"/>
      <c r="W19" s="22"/>
      <c r="X19" s="22"/>
      <c r="Y19" s="22"/>
      <c r="Z19" s="22"/>
    </row>
    <row r="20" ht="13.5" customHeight="1" spans="1:26">
      <c r="A20" s="2" t="s">
        <v>4066</v>
      </c>
      <c r="R20" s="23" t="s">
        <v>4067</v>
      </c>
      <c r="S20" s="23"/>
      <c r="T20" s="23"/>
      <c r="U20" s="23"/>
      <c r="V20" s="23"/>
      <c r="W20" s="23"/>
      <c r="X20" s="23"/>
      <c r="Y20" s="23"/>
      <c r="Z20" s="23"/>
    </row>
    <row r="21" spans="1:26">
      <c r="A21" s="2" t="s">
        <v>4068</v>
      </c>
      <c r="R21" s="23"/>
      <c r="S21" s="23"/>
      <c r="T21" s="23"/>
      <c r="U21" s="23"/>
      <c r="V21" s="23"/>
      <c r="W21" s="23"/>
      <c r="X21" s="23"/>
      <c r="Y21" s="23"/>
      <c r="Z21" s="23"/>
    </row>
    <row r="22" spans="1:26">
      <c r="A22" s="2" t="s">
        <v>4069</v>
      </c>
      <c r="R22" s="23"/>
      <c r="S22" s="23"/>
      <c r="T22" s="23"/>
      <c r="U22" s="23"/>
      <c r="V22" s="23"/>
      <c r="W22" s="23"/>
      <c r="X22" s="23"/>
      <c r="Y22" s="23"/>
      <c r="Z22" s="23"/>
    </row>
    <row r="23" spans="1:26">
      <c r="A23" s="2" t="s">
        <v>4070</v>
      </c>
      <c r="R23" s="23"/>
      <c r="S23" s="23"/>
      <c r="T23" s="23"/>
      <c r="U23" s="23"/>
      <c r="V23" s="23"/>
      <c r="W23" s="23"/>
      <c r="X23" s="23"/>
      <c r="Y23" s="23"/>
      <c r="Z23" s="23"/>
    </row>
    <row r="24" spans="1:26">
      <c r="A24" s="2" t="s">
        <v>4071</v>
      </c>
      <c r="R24" s="23"/>
      <c r="S24" s="23"/>
      <c r="T24" s="23"/>
      <c r="U24" s="23"/>
      <c r="V24" s="23"/>
      <c r="W24" s="23"/>
      <c r="X24" s="23"/>
      <c r="Y24" s="23"/>
      <c r="Z24" s="23"/>
    </row>
    <row r="25" spans="1:26">
      <c r="A25" s="2" t="s">
        <v>4072</v>
      </c>
      <c r="R25" s="23"/>
      <c r="S25" s="23"/>
      <c r="T25" s="23"/>
      <c r="U25" s="23"/>
      <c r="V25" s="23"/>
      <c r="W25" s="23"/>
      <c r="X25" s="23"/>
      <c r="Y25" s="23"/>
      <c r="Z25" s="23"/>
    </row>
    <row r="26" spans="1:26">
      <c r="A26" s="2" t="s">
        <v>4073</v>
      </c>
      <c r="R26" s="23"/>
      <c r="S26" s="23"/>
      <c r="T26" s="23"/>
      <c r="U26" s="23"/>
      <c r="V26" s="23"/>
      <c r="W26" s="23"/>
      <c r="X26" s="23"/>
      <c r="Y26" s="23"/>
      <c r="Z26" s="23"/>
    </row>
    <row r="27" spans="1:26">
      <c r="A27" s="2" t="s">
        <v>4074</v>
      </c>
      <c r="R27" s="23"/>
      <c r="S27" s="23"/>
      <c r="T27" s="23"/>
      <c r="U27" s="23"/>
      <c r="V27" s="23"/>
      <c r="W27" s="23"/>
      <c r="X27" s="23"/>
      <c r="Y27" s="23"/>
      <c r="Z27" s="23"/>
    </row>
    <row r="28" spans="1:1">
      <c r="A28" s="2" t="s">
        <v>4075</v>
      </c>
    </row>
    <row r="29" spans="1:1">
      <c r="A29" s="2" t="s">
        <v>4076</v>
      </c>
    </row>
    <row r="30" spans="1:1">
      <c r="A30" s="2" t="s">
        <v>4077</v>
      </c>
    </row>
    <row r="31" spans="1:1">
      <c r="A31" s="2" t="s">
        <v>4078</v>
      </c>
    </row>
    <row r="32" spans="1:1">
      <c r="A32" s="2" t="s">
        <v>4079</v>
      </c>
    </row>
    <row r="33" spans="1:1">
      <c r="A33" s="2" t="s">
        <v>4080</v>
      </c>
    </row>
    <row r="34" spans="1:1">
      <c r="A34" s="2" t="s">
        <v>4081</v>
      </c>
    </row>
    <row r="35" spans="1:1">
      <c r="A35" s="2" t="s">
        <v>4082</v>
      </c>
    </row>
    <row r="36" spans="1:1">
      <c r="A36" s="2" t="s">
        <v>4083</v>
      </c>
    </row>
    <row r="37" spans="1:1">
      <c r="A37" s="2" t="s">
        <v>4084</v>
      </c>
    </row>
    <row r="38" spans="1:1">
      <c r="A38" s="2" t="s">
        <v>4085</v>
      </c>
    </row>
    <row r="39" spans="1:1">
      <c r="A39" s="2" t="s">
        <v>4086</v>
      </c>
    </row>
    <row r="40" spans="1:1">
      <c r="A40" s="3">
        <v>1.74</v>
      </c>
    </row>
    <row r="41" spans="1:1">
      <c r="A41" s="3" t="s">
        <v>4087</v>
      </c>
    </row>
    <row r="42" spans="1:1">
      <c r="A42" s="4" t="s">
        <v>4088</v>
      </c>
    </row>
    <row r="43" spans="1:1">
      <c r="A43" s="3" t="s">
        <v>4089</v>
      </c>
    </row>
    <row r="44" spans="1:1">
      <c r="A44" s="3" t="s">
        <v>4090</v>
      </c>
    </row>
    <row r="45" spans="1:1">
      <c r="A45" s="3" t="s">
        <v>4091</v>
      </c>
    </row>
    <row r="46" spans="1:1">
      <c r="A46" s="3" t="s">
        <v>4092</v>
      </c>
    </row>
    <row r="47" spans="1:1">
      <c r="A47" s="3" t="s">
        <v>4093</v>
      </c>
    </row>
    <row r="48" spans="1:1">
      <c r="A48" s="3" t="s">
        <v>4094</v>
      </c>
    </row>
    <row r="49" spans="1:1">
      <c r="A49" s="3" t="s">
        <v>4095</v>
      </c>
    </row>
    <row r="50" spans="1:1">
      <c r="A50" s="3" t="s">
        <v>4096</v>
      </c>
    </row>
    <row r="51" spans="1:1">
      <c r="A51" s="3" t="s">
        <v>4097</v>
      </c>
    </row>
  </sheetData>
  <mergeCells count="33">
    <mergeCell ref="R1:Z1"/>
    <mergeCell ref="R4:Z4"/>
    <mergeCell ref="R5:S5"/>
    <mergeCell ref="T5:Z5"/>
    <mergeCell ref="R6:S6"/>
    <mergeCell ref="T6:Z6"/>
    <mergeCell ref="R7:Z7"/>
    <mergeCell ref="R8:S8"/>
    <mergeCell ref="T8:Z8"/>
    <mergeCell ref="R9:S9"/>
    <mergeCell ref="T9:Z9"/>
    <mergeCell ref="R10:Z10"/>
    <mergeCell ref="R11:S11"/>
    <mergeCell ref="T11:U11"/>
    <mergeCell ref="V11:W11"/>
    <mergeCell ref="X11:Z11"/>
    <mergeCell ref="R12:S12"/>
    <mergeCell ref="T12:U12"/>
    <mergeCell ref="V12:W12"/>
    <mergeCell ref="X12:Z12"/>
    <mergeCell ref="R13:Z13"/>
    <mergeCell ref="R14:S14"/>
    <mergeCell ref="T14:Z14"/>
    <mergeCell ref="R15:S15"/>
    <mergeCell ref="T15:Z15"/>
    <mergeCell ref="R16:Z16"/>
    <mergeCell ref="R17:S17"/>
    <mergeCell ref="T17:Z17"/>
    <mergeCell ref="R18:S18"/>
    <mergeCell ref="T18:Z18"/>
    <mergeCell ref="R19:Z19"/>
    <mergeCell ref="R2:Z3"/>
    <mergeCell ref="R20:Z27"/>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LibreOfficeDev/7.3.1.3.0$Android_AARCH64 LibreOffice_project/</Application>
  <HeadingPairs>
    <vt:vector size="2" baseType="variant">
      <vt:variant>
        <vt:lpstr>工作表</vt:lpstr>
      </vt:variant>
      <vt:variant>
        <vt:i4>8</vt:i4>
      </vt:variant>
    </vt:vector>
  </HeadingPairs>
  <TitlesOfParts>
    <vt:vector size="8" baseType="lpstr">
      <vt:lpstr>角色</vt:lpstr>
      <vt:lpstr>主要情况</vt:lpstr>
      <vt:lpstr>背包</vt:lpstr>
      <vt:lpstr>施法</vt:lpstr>
      <vt:lpstr>法术大全</vt:lpstr>
      <vt:lpstr>图表</vt:lpstr>
      <vt:lpstr>BUY点计算器&amp;武器调整栏</vt:lpstr>
      <vt:lpstr>更新日志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WPS_1726061710</cp:lastModifiedBy>
  <cp:revision>1</cp:revision>
  <dcterms:created xsi:type="dcterms:W3CDTF">2019-02-27T02:13:00Z</dcterms:created>
  <dcterms:modified xsi:type="dcterms:W3CDTF">2025-10-30T18:29:06Z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636AB206496B4B9497EA8104BD7B5216_13</vt:lpwstr>
  </property>
  <property fmtid="{D5CDD505-2E9C-101B-9397-08002B2CF9AE}" pid="3" name="KSOProductBuildVer">
    <vt:lpwstr>2052-12.1.0.23125</vt:lpwstr>
  </property>
</Properties>
</file>